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roup Sharing\Bac Giang Factory\Mr Điệp\Khác\"/>
    </mc:Choice>
  </mc:AlternateContent>
  <xr:revisionPtr revIDLastSave="0" documentId="13_ncr:1_{86F15BDA-E9FC-4FEF-A82C-783EC73BFB79}" xr6:coauthVersionLast="47" xr6:coauthVersionMax="47" xr10:uidLastSave="{00000000-0000-0000-0000-000000000000}"/>
  <bookViews>
    <workbookView xWindow="28680" yWindow="-120" windowWidth="29040" windowHeight="15840" firstSheet="1" activeTab="1" xr2:uid="{C2D0C975-6E38-4FDB-9ADE-B7A6554DA809}"/>
  </bookViews>
  <sheets>
    <sheet name="thay đôi số lượng lot no" sheetId="1" state="hidden" r:id="rId1"/>
    <sheet name="Increase lot size" sheetId="5" r:id="rId2"/>
    <sheet name="Quantity of raw materials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\0">#N/A</definedName>
    <definedName name="\a">#REF!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#N/A</definedName>
    <definedName name="\n">#N/A</definedName>
    <definedName name="\o">#N/A</definedName>
    <definedName name="\p">#N/A</definedName>
    <definedName name="\q">#REF!</definedName>
    <definedName name="\r">#N/A</definedName>
    <definedName name="\s">#N/A</definedName>
    <definedName name="\t">#N/A</definedName>
    <definedName name="\u">#N/A</definedName>
    <definedName name="\v">#N/A</definedName>
    <definedName name="\w">#N/A</definedName>
    <definedName name="\x">#N/A</definedName>
    <definedName name="\y">#N/A</definedName>
    <definedName name="\z">#REF!</definedName>
    <definedName name="_">#REF!</definedName>
    <definedName name="____">#REF!</definedName>
    <definedName name="__123Graph_D" hidden="1">[1]FAB별!#REF!</definedName>
    <definedName name="__aof2">#REF!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OPS1" localSheetId="2" hidden="1">{"Wire Charts",#N/A,TRUE,"Wires"}</definedName>
    <definedName name="__OPS1" hidden="1">{"Wire Charts",#N/A,TRUE,"Wires"}</definedName>
    <definedName name="__SD312412">#REF!</definedName>
    <definedName name="__XG2" localSheetId="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1">#REF!</definedName>
    <definedName name="_10B2_">#REF!</definedName>
    <definedName name="_11" hidden="1">[2]CAUDIT!#REF!</definedName>
    <definedName name="_111">#REF!</definedName>
    <definedName name="_12F_0Datab">#REF!</definedName>
    <definedName name="_14FF3_">#REF!</definedName>
    <definedName name="_16n_0Extr">#REF!</definedName>
    <definedName name="_18V2007_" localSheetId="2" hidden="1">{#N/A,#N/A,FALSE,"HOT RU TEM";#N/A,#N/A,FALSE,"HOT RU TEM";#N/A,#N/A,FALSE,"HOT RU TEM"}</definedName>
    <definedName name="_18V2007_" hidden="1">{#N/A,#N/A,FALSE,"HOT RU TEM";#N/A,#N/A,FALSE,"HOT RU TEM";#N/A,#N/A,FALSE,"HOT RU TEM"}</definedName>
    <definedName name="_19x1_">#REF!</definedName>
    <definedName name="_2">#REF!</definedName>
    <definedName name="_20">#REF!</definedName>
    <definedName name="_20x2_">#REF!</definedName>
    <definedName name="_23__0_S" hidden="1">#REF!</definedName>
    <definedName name="_3">#N/A</definedName>
    <definedName name="_3_?쨲?f">#REF!</definedName>
    <definedName name="_30">#REF!</definedName>
    <definedName name="_4">#N/A</definedName>
    <definedName name="_40">#REF!</definedName>
    <definedName name="_5_0Crite">#REF!</definedName>
    <definedName name="_ANA111133">#REF!</definedName>
    <definedName name="_ANH111031">#REF!</definedName>
    <definedName name="_aof2">#REF!</definedName>
    <definedName name="_AS6" localSheetId="2" hidden="1">{#N/A,#N/A,FALSE,"Australien";#N/A,#N/A,FALSE,"Birmingham";#N/A,#N/A,FALSE,"Brasilien";#N/A,#N/A,FALSE,"Prag";#N/A,#N/A,FALSE,"Spanien";#N/A,#N/A,FALSE,"Malaysia ( Com)";#N/A,#N/A,FALSE,"Malaysia (Instr)"}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DMC6003">#REF!</definedName>
    <definedName name="_FAN1" localSheetId="2" hidden="1">{#N/A,#N/A,FALSE,"HOT RU TEM";#N/A,#N/A,FALSE,"HOT RU TEM";#N/A,#N/A,FALSE,"HOT RU TEM"}</definedName>
    <definedName name="_FAN1" hidden="1">{#N/A,#N/A,FALSE,"HOT RU TEM";#N/A,#N/A,FALSE,"HOT RU TEM";#N/A,#N/A,FALSE,"HOT RU TEM"}</definedName>
    <definedName name="_Fill" hidden="1">[2]CAUDIT!#REF!</definedName>
    <definedName name="_INT2" localSheetId="2" hidden="1">{#N/A,#N/A,TRUE,"일정"}</definedName>
    <definedName name="_INT2" hidden="1">{#N/A,#N/A,TRUE,"일정"}</definedName>
    <definedName name="_Key1" hidden="1">[2]CAUDIT!#REF!</definedName>
    <definedName name="_Key2" hidden="1">#REF!</definedName>
    <definedName name="_Key3" hidden="1">'[3]5.WIRE적용LIST'!#REF!</definedName>
    <definedName name="_OPS1" localSheetId="2" hidden="1">{"Wire Charts",#N/A,TRUE,"Wires"}</definedName>
    <definedName name="_OPS1" hidden="1">{"Wire Charts",#N/A,TRUE,"Wires"}</definedName>
    <definedName name="_Order1" hidden="1">255</definedName>
    <definedName name="_Order2" hidden="1">255</definedName>
    <definedName name="_Parse_Out" hidden="1">#REF!</definedName>
    <definedName name="_PLT1">#REF!</definedName>
    <definedName name="_PLT2">#REF!</definedName>
    <definedName name="_Sort" hidden="1">#REF!</definedName>
    <definedName name="_Tir1" localSheetId="2" hidden="1">{#N/A,#N/A,TRUE,"일정"}</definedName>
    <definedName name="_Tir1" hidden="1">{#N/A,#N/A,TRUE,"일정"}</definedName>
    <definedName name="_top100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TT1">#REF!</definedName>
    <definedName name="_XG2" localSheetId="2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_xlcn.WorksheetConnection_출하리스트_최종본18.01.22.xlsx표3_51" localSheetId="1" hidden="1">표3_5</definedName>
    <definedName name="_xlcn.WorksheetConnection_출하리스트_최종본18.01.22.xlsx표3_51" localSheetId="2" hidden="1">표3_5</definedName>
    <definedName name="_xlcn.WorksheetConnection_출하리스트_최종본18.01.22.xlsx표3_51" hidden="1">표3_5</definedName>
    <definedName name="_xlcn.WorksheetConnection_출하리스트_최종본18.01.22.xlsx표31" localSheetId="1" hidden="1">표3</definedName>
    <definedName name="_xlcn.WorksheetConnection_출하리스트_최종본18.01.22.xlsx표31" localSheetId="2" hidden="1">표3</definedName>
    <definedName name="_xlcn.WorksheetConnection_출하리스트_최종본18.01.22.xlsx표31" hidden="1">표3</definedName>
    <definedName name="¤A¤A">#REF!</definedName>
    <definedName name="¤μ¤μ">#REF!</definedName>
    <definedName name="±a¾E°ⓒ">#REF!</definedName>
    <definedName name="±a¾EA≫">#REF!</definedName>
    <definedName name="√">"SQRT"</definedName>
    <definedName name="↑">#REF!</definedName>
    <definedName name="AAA">#REF!</definedName>
    <definedName name="AAAA">#REF!</definedName>
    <definedName name="AAAAA" localSheetId="2" hidden="1">{#N/A,#N/A,FALSE,"단축1";#N/A,#N/A,FALSE,"단축2";#N/A,#N/A,FALSE,"단축3";#N/A,#N/A,FALSE,"장축";#N/A,#N/A,FALSE,"4WD"}</definedName>
    <definedName name="AAAAA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Documents\SCD\업무연락안양식.mdb"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wvu.Komplett." hidden="1">'[4]GB-IC Villingen GG'!#REF!</definedName>
    <definedName name="ACwvu.Screen." hidden="1">'[4]GB-IC Villingen GG'!#REF!</definedName>
    <definedName name="Addressee">#REF!</definedName>
    <definedName name="ADR">#REF!</definedName>
    <definedName name="Aging">[5]!설비_Aging[Aging]</definedName>
    <definedName name="ALL">#REF!</definedName>
    <definedName name="AnalysisDate">#REF!</definedName>
    <definedName name="AnalysisGroup">#REF!</definedName>
    <definedName name="APPLICABILITY">#REF!</definedName>
    <definedName name="Appraisal">#REF!</definedName>
    <definedName name="APPROVAL">#REF!</definedName>
    <definedName name="ARBOR_INFO">"[elsie][Mpg][Main]"</definedName>
    <definedName name="arkd">#REF!</definedName>
    <definedName name="AS.BB">#REF!</definedName>
    <definedName name="asfas" localSheetId="2" hidden="1">{"'2공장'!$A$1:$H$216"}</definedName>
    <definedName name="asfas" hidden="1">{"'2공장'!$A$1:$H$216"}</definedName>
    <definedName name="ASLFKDKFOD">#REF!</definedName>
    <definedName name="B">#REF!</definedName>
    <definedName name="BB">#REF!</definedName>
    <definedName name="BGJK" localSheetId="2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LOCK">#REF!</definedName>
    <definedName name="BOOKSHEET">#REF!</definedName>
    <definedName name="BoQ_VINATECH">[6]ALL_BOQ!$A$7:$W$1427</definedName>
    <definedName name="BRANCH">#REF!</definedName>
    <definedName name="BRKT_ASST">#REF!</definedName>
    <definedName name="brougham">#REF!</definedName>
    <definedName name="btw_01">#REF!,#REF!,#REF!,#REF!,#REF!,#REF!,#REF!,#REF!,#REF!</definedName>
    <definedName name="btw_03">#REF!,#REF!,#REF!,#REF!,#REF!</definedName>
    <definedName name="BUTTON_N">#REF!</definedName>
    <definedName name="BUTTON_T">#REF!</definedName>
    <definedName name="ButtonForPic">#REF!</definedName>
    <definedName name="can">#REF!</definedName>
    <definedName name="CAT">#REF!</definedName>
    <definedName name="CATEGORY">#REF!</definedName>
    <definedName name="CCC">#REF!</definedName>
    <definedName name="CDE">#REF!</definedName>
    <definedName name="CdJudgement">#REF!</definedName>
    <definedName name="CHARACTER">#REF!</definedName>
    <definedName name="CHARACTERISTICS">#REF!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OD_BOQ">[6]ALL_BOQ!$A$7:$A$1427</definedName>
    <definedName name="CODE">#REF!</definedName>
    <definedName name="Comment">#REF!</definedName>
    <definedName name="con_tb_total">#REF!</definedName>
    <definedName name="CONTROL">#REF!</definedName>
    <definedName name="corrigendum">#REF!</definedName>
    <definedName name="Cp">#REF!</definedName>
    <definedName name="Cpk">#REF!</definedName>
    <definedName name="CRI">#REF!</definedName>
    <definedName name="_xlnm.Criteria">#REF!</definedName>
    <definedName name="CrJudgement">#REF!</definedName>
    <definedName name="CRTC">#REF!</definedName>
    <definedName name="csf">#REF!</definedName>
    <definedName name="CUSTOMER">#REF!</definedName>
    <definedName name="D">#REF!</definedName>
    <definedName name="daf">#REF!</definedName>
    <definedName name="_xlnm.Database">#REF!</definedName>
    <definedName name="Database2">#REF!</definedName>
    <definedName name="DD">#REF!</definedName>
    <definedName name="DDE" localSheetId="2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EL">#REF!</definedName>
    <definedName name="DELETE" localSheetId="1">[7]!DELETE</definedName>
    <definedName name="DELETE" localSheetId="2">[7]!DELETE</definedName>
    <definedName name="DELETE">[7]!DELETE</definedName>
    <definedName name="DELL">#REF!</definedName>
    <definedName name="DEPT">#REF!</definedName>
    <definedName name="DF">#N/A</definedName>
    <definedName name="DFA" localSheetId="2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DFDFSDFSDF">#N/A</definedName>
    <definedName name="DFHJ" localSheetId="2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GF" localSheetId="2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">#REF!</definedName>
    <definedName name="DLEHD">#REF!</definedName>
    <definedName name="DNFLA" localSheetId="2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OL">#REF!</definedName>
    <definedName name="DRIVEABILITY" localSheetId="2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A">#REF!</definedName>
    <definedName name="DSDSFSDSDFSD" localSheetId="2" hidden="1">{#N/A,#N/A,FALSE,"단축1";#N/A,#N/A,FALSE,"단축2";#N/A,#N/A,FALSE,"단축3";#N/A,#N/A,FALSE,"장축";#N/A,#N/A,FALSE,"4WD"}</definedName>
    <definedName name="DSDSFSDSDFSD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CE">#REF!</definedName>
    <definedName name="EE">#REF!</definedName>
    <definedName name="EEC">#REF!</definedName>
    <definedName name="EFF_DATE">#REF!</definedName>
    <definedName name="EFFOG" localSheetId="2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ndGraph">#REF!</definedName>
    <definedName name="EndPic">#REF!</definedName>
    <definedName name="ENG" localSheetId="2" hidden="1">{#N/A,#N/A,FALSE,"단축1";#N/A,#N/A,FALSE,"단축2";#N/A,#N/A,FALSE,"단축3";#N/A,#N/A,FALSE,"장축";#N/A,#N/A,FALSE,"4WD"}</definedName>
    <definedName name="ENG" hidden="1">{#N/A,#N/A,FALSE,"단축1";#N/A,#N/A,FALSE,"단축2";#N/A,#N/A,FALSE,"단축3";#N/A,#N/A,FALSE,"장축";#N/A,#N/A,FALSE,"4WD"}</definedName>
    <definedName name="EO">#REF!</definedName>
    <definedName name="EO계획" hidden="1">#REF!</definedName>
    <definedName name="er" localSheetId="2" hidden="1">{#N/A,#N/A,FALSE,"Sheet1";#N/A,#N/A,FALSE,"Sheet1";#N/A,#N/A,FALSE,"Sheet1"}</definedName>
    <definedName name="er" hidden="1">{#N/A,#N/A,FALSE,"Sheet1";#N/A,#N/A,FALSE,"Sheet1";#N/A,#N/A,FALSE,"Sheet1"}</definedName>
    <definedName name="ERG" localSheetId="2" hidden="1">{"Wire Charts",#N/A,TRUE,"Wires"}</definedName>
    <definedName name="ERG" hidden="1">{"Wire Charts",#N/A,TRUE,"Wires"}</definedName>
    <definedName name="EssAliasTable">"Default"</definedName>
    <definedName name="EssOptions">"110000000013010_0"</definedName>
    <definedName name="ETRYU" localSheetId="2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XAMPLE">#REF!</definedName>
    <definedName name="EXP">#REF!</definedName>
    <definedName name="EXT">#REF!</definedName>
    <definedName name="_xlnm.Extract">#REF!</definedName>
    <definedName name="EXTT" localSheetId="2" hidden="1">{#N/A,#N/A,TRUE,"일정"}</definedName>
    <definedName name="EXTT" hidden="1">{#N/A,#N/A,TRUE,"일정"}</definedName>
    <definedName name="EYRU" localSheetId="2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localSheetId="2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?LZEICHEN">#REF!</definedName>
    <definedName name="FAN" localSheetId="2" hidden="1">{#N/A,#N/A,FALSE,"HOT RU TEM";#N/A,#N/A,FALSE,"HOT RU TEM";#N/A,#N/A,FALSE,"HOT RU TEM"}</definedName>
    <definedName name="FAN" hidden="1">{#N/A,#N/A,FALSE,"HOT RU TEM";#N/A,#N/A,FALSE,"HOT RU TEM";#N/A,#N/A,FALSE,"HOT RU TEM"}</definedName>
    <definedName name="FDGS" localSheetId="2" hidden="1">{"'KET'!$A$1:$E$2423"}</definedName>
    <definedName name="FDGS" hidden="1">{"'KET'!$A$1:$E$2423"}</definedName>
    <definedName name="FDJGDFHJ" localSheetId="2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G46TBTB4RTDKDK">#REF!</definedName>
    <definedName name="FGH" localSheetId="2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R12C15TBTB1RTDKDK">#REF!</definedName>
    <definedName name="FGS" localSheetId="2" hidden="1">{"Wire Charts",#N/A,TRUE,"Wires"}</definedName>
    <definedName name="FGS" hidden="1">{"Wire Charts",#N/A,TRUE,"Wires"}</definedName>
    <definedName name="FH" localSheetId="2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MEA" localSheetId="2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localSheetId="2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RNT">#N/A</definedName>
    <definedName name="frmotor" localSheetId="2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FS">#REF!</definedName>
    <definedName name="Full">#REF!</definedName>
    <definedName name="FullPb">#REF!</definedName>
    <definedName name="G_Cells">#REF!</definedName>
    <definedName name="GD">#REF!</definedName>
    <definedName name="gfdgfdgdfg" localSheetId="2" hidden="1">{"'2공장'!$A$1:$H$216"}</definedName>
    <definedName name="gfdgfdgdfg" hidden="1">{"'2공장'!$A$1:$H$216"}</definedName>
    <definedName name="GFDS">#REF!</definedName>
    <definedName name="GFJG" localSheetId="2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J" localSheetId="2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OUP">#REF!</definedName>
    <definedName name="H">"Text 853"</definedName>
    <definedName name="H11A01K">#REF!</definedName>
    <definedName name="HEAT">#REF!</definedName>
    <definedName name="HgJudgement">#REF!</definedName>
    <definedName name="hhh">#REF!</definedName>
    <definedName name="HJKL">#REF!</definedName>
    <definedName name="HOOD" localSheetId="2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TML_CodePage" hidden="1">949</definedName>
    <definedName name="HTML_Control" localSheetId="2" hidden="1">{"'KET'!$A$1:$E$2423"}</definedName>
    <definedName name="HTML_Control" hidden="1">{"'KET'!$A$1:$E$2423"}</definedName>
    <definedName name="HTML_Description" hidden="1">""</definedName>
    <definedName name="HTML_Email" hidden="1">""</definedName>
    <definedName name="HTML_Header" hidden="1">"KET CONNECTORS"</definedName>
    <definedName name="HTML_LastUpdate" hidden="1">"98-02-26"</definedName>
    <definedName name="HTML_LineAfter" hidden="1">TRUE</definedName>
    <definedName name="HTML_LineBefore" hidden="1">TRUE</definedName>
    <definedName name="HTML_Name" hidden="1">"R&amp;D"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"LIB_CONNECTOR"</definedName>
    <definedName name="HTML1_1" hidden="1">"'[STT.xls]ST표 (2)'!$A$1:$M$26"</definedName>
    <definedName name="HTML1_10" hidden="1">""</definedName>
    <definedName name="HTML1_11" hidden="1">1</definedName>
    <definedName name="HTML1_12" hidden="1">"C:\개인dir\MyHTML.htm"</definedName>
    <definedName name="HTML1_2" hidden="1">1</definedName>
    <definedName name="HTML1_3" hidden="1">"STT"</definedName>
    <definedName name="HTML1_4" hidden="1">"ST표 (2)"</definedName>
    <definedName name="HTML1_5" hidden="1">""</definedName>
    <definedName name="HTML1_6" hidden="1">-4146</definedName>
    <definedName name="HTML1_7" hidden="1">-4146</definedName>
    <definedName name="HTML1_8" hidden="1">"97-09-10"</definedName>
    <definedName name="HTML1_9" hidden="1">"생산관리"</definedName>
    <definedName name="HTML2_12" hidden="1">"C:\김경록\MyHTML1.htm"</definedName>
    <definedName name="HTML2_2" hidden="1">1</definedName>
    <definedName name="HTML2_3" hidden="1">"손익전망.xls"</definedName>
    <definedName name="HTML2_4" hidden="1">"매출손익전망(SSA)"</definedName>
    <definedName name="HTML2_5" hidden="1">""</definedName>
    <definedName name="HTML2_6" hidden="1">-4146</definedName>
    <definedName name="HTML2_7" hidden="1">-4146</definedName>
    <definedName name="HTML2_8" hidden="1">"98-04-22"</definedName>
    <definedName name="HTML2_9" hidden="1">"김경록"</definedName>
    <definedName name="HTMLCount" hidden="1">1</definedName>
    <definedName name="IMPORT">#REF!</definedName>
    <definedName name="INT" localSheetId="2" hidden="1">{#N/A,#N/A,TRUE,"일정"}</definedName>
    <definedName name="INT" hidden="1">{#N/A,#N/A,TRUE,"일정"}</definedName>
    <definedName name="IR">#N/A</definedName>
    <definedName name="IR8145_">#N/A</definedName>
    <definedName name="ITEM">#REF!</definedName>
    <definedName name="jaguar125knob">#REF!</definedName>
    <definedName name="JDHSJKFHDJHSDJKLFHSDJKFH" localSheetId="2" hidden="1">{#N/A,#N/A,FALSE,"단축1";#N/A,#N/A,FALSE,"단축2";#N/A,#N/A,FALSE,"단축3";#N/A,#N/A,FALSE,"장축";#N/A,#N/A,FALSE,"4WD"}</definedName>
    <definedName name="JDHSJKFHDJHSDJKLFHSDJKFH" hidden="1">{#N/A,#N/A,FALSE,"단축1";#N/A,#N/A,FALSE,"단축2";#N/A,#N/A,FALSE,"단축3";#N/A,#N/A,FALSE,"장축";#N/A,#N/A,FALSE,"4WD"}</definedName>
    <definedName name="JGHJ" localSheetId="2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GJGJ" localSheetId="2" hidden="1">{#N/A,#N/A,FALSE,"HOT RU TEM";#N/A,#N/A,FALSE,"HOT RU TEM";#N/A,#N/A,FALSE,"HOT RU TEM"}</definedName>
    <definedName name="JGJGJ" hidden="1">{#N/A,#N/A,FALSE,"HOT RU TEM";#N/A,#N/A,FALSE,"HOT RU TEM";#N/A,#N/A,FALSE,"HOT RU TEM"}</definedName>
    <definedName name="jj" localSheetId="1" hidden="1">표3_5</definedName>
    <definedName name="jj" localSheetId="2" hidden="1">표3_5</definedName>
    <definedName name="jj" hidden="1">표3_5</definedName>
    <definedName name="jjj">#REF!</definedName>
    <definedName name="JOB">#REF!</definedName>
    <definedName name="JWG" localSheetId="2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">#REF!</definedName>
    <definedName name="KGU">#REF!</definedName>
    <definedName name="kkk">#REF!</definedName>
    <definedName name="KKKKKK">#N/A</definedName>
    <definedName name="KTY" localSheetId="2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LA">#REF!</definedName>
    <definedName name="LANOS">#REF!</definedName>
    <definedName name="LE">#REF!</definedName>
    <definedName name="leganza">#REF!</definedName>
    <definedName name="LIM">#REF!</definedName>
    <definedName name="LINEC">#REF!</definedName>
    <definedName name="LL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localSheetId="2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M_Cells">#REF!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X">#REF!</definedName>
    <definedName name="Max선">#REF!</definedName>
    <definedName name="MC">#REF!</definedName>
    <definedName name="MCP">#REF!</definedName>
    <definedName name="MEAN">#REF!</definedName>
    <definedName name="mil">#REF!</definedName>
    <definedName name="MIN">#REF!</definedName>
    <definedName name="Min선">#REF!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">#REF!</definedName>
    <definedName name="MS검사구">#REF!</definedName>
    <definedName name="mtg">#REF!</definedName>
    <definedName name="M행">#REF!</definedName>
    <definedName name="NAME1">#REF!</definedName>
    <definedName name="NCAT">#REF!</definedName>
    <definedName name="NCO">#REF!</definedName>
    <definedName name="NCON">#REF!</definedName>
    <definedName name="NEW">#REF!</definedName>
    <definedName name="NEW_CHAR">#REF!</definedName>
    <definedName name="NNNNNNN" localSheetId="2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NO">#REF!</definedName>
    <definedName name="NQ">#REF!</definedName>
    <definedName name="NSTD">#REF!</definedName>
    <definedName name="NU">#REF!</definedName>
    <definedName name="nubira">#REF!</definedName>
    <definedName name="O">#REF!</definedName>
    <definedName name="old">#REF!</definedName>
    <definedName name="O행">#REF!</definedName>
    <definedName name="PA">#REF!</definedName>
    <definedName name="PAGE4" localSheetId="2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AM">#REF!</definedName>
    <definedName name="panel">#REF!</definedName>
    <definedName name="PART_NAME">#REF!</definedName>
    <definedName name="PART_NO">#REF!</definedName>
    <definedName name="PartNo">#REF!</definedName>
    <definedName name="PbJudgement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KG">#REF!</definedName>
    <definedName name="PKG군">#REF!</definedName>
    <definedName name="plt">#REF!</definedName>
    <definedName name="pltt">#REF!</definedName>
    <definedName name="pnl">#REF!</definedName>
    <definedName name="POS">#REF!</definedName>
    <definedName name="PP">#REF!</definedName>
    <definedName name="PPP">#REF!</definedName>
    <definedName name="PPRO">#REF!</definedName>
    <definedName name="PPRO1">#REF!</definedName>
    <definedName name="PPRO2">#REF!</definedName>
    <definedName name="_xlnm.Print_Area" localSheetId="1">'Increase lot size'!$A$1:$R$50</definedName>
    <definedName name="_xlnm.Print_Area" localSheetId="2">'Quantity of raw materials'!$W$2:$AR$18</definedName>
    <definedName name="_xlnm.Print_Area" localSheetId="0">'thay đôi số lượng lot no'!$A$1:$Q$46</definedName>
    <definedName name="_xlnm.Print_Area">#REF!</definedName>
    <definedName name="PRINT_AREA_MI">#REF!</definedName>
    <definedName name="_xlnm.Print_Titles">#N/A</definedName>
    <definedName name="PRINT_TITLES_MI">#N/A</definedName>
    <definedName name="PUR">#REF!</definedName>
    <definedName name="P행">#REF!</definedName>
    <definedName name="Q">#REF!</definedName>
    <definedName name="Q_ALL">#REF!</definedName>
    <definedName name="Q_TY">#REF!</definedName>
    <definedName name="qq">#REF!</definedName>
    <definedName name="QQQ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">#REF!</definedName>
    <definedName name="qqqqq">#REF!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TY">#REF!</definedName>
    <definedName name="QW">#N/A</definedName>
    <definedName name="Q행">#REF!</definedName>
    <definedName name="R_COVER" localSheetId="2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te">'[8]Rate Amrit'!$B$2:$D$18</definedName>
    <definedName name="rbar">#REF!</definedName>
    <definedName name="rbar1">'[9]125PIECE'!$O$10:$AM$10</definedName>
    <definedName name="REAR" localSheetId="2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_xlnm.Recorder">#REF!</definedName>
    <definedName name="regulation">#REF!</definedName>
    <definedName name="REPO509">#REF!</definedName>
    <definedName name="ReportDate">#REF!</definedName>
    <definedName name="ReportNo">#REF!</definedName>
    <definedName name="RHD" localSheetId="2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O" localSheetId="2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R">#REF!</definedName>
    <definedName name="RR.BRAKE" localSheetId="2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pnl">#REF!</definedName>
    <definedName name="RT울산시RTDKDK">#REF!</definedName>
    <definedName name="R행">#REF!</definedName>
    <definedName name="s" localSheetId="2" hidden="1">{#N/A,#N/A,FALSE,"단축1";#N/A,#N/A,FALSE,"단축2";#N/A,#N/A,FALSE,"단축3";#N/A,#N/A,FALSE,"장축";#N/A,#N/A,FALSE,"4WD"}</definedName>
    <definedName name="s" hidden="1">{#N/A,#N/A,FALSE,"단축1";#N/A,#N/A,FALSE,"단축2";#N/A,#N/A,FALSE,"단축3";#N/A,#N/A,FALSE,"장축";#N/A,#N/A,FALSE,"4WD"}</definedName>
    <definedName name="SampleName">#REF!</definedName>
    <definedName name="SampleWeight">#REF!</definedName>
    <definedName name="SAW_sub" localSheetId="2" hidden="1">{"'2공장'!$A$1:$H$216"}</definedName>
    <definedName name="SAW_sub" hidden="1">{"'2공장'!$A$1:$H$216"}</definedName>
    <definedName name="SCINIC" localSheetId="2" hidden="1">{#N/A,#N/A,FALSE,"단축1";#N/A,#N/A,FALSE,"단축2";#N/A,#N/A,FALSE,"단축3";#N/A,#N/A,FALSE,"장축";#N/A,#N/A,FALSE,"4WD"}</definedName>
    <definedName name="SCINIC" hidden="1">{#N/A,#N/A,FALSE,"단축1";#N/A,#N/A,FALSE,"단축2";#N/A,#N/A,FALSE,"단축3";#N/A,#N/A,FALSE,"장축";#N/A,#N/A,FALSE,"4WD"}</definedName>
    <definedName name="sdafsda" localSheetId="2" hidden="1">{"'2공장'!$A$1:$H$216"}</definedName>
    <definedName name="sdafsda" hidden="1">{"'2공장'!$A$1:$H$216"}</definedName>
    <definedName name="SDF" localSheetId="2" hidden="1">{#N/A,#N/A,FALSE,"Status";#N/A,#N/A,FALSE,"Deckblatt 1";#N/A,#N/A,FALSE,"Deckblatt2"}</definedName>
    <definedName name="SDF" hidden="1">{#N/A,#N/A,FALSE,"Status";#N/A,#N/A,FALSE,"Deckblatt 1";#N/A,#N/A,FALSE,"Deckblatt2"}</definedName>
    <definedName name="SDFG">#REF!</definedName>
    <definedName name="SDFGH" localSheetId="2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H" localSheetId="2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Q">#REF!</definedName>
    <definedName name="SES" hidden="1">#REF!</definedName>
    <definedName name="SFDGHG" localSheetId="2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localSheetId="2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IGMA">#REF!</definedName>
    <definedName name="SIGMA상한">#REF!</definedName>
    <definedName name="SIGMA하한">#REF!</definedName>
    <definedName name="SK">#REF!</definedName>
    <definedName name="SKFK">#REF!</definedName>
    <definedName name="Slicer_Region">#N/A</definedName>
    <definedName name="Slicer_단셀_규격">#N/A</definedName>
    <definedName name="Slicer_단셀_규격1">#N/A</definedName>
    <definedName name="Slicer_매출일">#N/A</definedName>
    <definedName name="song" localSheetId="2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2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OU">#REF!</definedName>
    <definedName name="SPART" localSheetId="2" hidden="1">{"'2공장'!$A$1:$H$216"}</definedName>
    <definedName name="SPART" hidden="1">{"'2공장'!$A$1:$H$216"}</definedName>
    <definedName name="SPEC2" localSheetId="2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EC상한">#REF!</definedName>
    <definedName name="SPEC중간">#REF!</definedName>
    <definedName name="SPEC하한">#REF!</definedName>
    <definedName name="SPLY">#REF!</definedName>
    <definedName name="SS" hidden="1">[2]CAUDIT!#REF!</definedName>
    <definedName name="sss" localSheetId="2" hidden="1">{#N/A,#N/A,FALSE,"Sheet1";#N/A,#N/A,FALSE,"Sheet1";#N/A,#N/A,FALSE,"Sheet1"}</definedName>
    <definedName name="sss" hidden="1">{#N/A,#N/A,FALSE,"Sheet1";#N/A,#N/A,FALSE,"Sheet1";#N/A,#N/A,FALSE,"Sheet1"}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#N/A</definedName>
    <definedName name="STANDARD">#REF!</definedName>
    <definedName name="start">#REF!</definedName>
    <definedName name="StartGraph">#REF!</definedName>
    <definedName name="StartPic">#REF!</definedName>
    <definedName name="SUBJECT">#REF!</definedName>
    <definedName name="Substance">#REF!</definedName>
    <definedName name="supplement">#REF!</definedName>
    <definedName name="Swvu.Komplett." hidden="1">'[4]GB-IC Villingen GG'!#REF!</definedName>
    <definedName name="Swvu.Screen." hidden="1">'[4]GB-IC Villingen GG'!#REF!</definedName>
    <definedName name="S행">#REF!</definedName>
    <definedName name="T" localSheetId="2" hidden="1">{#N/A,#N/A,FALSE,"단축1";#N/A,#N/A,FALSE,"단축2";#N/A,#N/A,FALSE,"단축3";#N/A,#N/A,FALSE,"장축";#N/A,#N/A,FALSE,"4WD"}</definedName>
    <definedName name="T" hidden="1">{#N/A,#N/A,FALSE,"단축1";#N/A,#N/A,FALSE,"단축2";#N/A,#N/A,FALSE,"단축3";#N/A,#N/A,FALSE,"장축";#N/A,#N/A,FALSE,"4WD"}</definedName>
    <definedName name="TAB_BUTTON">#REF!</definedName>
    <definedName name="TARGET">#REF!</definedName>
    <definedName name="TAXBOX1">#REF!</definedName>
    <definedName name="TB" localSheetId="2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DJPY">[10]환율!$B$2</definedName>
    <definedName name="TDUSD">[10]환율!$B$1</definedName>
    <definedName name="test1">#REF!</definedName>
    <definedName name="test2">#REF!</definedName>
    <definedName name="TIP">#REF!</definedName>
    <definedName name="TIR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localSheetId="2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">#REF!</definedName>
    <definedName name="TREE">#REF!</definedName>
    <definedName name="trreteterte" localSheetId="2" hidden="1">{"'2공장'!$A$1:$H$216"}</definedName>
    <definedName name="trreteterte" hidden="1">{"'2공장'!$A$1:$H$216"}</definedName>
    <definedName name="tryrtytrytry" localSheetId="2" hidden="1">{"'2공장'!$A$1:$H$216"}</definedName>
    <definedName name="tryrtytrytry" hidden="1">{"'2공장'!$A$1:$H$216"}</definedName>
    <definedName name="TT">#REF!</definedName>
    <definedName name="ttt">#REF!</definedName>
    <definedName name="TU">#REF!</definedName>
    <definedName name="TUV">#REF!</definedName>
    <definedName name="TYRUI" localSheetId="2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T행">#REF!</definedName>
    <definedName name="u100tir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IP" localSheetId="2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P_KOPIE">#REF!</definedName>
    <definedName name="UPC">#REF!</definedName>
    <definedName name="U행">#REF!</definedName>
    <definedName name="VERSION_NO">#REF!</definedName>
    <definedName name="VVV">#REF!</definedName>
    <definedName name="V행">#REF!</definedName>
    <definedName name="W">#REF!</definedName>
    <definedName name="W.SHOP">#N/A</definedName>
    <definedName name="WANG">#REF!</definedName>
    <definedName name="WCa">#REF!</definedName>
    <definedName name="wefwer">#REF!</definedName>
    <definedName name="WELD">#REF!</definedName>
    <definedName name="WEQ" localSheetId="2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ire_Chart" localSheetId="2" hidden="1">{"Wire Charts",#N/A,TRUE,"Wires"}</definedName>
    <definedName name="Wire_Chart" hidden="1">{"Wire Charts",#N/A,TRUE,"Wires"}</definedName>
    <definedName name="WIRE_CHART1" localSheetId="2" hidden="1">{"Wire Charts",#N/A,TRUE,"Wires"}</definedName>
    <definedName name="WIRE_CHART1" hidden="1">{"Wire Charts",#N/A,TRUE,"Wires"}</definedName>
    <definedName name="WREEWR" localSheetId="2" hidden="1">{"'2공장'!$A$1:$H$216"}</definedName>
    <definedName name="WREEWR" hidden="1">{"'2공장'!$A$1:$H$216"}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97년._.투자계획." localSheetId="2" hidden="1">{#N/A,#N/A,FALSE,"97년 투자계획 세부내역 "}</definedName>
    <definedName name="wrn.97년._.투자계획." hidden="1">{#N/A,#N/A,FALSE,"97년 투자계획 세부내역 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2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Wire._.Chart._.Summary." localSheetId="2" hidden="1">{"Wire Charts",#N/A,TRUE,"Wires"}</definedName>
    <definedName name="wrn.Wire._.Chart._.Summary." hidden="1">{"Wire Charts",#N/A,TRUE,"Wires"}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온도관리용." localSheetId="2" hidden="1">{#N/A,#N/A,FALSE,"HOT RU TEM";#N/A,#N/A,FALSE,"HOT RU TEM";#N/A,#N/A,FALSE,"HOT RU TEM"}</definedName>
    <definedName name="wrn.온도관리용." hidden="1">{#N/A,#N/A,FALSE,"HOT RU TEM";#N/A,#N/A,FALSE,"HOT RU TEM";#N/A,#N/A,FALSE,"HOT RU TEM"}</definedName>
    <definedName name="wrn.전부인쇄." localSheetId="2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2" hidden="1">{#N/A,#N/A,TRUE,"일정"}</definedName>
    <definedName name="wrn.주간._.보고." hidden="1">{#N/A,#N/A,TRUE,"일정"}</definedName>
    <definedName name="wrn.플랜트조직변경에따른인원변동." localSheetId="2" hidden="1">{#N/A,#N/A,FALSE,"Sheet1";#N/A,#N/A,FALSE,"Sheet1";#N/A,#N/A,FALSE,"Sheet1"}</definedName>
    <definedName name="wrn.플랜트조직변경에따른인원변동." hidden="1">{#N/A,#N/A,FALSE,"Sheet1";#N/A,#N/A,FALSE,"Sheet1";#N/A,#N/A,FALSE,"Sheet1"}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">#REF!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localSheetId="2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W행">#REF!</definedName>
    <definedName name="XBAR">#REF!</definedName>
    <definedName name="XD개선" localSheetId="2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L">#REF!</definedName>
    <definedName name="Xo">#REF!</definedName>
    <definedName name="X행">#REF!</definedName>
    <definedName name="YEN">#REF!</definedName>
    <definedName name="ZEI">#REF!</definedName>
    <definedName name="ZZZC">#REF!</definedName>
    <definedName name="Z횴LER">#REF!</definedName>
    <definedName name="π">PI()</definedName>
    <definedName name="ㄱ" localSheetId="2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>#REF!</definedName>
    <definedName name="ㄱㄱㄱ" localSheetId="2" hidden="1">{"'2공장'!$A$1:$H$216"}</definedName>
    <definedName name="ㄱㄱㄱ" hidden="1">{"'2공장'!$A$1:$H$216"}</definedName>
    <definedName name="ㄱㄷㅁㄱ" localSheetId="2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ㅅㄱㄷㅅㄱㄷㅅ" localSheetId="2" hidden="1">{"'2공장'!$A$1:$H$216"}</definedName>
    <definedName name="ㄱㄷㅅㄱㄷㅅㄱㄷㅅ" hidden="1">{"'2공장'!$A$1:$H$216"}</definedName>
    <definedName name="ㄱㄷㅅㄱㄷㅅㄱㄷㅅㄱ" localSheetId="2" hidden="1">{"'2공장'!$A$1:$H$216"}</definedName>
    <definedName name="ㄱㄷㅅㄱㄷㅅㄱㄷㅅㄱ" hidden="1">{"'2공장'!$A$1:$H$216"}</definedName>
    <definedName name="ㄱㅇ" localSheetId="2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형체크">#REF!</definedName>
    <definedName name="가" localSheetId="2" hidden="1">{#N/A,#N/A,FALSE,"97년 투자계획 세부내역 "}</definedName>
    <definedName name="가" hidden="1">{#N/A,#N/A,FALSE,"97년 투자계획 세부내역 "}</definedName>
    <definedName name="가나" localSheetId="2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라">#REF!</definedName>
    <definedName name="각" localSheetId="2" hidden="1">{#N/A,#N/A,FALSE,"Sheet1";#N/A,#N/A,FALSE,"Sheet1";#N/A,#N/A,FALSE,"Sheet1"}</definedName>
    <definedName name="각" hidden="1">{#N/A,#N/A,FALSE,"Sheet1";#N/A,#N/A,FALSE,"Sheet1";#N/A,#N/A,FALSE,"Sheet1"}</definedName>
    <definedName name="각방안" localSheetId="2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개발">#N/A</definedName>
    <definedName name="개발문제범" localSheetId="2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발차종">#N/A</definedName>
    <definedName name="개선" localSheetId="2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검사대기">#REF!</definedName>
    <definedName name="검성">#REF!</definedName>
    <definedName name="경리">#REF!</definedName>
    <definedName name="고무전_">[5]!부적합_고무전[고무전_]</definedName>
    <definedName name="고무전삽입">[5]!설비_고무전삽입[고무전삽입]</definedName>
    <definedName name="공">#REF!</definedName>
    <definedName name="공1">#REF!</definedName>
    <definedName name="공정">#REF!</definedName>
    <definedName name="공정품질">#REF!</definedName>
    <definedName name="공정품질2">#REF!</definedName>
    <definedName name="공차범위">#REF!</definedName>
    <definedName name="공차종류">#REF!</definedName>
    <definedName name="공혈">#REF!</definedName>
    <definedName name="공혈문제견본">#REF!</definedName>
    <definedName name="과거차문제1" localSheetId="2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">#REF!</definedName>
    <definedName name="관리NO">#REF!</definedName>
    <definedName name="관리정착">#REF!</definedName>
    <definedName name="구매" localSheetId="2" hidden="1">{"'2공장'!$A$1:$H$216"}</definedName>
    <definedName name="구매" hidden="1">{"'2공장'!$A$1:$H$216"}</definedName>
    <definedName name="권">#N/A</definedName>
    <definedName name="권영" localSheetId="2" hidden="1">{#N/A,#N/A,FALSE,"Sheet1";#N/A,#N/A,FALSE,"Sheet1";#N/A,#N/A,FALSE,"Sheet1"}</definedName>
    <definedName name="권영" hidden="1">{#N/A,#N/A,FALSE,"Sheet1";#N/A,#N/A,FALSE,"Sheet1";#N/A,#N/A,FALSE,"Sheet1"}</definedName>
    <definedName name="권오종" localSheetId="2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권종원">#N/A</definedName>
    <definedName name="권취">[5]!설비_권취[권취]</definedName>
    <definedName name="권취_">[5]!부적합_권취[권취_]</definedName>
    <definedName name="그룹나눈" localSheetId="2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글쎄" localSheetId="2" hidden="1">{#N/A,#N/A,FALSE,"97년 투자계획 세부내역 "}</definedName>
    <definedName name="글쎄" hidden="1">{#N/A,#N/A,FALSE,"97년 투자계획 세부내역 "}</definedName>
    <definedName name="금체크">#REF!</definedName>
    <definedName name="금형">#REF!</definedName>
    <definedName name="금형교체">#REF!</definedName>
    <definedName name="금형교체6월">#REF!</definedName>
    <definedName name="금형교체단축">#REF!</definedName>
    <definedName name="금형교체요소별체크">#REF!</definedName>
    <definedName name="기록읽기">"Rectangle 62"</definedName>
    <definedName name="기아" localSheetId="2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안갑">#REF!</definedName>
    <definedName name="기안을">#REF!</definedName>
    <definedName name="기타_">[5]!부적합_기타[기타_]</definedName>
    <definedName name="기획">#REF!</definedName>
    <definedName name="기획1">#REF!</definedName>
    <definedName name="김">#REF!</definedName>
    <definedName name="김세일">#N/A</definedName>
    <definedName name="김윤기" localSheetId="2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일">#N/A</definedName>
    <definedName name="김주연">#REF!</definedName>
    <definedName name="ㄴ">#REF!</definedName>
    <definedName name="ㄴㄴ">#REF!</definedName>
    <definedName name="ㄴㄴㄴ">#REF!</definedName>
    <definedName name="ㄴㄹ" localSheetId="2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ㅇㅎㅇ롱로" hidden="1">#REF!</definedName>
    <definedName name="ㄴㅇ로ㅓㅎ롷롫ㅇ" localSheetId="2" hidden="1">{#N/A,#N/A,FALSE,"단축1";#N/A,#N/A,FALSE,"단축2";#N/A,#N/A,FALSE,"단축3";#N/A,#N/A,FALSE,"장축";#N/A,#N/A,FALSE,"4WD"}</definedName>
    <definedName name="ㄴㅇ로ㅓㅎ롷롫ㅇ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ㅋ" localSheetId="2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나나" localSheetId="2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라">#REF!</definedName>
    <definedName name="내구성적적">#REF!</definedName>
    <definedName name="노무비">#REF!</definedName>
    <definedName name="ㄷ" localSheetId="2" hidden="1">{#N/A,#N/A,FALSE,"AG";#N/A,#N/A,FALSE,"UB-I";#N/A,#N/A,FALSE,"UB--SR_K";#N/A,#N/A,FALSE,"UB-SR_B";#N/A,#N/A,FALSE,"UB-KS";#N/A,#N/A,FALSE,"Kienzle"}</definedName>
    <definedName name="ㄷ" hidden="1">{#N/A,#N/A,FALSE,"AG";#N/A,#N/A,FALSE,"UB-I";#N/A,#N/A,FALSE,"UB--SR_K";#N/A,#N/A,FALSE,"UB-SR_B";#N/A,#N/A,FALSE,"UB-KS";#N/A,#N/A,FALSE,"Kienzle"}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ㄷㅈ" localSheetId="2" hidden="1">{"'2공장'!$A$1:$H$216"}</definedName>
    <definedName name="ㄷㄱㄷㅈ" hidden="1">{"'2공장'!$A$1:$H$216"}</definedName>
    <definedName name="ㄷㄱㄷㅈㄱ">#REF!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ㄷ" localSheetId="2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ㄱㄷㅈㄱ" localSheetId="2" hidden="1">{"'2공장'!$A$1:$H$216"}</definedName>
    <definedName name="ㄷㄷㄱㄷㅈㄱ" hidden="1">{"'2공장'!$A$1:$H$216"}</definedName>
    <definedName name="ㄷㄷㄷㄷ">#REF!</definedName>
    <definedName name="대">#REF!</definedName>
    <definedName name="대부" localSheetId="2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회">#REF!</definedName>
    <definedName name="동력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등급">#REF!</definedName>
    <definedName name="등급표" hidden="1">#REF!</definedName>
    <definedName name="ㄹ">#REF!</definedName>
    <definedName name="ㄹㄴㅇㅁ">#REF!</definedName>
    <definedName name="ㄹㄹ">#REF!</definedName>
    <definedName name="ㄹㄹㄹ">#REF!</definedName>
    <definedName name="ㄹㄹㄹ11">#REF!</definedName>
    <definedName name="ㄹㅇ" localSheetId="2" hidden="1">{#N/A,#N/A,FALSE,"Sheet1";#N/A,#N/A,FALSE,"Sheet1";#N/A,#N/A,FALSE,"Sheet1"}</definedName>
    <definedName name="ㄹㅇ" hidden="1">{#N/A,#N/A,FALSE,"Sheet1";#N/A,#N/A,FALSE,"Sheet1";#N/A,#N/A,FALSE,"Sheet1"}</definedName>
    <definedName name="ㄹㅇㄴㅁ">#REF!</definedName>
    <definedName name="ㄹㅇㅀ" localSheetId="2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ㄹㅇㅎ" localSheetId="2" hidden="1">{"'2공장'!$A$1:$H$216"}</definedName>
    <definedName name="ㄹㅇㅎㄹㅇㅎ" hidden="1">{"'2공장'!$A$1:$H$216"}</definedName>
    <definedName name="ㄹㅇㅎㄹㅇㅎㄹㅇㅎ" localSheetId="2" hidden="1">{"'2공장'!$A$1:$H$216"}</definedName>
    <definedName name="ㄹㅇㅎㄹㅇㅎㄹㅇㅎ" hidden="1">{"'2공장'!$A$1:$H$216"}</definedName>
    <definedName name="ㄹㅇㅎㅇㅀㄹㅇㅀㅇㅎ" localSheetId="2" hidden="1">{#N/A,#N/A,FALSE,"단축1";#N/A,#N/A,FALSE,"단축2";#N/A,#N/A,FALSE,"단축3";#N/A,#N/A,FALSE,"장축";#N/A,#N/A,FALSE,"4WD"}</definedName>
    <definedName name="ㄹㅇㅎㅇㅀㄹㅇㅀㅇㅎ" hidden="1">{#N/A,#N/A,FALSE,"단축1";#N/A,#N/A,FALSE,"단축2";#N/A,#N/A,FALSE,"단축3";#N/A,#N/A,FALSE,"장축";#N/A,#N/A,FALSE,"4WD"}</definedName>
    <definedName name="ㄹㅇㅎㅇㅀㅇ" localSheetId="2" hidden="1">{#N/A,#N/A,FALSE,"단축1";#N/A,#N/A,FALSE,"단축2";#N/A,#N/A,FALSE,"단축3";#N/A,#N/A,FALSE,"장축";#N/A,#N/A,FALSE,"4WD"}</definedName>
    <definedName name="ㄹㅇㅎㅇㅀㅇ" hidden="1">{#N/A,#N/A,FALSE,"단축1";#N/A,#N/A,FALSE,"단축2";#N/A,#N/A,FALSE,"단축3";#N/A,#N/A,FALSE,"장축";#N/A,#N/A,FALSE,"4WD"}</definedName>
    <definedName name="ㄹ아라라라라라라">#REF!</definedName>
    <definedName name="러시아" localSheetId="2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러ㅏㅣ머람">#REF!</definedName>
    <definedName name="레디이">#REF!</definedName>
    <definedName name="로커커버" localSheetId="2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ㅀㅇㅀㄴㅇㅀㅁㄴ" localSheetId="2" hidden="1">{#N/A,#N/A,FALSE,"단축1";#N/A,#N/A,FALSE,"단축2";#N/A,#N/A,FALSE,"단축3";#N/A,#N/A,FALSE,"장축";#N/A,#N/A,FALSE,"4WD"}</definedName>
    <definedName name="ㅀㅇㅀㄴㅇㅀㅁㄴ" hidden="1">{#N/A,#N/A,FALSE,"단축1";#N/A,#N/A,FALSE,"단축2";#N/A,#N/A,FALSE,"단축3";#N/A,#N/A,FALSE,"장축";#N/A,#N/A,FALSE,"4WD"}</definedName>
    <definedName name="ㅀㅇㅎㄹㅇㅀㅇㄹ" localSheetId="2" hidden="1">{#N/A,#N/A,FALSE,"단축1";#N/A,#N/A,FALSE,"단축2";#N/A,#N/A,FALSE,"단축3";#N/A,#N/A,FALSE,"장축";#N/A,#N/A,FALSE,"4WD"}</definedName>
    <definedName name="ㅀㅇㅎㄹㅇㅀㅇㄹ" hidden="1">{#N/A,#N/A,FALSE,"단축1";#N/A,#N/A,FALSE,"단축2";#N/A,#N/A,FALSE,"단축3";#N/A,#N/A,FALSE,"장축";#N/A,#N/A,FALSE,"4WD"}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>#REF!</definedName>
    <definedName name="ㅁ1">#REF!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ㅁㄴㅇㅁㅇㄴ">#N/A</definedName>
    <definedName name="ㅁㄴㅇㄱ">#REF!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ㄹㄴㄹ" localSheetId="2" hidden="1">{#N/A,#N/A,FALSE,"단축1";#N/A,#N/A,FALSE,"단축2";#N/A,#N/A,FALSE,"단축3";#N/A,#N/A,FALSE,"장축";#N/A,#N/A,FALSE,"4WD"}</definedName>
    <definedName name="ㅁㄴㅇㄹㄴㅇㄹㄴ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2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러앙ㅁㅇㅁ">'[11]1차명단'!$A$5:$E$186</definedName>
    <definedName name="ㅁㅁ">#N/A</definedName>
    <definedName name="ㅁㅁㅁ">#REF!</definedName>
    <definedName name="ㅁㅇㄱㅎ" localSheetId="2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ㅁ">#REF!</definedName>
    <definedName name="ㅁㅇㅂㅈㄷㄹㅇ" localSheetId="2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메뉴이동">#N/A</definedName>
    <definedName name="모아">#REF!</definedName>
    <definedName name="목차" localSheetId="2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몰라" localSheetId="2" hidden="1">{#N/A,#N/A,TRUE,"일정"}</definedName>
    <definedName name="몰라" hidden="1">{#N/A,#N/A,TRUE,"일정"}</definedName>
    <definedName name="미" localSheetId="2" hidden="1">{#N/A,#N/A,FALSE,"Sheet1";#N/A,#N/A,FALSE,"Sheet1";#N/A,#N/A,FALSE,"Sheet1"}</definedName>
    <definedName name="미" hidden="1">{#N/A,#N/A,FALSE,"Sheet1";#N/A,#N/A,FALSE,"Sheet1";#N/A,#N/A,FALSE,"Sheet1"}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">#REF!</definedName>
    <definedName name="ㅂ">#N/A</definedName>
    <definedName name="ㅂㅈㄷㅌ">#REF!</definedName>
    <definedName name="바">#REF!</definedName>
    <definedName name="바로가기" localSheetId="2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박지호" localSheetId="2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변">#N/A</definedName>
    <definedName name="변경">#REF!</definedName>
    <definedName name="변경목차" localSheetId="2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고" localSheetId="1">[12]!보고</definedName>
    <definedName name="보고" localSheetId="2">[12]!보고</definedName>
    <definedName name="보고">[12]!보고</definedName>
    <definedName name="볼트수정" localSheetId="2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서">#REF!</definedName>
    <definedName name="부품SOURCE_DSL_개발팀" localSheetId="2" hidden="1">{#N/A,#N/A,FALSE,"단축1";#N/A,#N/A,FALSE,"단축2";#N/A,#N/A,FALSE,"단축3";#N/A,#N/A,FALSE,"장축";#N/A,#N/A,FALSE,"4WD"}</definedName>
    <definedName name="부품SOURCE_DSL_개발팀" hidden="1">{#N/A,#N/A,FALSE,"단축1";#N/A,#N/A,FALSE,"단축2";#N/A,#N/A,FALSE,"단축3";#N/A,#N/A,FALSE,"장축";#N/A,#N/A,FALSE,"4WD"}</definedName>
    <definedName name="불량">#REF!</definedName>
    <definedName name="비고">#REF!</definedName>
    <definedName name="비딩_">[5]!부적합_비딩[비딩_]</definedName>
    <definedName name="ㅅ">#REF!</definedName>
    <definedName name="ㅅㅅ">#REF!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항">#REF!</definedName>
    <definedName name="새세" localSheetId="2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색인">#REF!</definedName>
    <definedName name="생산">#REF!</definedName>
    <definedName name="생산1111">#REF!</definedName>
    <definedName name="설비명">#REF!</definedName>
    <definedName name="설비유형">#REF!</definedName>
    <definedName name="설비유형1">#REF!</definedName>
    <definedName name="성우" localSheetId="2" hidden="1">{#N/A,#N/A,FALSE,"Sheet1";#N/A,#N/A,FALSE,"Sheet1";#N/A,#N/A,FALSE,"Sheet1"}</definedName>
    <definedName name="성우" hidden="1">{#N/A,#N/A,FALSE,"Sheet1";#N/A,#N/A,FALSE,"Sheet1";#N/A,#N/A,FALSE,"Sheet1"}</definedName>
    <definedName name="성적서">#REF!</definedName>
    <definedName name="세">#N/A</definedName>
    <definedName name="세부내역">#REF!</definedName>
    <definedName name="세일">#N/A</definedName>
    <definedName name="세척_건조_">[5]!부적합_세척_건조[세척,건조_]</definedName>
    <definedName name="셀리카" hidden="1">#REF!</definedName>
    <definedName name="소" localSheetId="2" hidden="1">{#N/A,#N/A,FALSE,"Sheet1";#N/A,#N/A,FALSE,"Sheet1";#N/A,#N/A,FALSE,"Sheet1"}</definedName>
    <definedName name="소" hidden="1">{#N/A,#N/A,FALSE,"Sheet1";#N/A,#N/A,FALSE,"Sheet1";#N/A,#N/A,FALSE,"Sheet1"}</definedName>
    <definedName name="소물_BRKT_SUB_용접RH">#REF!</definedName>
    <definedName name="소뮨" localSheetId="2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속팀">#REF!</definedName>
    <definedName name="소하프로젝트" localSheetId="2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쇼">#REF!</definedName>
    <definedName name="쇼바2" localSheetId="2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금">#REF!</definedName>
    <definedName name="수금분석">#REF!</definedName>
    <definedName name="수종" localSheetId="2" hidden="1">{#N/A,#N/A,FALSE,"Sheet1";#N/A,#N/A,FALSE,"Sheet1";#N/A,#N/A,FALSE,"Sheet1"}</definedName>
    <definedName name="수종" hidden="1">{#N/A,#N/A,FALSE,"Sheet1";#N/A,#N/A,FALSE,"Sheet1";#N/A,#N/A,FALSE,"Sheet1"}</definedName>
    <definedName name="순수원자재">#REF!</definedName>
    <definedName name="순수원자재2">#REF!</definedName>
    <definedName name="스트리핑">[5]!설비_스트리핑[스트리핑]</definedName>
    <definedName name="스트리핑_">[5]!부적합_스트리핑[스트리핑_]</definedName>
    <definedName name="슬라이서_검사자1">#N/A</definedName>
    <definedName name="슬라이서_부적합명">#N/A</definedName>
    <definedName name="슬라이서_용량_품명">#N/A</definedName>
    <definedName name="슬라이서_원인_설비명">#N/A</definedName>
    <definedName name="슬라이서_원인공정">#N/A</definedName>
    <definedName name="슬라이서_월1">#N/A</definedName>
    <definedName name="슬라이서_지역">#REF!</definedName>
    <definedName name="슬라이서_지역1">#REF!</definedName>
    <definedName name="슬리브">[5]!설비_슬리브[슬리브]</definedName>
    <definedName name="슬리빙_">[5]!부적합_슬리빙[슬리빙_]</definedName>
    <definedName name="시험성적서서">#REF!</definedName>
    <definedName name="신기술_신공법" localSheetId="2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뢰">#REF!</definedName>
    <definedName name="신뢰성1">#REF!</definedName>
    <definedName name="신차품질일정" localSheetId="2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">SUM(#REF!)</definedName>
    <definedName name="실적집계" localSheetId="2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ㄴㅀㅇㅀㅇㅎㅇㅎㅇㄹ" localSheetId="2" hidden="1">{#N/A,#N/A,FALSE,"단축1";#N/A,#N/A,FALSE,"단축2";#N/A,#N/A,FALSE,"단축3";#N/A,#N/A,FALSE,"장축";#N/A,#N/A,FALSE,"4WD"}</definedName>
    <definedName name="ㅇㄴㅀㅇㅀㅇㅎㅇㅎㅇㄹ" hidden="1">{#N/A,#N/A,FALSE,"단축1";#N/A,#N/A,FALSE,"단축2";#N/A,#N/A,FALSE,"단축3";#N/A,#N/A,FALSE,"장축";#N/A,#N/A,FALSE,"4WD"}</definedName>
    <definedName name="ㅇㄴㅇㄹㄴ" localSheetId="2" hidden="1">{#N/A,#N/A,FALSE,"단축1";#N/A,#N/A,FALSE,"단축2";#N/A,#N/A,FALSE,"단축3";#N/A,#N/A,FALSE,"장축";#N/A,#N/A,FALSE,"4WD"}</definedName>
    <definedName name="ㅇㄴㅇㄹㄴ" hidden="1">{#N/A,#N/A,FALSE,"단축1";#N/A,#N/A,FALSE,"단축2";#N/A,#N/A,FALSE,"단축3";#N/A,#N/A,FALSE,"장축";#N/A,#N/A,FALSE,"4WD"}</definedName>
    <definedName name="ㅇㄹ" localSheetId="2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ㄴㄹㅇㄴㅇㄹㄴㅇㄹㄹ" localSheetId="2" hidden="1">{#N/A,#N/A,FALSE,"단축1";#N/A,#N/A,FALSE,"단축2";#N/A,#N/A,FALSE,"단축3";#N/A,#N/A,FALSE,"장축";#N/A,#N/A,FALSE,"4WD"}</definedName>
    <definedName name="ㅇㄹㄴㄹㅇㄴㅇㄹㄴㅇㄹㄹ" hidden="1">{#N/A,#N/A,FALSE,"단축1";#N/A,#N/A,FALSE,"단축2";#N/A,#N/A,FALSE,"단축3";#N/A,#N/A,FALSE,"장축";#N/A,#N/A,FALSE,"4WD"}</definedName>
    <definedName name="ㅇㄹㄴㄻㄴㄹㄴㅇㄹㄴㅇ" localSheetId="2" hidden="1">{#N/A,#N/A,FALSE,"단축1";#N/A,#N/A,FALSE,"단축2";#N/A,#N/A,FALSE,"단축3";#N/A,#N/A,FALSE,"장축";#N/A,#N/A,FALSE,"4WD"}</definedName>
    <definedName name="ㅇㄹㄴㄻㄴㄹㄴㅇㄹㄴㅇ" hidden="1">{#N/A,#N/A,FALSE,"단축1";#N/A,#N/A,FALSE,"단축2";#N/A,#N/A,FALSE,"단축3";#N/A,#N/A,FALSE,"장축";#N/A,#N/A,FALSE,"4WD"}</definedName>
    <definedName name="ㅇㄹㄴㅇㄹㄴ" localSheetId="2" hidden="1">{#N/A,#N/A,FALSE,"단축1";#N/A,#N/A,FALSE,"단축2";#N/A,#N/A,FALSE,"단축3";#N/A,#N/A,FALSE,"장축";#N/A,#N/A,FALSE,"4WD"}</definedName>
    <definedName name="ㅇㄹㄴㅇㄹㄴ" hidden="1">{#N/A,#N/A,FALSE,"단축1";#N/A,#N/A,FALSE,"단축2";#N/A,#N/A,FALSE,"단축3";#N/A,#N/A,FALSE,"장축";#N/A,#N/A,FALSE,"4WD"}</definedName>
    <definedName name="ㅇㄹㄴㅇㄹㄴㄹㄴㄴ" localSheetId="2" hidden="1">{#N/A,#N/A,FALSE,"단축1";#N/A,#N/A,FALSE,"단축2";#N/A,#N/A,FALSE,"단축3";#N/A,#N/A,FALSE,"장축";#N/A,#N/A,FALSE,"4WD"}</definedName>
    <definedName name="ㅇㄹㄴㅇㄹㄴㄹㄴㄴ" hidden="1">{#N/A,#N/A,FALSE,"단축1";#N/A,#N/A,FALSE,"단축2";#N/A,#N/A,FALSE,"단축3";#N/A,#N/A,FALSE,"장축";#N/A,#N/A,FALSE,"4WD"}</definedName>
    <definedName name="ㅇㄹㄴㅇㄹㄴㄹㅈㅈ" localSheetId="2" hidden="1">{#N/A,#N/A,FALSE,"단축1";#N/A,#N/A,FALSE,"단축2";#N/A,#N/A,FALSE,"단축3";#N/A,#N/A,FALSE,"장축";#N/A,#N/A,FALSE,"4WD"}</definedName>
    <definedName name="ㅇㄹㄴㅇㄹㄴㄹㅈㅈ" hidden="1">{#N/A,#N/A,FALSE,"단축1";#N/A,#N/A,FALSE,"단축2";#N/A,#N/A,FALSE,"단축3";#N/A,#N/A,FALSE,"장축";#N/A,#N/A,FALSE,"4WD"}</definedName>
    <definedName name="ㅇㄹㄴㅇㄹㄴㅇㄹㄴㄹ" localSheetId="2" hidden="1">{#N/A,#N/A,FALSE,"단축1";#N/A,#N/A,FALSE,"단축2";#N/A,#N/A,FALSE,"단축3";#N/A,#N/A,FALSE,"장축";#N/A,#N/A,FALSE,"4WD"}</definedName>
    <definedName name="ㅇㄹㄴㅇㄹㄴㅇㄹㄴㄹ" hidden="1">{#N/A,#N/A,FALSE,"단축1";#N/A,#N/A,FALSE,"단축2";#N/A,#N/A,FALSE,"단축3";#N/A,#N/A,FALSE,"장축";#N/A,#N/A,FALSE,"4WD"}</definedName>
    <definedName name="ㅇㄹㄴㅇㄹㄴㅇㄹㄴㅇ" localSheetId="2" hidden="1">{#N/A,#N/A,FALSE,"단축1";#N/A,#N/A,FALSE,"단축2";#N/A,#N/A,FALSE,"단축3";#N/A,#N/A,FALSE,"장축";#N/A,#N/A,FALSE,"4WD"}</definedName>
    <definedName name="ㅇㄹㄴㅇㄹㄴㅇㄹㄴㅇ" hidden="1">{#N/A,#N/A,FALSE,"단축1";#N/A,#N/A,FALSE,"단축2";#N/A,#N/A,FALSE,"단축3";#N/A,#N/A,FALSE,"장축";#N/A,#N/A,FALSE,"4WD"}</definedName>
    <definedName name="ㅇㄹㄴㅇㄹㅇㄹㄴㅇㄴ" localSheetId="2" hidden="1">{#N/A,#N/A,FALSE,"단축1";#N/A,#N/A,FALSE,"단축2";#N/A,#N/A,FALSE,"단축3";#N/A,#N/A,FALSE,"장축";#N/A,#N/A,FALSE,"4WD"}</definedName>
    <definedName name="ㅇㄹㄴㅇㄹㅇㄹㄴㅇㄴ" hidden="1">{#N/A,#N/A,FALSE,"단축1";#N/A,#N/A,FALSE,"단축2";#N/A,#N/A,FALSE,"단축3";#N/A,#N/A,FALSE,"장축";#N/A,#N/A,FALSE,"4WD"}</definedName>
    <definedName name="ㅇㄹㄴㅇㅇ" localSheetId="2" hidden="1">{#N/A,#N/A,FALSE,"단축1";#N/A,#N/A,FALSE,"단축2";#N/A,#N/A,FALSE,"단축3";#N/A,#N/A,FALSE,"장축";#N/A,#N/A,FALSE,"4WD"}</definedName>
    <definedName name="ㅇㄹㄴㅇㅇ" hidden="1">{#N/A,#N/A,FALSE,"단축1";#N/A,#N/A,FALSE,"단축2";#N/A,#N/A,FALSE,"단축3";#N/A,#N/A,FALSE,"장축";#N/A,#N/A,FALSE,"4WD"}</definedName>
    <definedName name="ㅇㄹㄶㅀㅀㄴㅇ" localSheetId="2" hidden="1">{#N/A,#N/A,FALSE,"단축1";#N/A,#N/A,FALSE,"단축2";#N/A,#N/A,FALSE,"단축3";#N/A,#N/A,FALSE,"장축";#N/A,#N/A,FALSE,"4WD"}</definedName>
    <definedName name="ㅇㄹㄶㅀㅀㄴㅇ" hidden="1">{#N/A,#N/A,FALSE,"단축1";#N/A,#N/A,FALSE,"단축2";#N/A,#N/A,FALSE,"단축3";#N/A,#N/A,FALSE,"장축";#N/A,#N/A,FALSE,"4WD"}</definedName>
    <definedName name="ㅇ롱" localSheetId="2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ㄺㄷㅅㄹㅇ" localSheetId="2" hidden="1">{"'2공장'!$A$1:$H$216"}</definedName>
    <definedName name="ㅇㄺㄷㅅㄹㅇ" hidden="1">{"'2공장'!$A$1:$H$216"}</definedName>
    <definedName name="ㅇㄻㄴㅇ롸ㅣ" localSheetId="2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ㅀㄹㅇㅎㄹㅇㅎ" localSheetId="2" hidden="1">{"'2공장'!$A$1:$H$216"}</definedName>
    <definedName name="ㅇㅀㄹㅇㅎㄹㅇㅎ" hidden="1">{"'2공장'!$A$1:$H$216"}</definedName>
    <definedName name="ㅇㅀㄺㅎㄹㅇㅎㄹㅇ" localSheetId="2" hidden="1">{"'2공장'!$A$1:$H$216"}</definedName>
    <definedName name="ㅇㅀㄺㅎㄹㅇㅎㄹㅇ" hidden="1">{"'2공장'!$A$1:$H$216"}</definedName>
    <definedName name="ㅇㅀㅇㅀㄹㅇ" localSheetId="2" hidden="1">{"'2공장'!$A$1:$H$216"}</definedName>
    <definedName name="ㅇㅀㅇㅀㄹㅇ" hidden="1">{"'2공장'!$A$1:$H$216"}</definedName>
    <definedName name="ㅇㅀㅇㅀㅇㅎ" localSheetId="2" hidden="1">{#N/A,#N/A,FALSE,"신규dep";#N/A,#N/A,FALSE,"신규dep-금형상각후";#N/A,#N/A,FALSE,"신규dep-연구비상각후";#N/A,#N/A,FALSE,"신규dep-기계,공구상각후"}</definedName>
    <definedName name="ㅇㅀㅇㅀㅇㅎ" hidden="1">{#N/A,#N/A,FALSE,"신규dep";#N/A,#N/A,FALSE,"신규dep-금형상각후";#N/A,#N/A,FALSE,"신규dep-연구비상각후";#N/A,#N/A,FALSE,"신규dep-기계,공구상각후"}</definedName>
    <definedName name="ㅇㅀㅇㅀㅇㅎㅇㅎㅇ" localSheetId="2" hidden="1">{#N/A,#N/A,FALSE,"단축1";#N/A,#N/A,FALSE,"단축2";#N/A,#N/A,FALSE,"단축3";#N/A,#N/A,FALSE,"장축";#N/A,#N/A,FALSE,"4WD"}</definedName>
    <definedName name="ㅇㅀㅇㅀㅇㅎㅇㅎㅇ" hidden="1">{#N/A,#N/A,FALSE,"단축1";#N/A,#N/A,FALSE,"단축2";#N/A,#N/A,FALSE,"단축3";#N/A,#N/A,FALSE,"장축";#N/A,#N/A,FALSE,"4WD"}</definedName>
    <definedName name="ㅇㅀㅇㅎㄹㅇㅀㅇㅀㅇㄹ" localSheetId="2" hidden="1">{#N/A,#N/A,FALSE,"단축1";#N/A,#N/A,FALSE,"단축2";#N/A,#N/A,FALSE,"단축3";#N/A,#N/A,FALSE,"장축";#N/A,#N/A,FALSE,"4WD"}</definedName>
    <definedName name="ㅇㅀㅇㅎㄹㅇㅀㅇㅀㅇㄹ" hidden="1">{#N/A,#N/A,FALSE,"단축1";#N/A,#N/A,FALSE,"단축2";#N/A,#N/A,FALSE,"단축3";#N/A,#N/A,FALSE,"장축";#N/A,#N/A,FALSE,"4WD"}</definedName>
    <definedName name="ㅇㅀㅇㅎㅇㅀㅇㅀㅇㅀ" localSheetId="2" hidden="1">{#N/A,#N/A,FALSE,"단축1";#N/A,#N/A,FALSE,"단축2";#N/A,#N/A,FALSE,"단축3";#N/A,#N/A,FALSE,"장축";#N/A,#N/A,FALSE,"4WD"}</definedName>
    <definedName name="ㅇㅀㅇㅎㅇㅀㅇㅀㅇㅀ" hidden="1">{#N/A,#N/A,FALSE,"단축1";#N/A,#N/A,FALSE,"단축2";#N/A,#N/A,FALSE,"단축3";#N/A,#N/A,FALSE,"장축";#N/A,#N/A,FALSE,"4WD"}</definedName>
    <definedName name="ㅇㅀ호" localSheetId="2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" localSheetId="2" hidden="1">{#N/A,#N/A,FALSE,"단축1";#N/A,#N/A,FALSE,"단축2";#N/A,#N/A,FALSE,"단축3";#N/A,#N/A,FALSE,"장축";#N/A,#N/A,FALSE,"4WD"}</definedName>
    <definedName name="ㅇㅇㅇ" hidden="1">{#N/A,#N/A,FALSE,"단축1";#N/A,#N/A,FALSE,"단축2";#N/A,#N/A,FALSE,"단축3";#N/A,#N/A,FALSE,"장축";#N/A,#N/A,FALSE,"4WD"}</definedName>
    <definedName name="ㅇㅇㅇㅇ">#REF!</definedName>
    <definedName name="ㅇㅎㄹ" localSheetId="2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ㅇ로ㅓ">#REF!</definedName>
    <definedName name="아">#REF!</definedName>
    <definedName name="아아아아ㅏㅇ">#REF!</definedName>
    <definedName name="아아아ㅏ앙">#REF!</definedName>
    <definedName name="안현모" localSheetId="2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언" localSheetId="2" hidden="1">{"'2공장'!$A$1:$H$216"}</definedName>
    <definedName name="언" hidden="1">{"'2공장'!$A$1:$H$216"}</definedName>
    <definedName name="엉ㄹ">#REF!</definedName>
    <definedName name="여여영">#REF!</definedName>
    <definedName name="연료펌프" hidden="1">[13]CAUDIT!#REF!</definedName>
    <definedName name="연습용" localSheetId="2" hidden="1">{#N/A,#N/A,FALSE,"Sheet1";#N/A,#N/A,FALSE,"Sheet1";#N/A,#N/A,FALSE,"Sheet1"}</definedName>
    <definedName name="연습용" hidden="1">{#N/A,#N/A,FALSE,"Sheet1";#N/A,#N/A,FALSE,"Sheet1";#N/A,#N/A,FALSE,"Sheet1"}</definedName>
    <definedName name="영">#REF!</definedName>
    <definedName name="영업">#REF!</definedName>
    <definedName name="영업구분">#REF!</definedName>
    <definedName name="영업인건배부" localSheetId="2" hidden="1">{#N/A,#N/A,FALSE,"97년 투자계획 세부내역 "}</definedName>
    <definedName name="영업인건배부" hidden="1">{#N/A,#N/A,FALSE,"97년 투자계획 세부내역 "}</definedName>
    <definedName name="영업인건비배부" localSheetId="2" hidden="1">{#N/A,#N/A,FALSE,"97년 투자계획 세부내역 "}</definedName>
    <definedName name="영업인건비배부" hidden="1">{#N/A,#N/A,FALSE,"97년 투자계획 세부내역 "}</definedName>
    <definedName name="예방건수">#REF!</definedName>
    <definedName name="예산">#REF!</definedName>
    <definedName name="예상실적">#REF!</definedName>
    <definedName name="예상입고">[14]!Table5[#Data]</definedName>
    <definedName name="예약건수">#REF!</definedName>
    <definedName name="예정량1">#REF!</definedName>
    <definedName name="예정량2">#REF!</definedName>
    <definedName name="예정일1">#REF!</definedName>
    <definedName name="예정일2">#REF!</definedName>
    <definedName name="오" localSheetId="2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세범" localSheetId="2" hidden="1">{#N/A,#N/A,FALSE,"97년 투자계획 세부내역 "}</definedName>
    <definedName name="오세범" hidden="1">{#N/A,#N/A,FALSE,"97년 투자계획 세부내역 "}</definedName>
    <definedName name="왕">[15]OQAVM!#REF!</definedName>
    <definedName name="왕운">#REF!</definedName>
    <definedName name="왕운석">[15]OQAVM!#REF!</definedName>
    <definedName name="외주업체" localSheetId="2" hidden="1">{#N/A,#N/A,FALSE,"단축1";#N/A,#N/A,FALSE,"단축2";#N/A,#N/A,FALSE,"단축3";#N/A,#N/A,FALSE,"장축";#N/A,#N/A,FALSE,"4WD"}</definedName>
    <definedName name="외주업체" hidden="1">{#N/A,#N/A,FALSE,"단축1";#N/A,#N/A,FALSE,"단축2";#N/A,#N/A,FALSE,"단축3";#N/A,#N/A,FALSE,"장축";#N/A,#N/A,FALSE,"4WD"}</definedName>
    <definedName name="요약" hidden="1">#REF!</definedName>
    <definedName name="우리나라">#REF!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윤훈식">#REF!</definedName>
    <definedName name="이" localSheetId="2" hidden="1">{#N/A,#N/A,FALSE,"Sheet1";#N/A,#N/A,FALSE,"Sheet1";#N/A,#N/A,FALSE,"Sheet1"}</definedName>
    <definedName name="이" hidden="1">{#N/A,#N/A,FALSE,"Sheet1";#N/A,#N/A,FALSE,"Sheet1";#N/A,#N/A,FALSE,"Sheet1"}</definedName>
    <definedName name="이동">#REF!</definedName>
    <definedName name="이름">SUM(#REF!)</definedName>
    <definedName name="이병화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용범">#N/A</definedName>
    <definedName name="이종화">#REF!</definedName>
    <definedName name="이혁준" localSheetId="2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일">#N/A</definedName>
    <definedName name="일반관리비">#REF!</definedName>
    <definedName name="일정1">#REF!</definedName>
    <definedName name="입력란">#REF!</definedName>
    <definedName name="입력란1">#REF!</definedName>
    <definedName name="입력란2">#REF!</definedName>
    <definedName name="입범석">#REF!</definedName>
    <definedName name="입출고삭제" localSheetId="1">[16]!입출고삭제</definedName>
    <definedName name="입출고삭제" localSheetId="2">[16]!입출고삭제</definedName>
    <definedName name="입출고삭제">[16]!입출고삭제</definedName>
    <definedName name="ㅈ">#REF!</definedName>
    <definedName name="ㅈㄴㄴ" localSheetId="2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ㅂㅈㅂ" localSheetId="2" hidden="1">{#N/A,#N/A,FALSE,"Sheet1";#N/A,#N/A,FALSE,"Sheet1";#N/A,#N/A,FALSE,"Sheet1"}</definedName>
    <definedName name="ㅈㅂㅈㅂ" hidden="1">{#N/A,#N/A,FALSE,"Sheet1";#N/A,#N/A,FALSE,"Sheet1";#N/A,#N/A,FALSE,"Sheet1"}</definedName>
    <definedName name="ㅈㅈ" localSheetId="2" hidden="1">{"'2공장'!$A$1:$H$216"}</definedName>
    <definedName name="ㅈㅈ" hidden="1">{"'2공장'!$A$1:$H$216"}</definedName>
    <definedName name="ㅈㅈㅂㅈㄷ" localSheetId="2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자사구분">#REF!</definedName>
    <definedName name="장세만">#REF!</definedName>
    <definedName name="장소">#REF!</definedName>
    <definedName name="장완석" localSheetId="2" hidden="1">{#N/A,#N/A,FALSE,"97년 투자계획 세부내역 "}</definedName>
    <definedName name="장완석" hidden="1">{#N/A,#N/A,FALSE,"97년 투자계획 세부내역 "}</definedName>
    <definedName name="재고">#REF!</definedName>
    <definedName name="재료비">#REF!</definedName>
    <definedName name="적용">#REF!</definedName>
    <definedName name="적용환율_USD">'[17]DATA-SC부문'!$M$1</definedName>
    <definedName name="전극">[5]!설비_전극[전극]</definedName>
    <definedName name="전극_">[5]!부적합_전극[전극_]</definedName>
    <definedName name="전산">#REF!</definedName>
    <definedName name="전장su">#REF!</definedName>
    <definedName name="전체1" localSheetId="2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종합" localSheetId="2" hidden="1">{#N/A,#N/A,FALSE,"단축1";#N/A,#N/A,FALSE,"단축2";#N/A,#N/A,FALSE,"단축3";#N/A,#N/A,FALSE,"장축";#N/A,#N/A,FALSE,"4WD"}</definedName>
    <definedName name="전체종합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절감방안">#REF!</definedName>
    <definedName name="절곡_">[5]!부적합_절곡[절곡_]</definedName>
    <definedName name="점철_">[5]!부적합_점철[점철_]</definedName>
    <definedName name="정" localSheetId="2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정">#REF!</definedName>
    <definedName name="제기">#REF!</definedName>
    <definedName name="제기부">#REF!</definedName>
    <definedName name="제목">#REF!</definedName>
    <definedName name="제조경비">#REF!</definedName>
    <definedName name="제조과">#REF!</definedName>
    <definedName name="제조기술">#REF!</definedName>
    <definedName name="제조원가1">#REF!</definedName>
    <definedName name="제조원가2">#REF!</definedName>
    <definedName name="제조원가8">#REF!</definedName>
    <definedName name="제품명">#REF!</definedName>
    <definedName name="조립">[5]!설비_조립[조립]</definedName>
    <definedName name="조사">#REF!</definedName>
    <definedName name="종원">#N/A</definedName>
    <definedName name="주간">#REF!</definedName>
    <definedName name="주요제원" localSheetId="2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중앙" localSheetId="2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분석96계획95실적" localSheetId="2" hidden="1">{#N/A,#N/A,FALSE,"97년 투자계획 세부내역 "}</definedName>
    <definedName name="증감분석96계획95실적" hidden="1">{#N/A,#N/A,FALSE,"97년 투자계획 세부내역 "}</definedName>
    <definedName name="지호" localSheetId="2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직접인건비">#REF!</definedName>
    <definedName name="직접인건비2">#REF!</definedName>
    <definedName name="진행">#REF!</definedName>
    <definedName name="ㅊ">#REF!</definedName>
    <definedName name="ㅊㄹㄷㄱ">#REF!</definedName>
    <definedName name="ㅊㅊ">#REF!</definedName>
    <definedName name="ㅊㅎㅇㅀㄹㅇ" localSheetId="2" hidden="1">{"'2공장'!$A$1:$H$216"}</definedName>
    <definedName name="ㅊㅎㅇㅀㄹㅇ" hidden="1">{"'2공장'!$A$1:$H$216"}</definedName>
    <definedName name="차체2">#REF!</definedName>
    <definedName name="찾기">#N/A</definedName>
    <definedName name="첨부1.공급방안">#REF!</definedName>
    <definedName name="체크3">#REF!</definedName>
    <definedName name="체크일">#REF!</definedName>
    <definedName name="초기공정">#REF!</definedName>
    <definedName name="총경비">#REF!</definedName>
    <definedName name="총무">#REF!</definedName>
    <definedName name="최소단위">#REF!</definedName>
    <definedName name="측정기간">#REF!</definedName>
    <definedName name="측정자">#REF!</definedName>
    <definedName name="ㅋㄴㄴㅁ">#REF!</definedName>
    <definedName name="ㅋㅇㅁㄴ" localSheetId="2" hidden="1">{"'2공장'!$A$1:$H$216"}</definedName>
    <definedName name="ㅋㅇㅁㄴ" hidden="1">{"'2공장'!$A$1:$H$216"}</definedName>
    <definedName name="ㅋㅇㅍ" localSheetId="2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>#REF!</definedName>
    <definedName name="ㅋㅋㅋㅋ">#REF!</definedName>
    <definedName name="ㅋㅋㅋㅋㅌㅌ">#REF!</definedName>
    <definedName name="커링_">[5]!부적합_커링[커링_]</definedName>
    <definedName name="크랑" localSheetId="2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ㅌㅌㅌ">#REF!</definedName>
    <definedName name="ㅌㅌㅌㅊㅍ">#REF!</definedName>
    <definedName name="통합1장" localSheetId="2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2" hidden="1">{#N/A,#N/A,FALSE,"97년 투자계획 세부내역 "}</definedName>
    <definedName name="투자" hidden="1">{#N/A,#N/A,FALSE,"97년 투자계획 세부내역 "}</definedName>
    <definedName name="투자비000" localSheetId="2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ㅍㅍㅍ">#REF!</definedName>
    <definedName name="ㅍㅎ" localSheetId="2" hidden="1">{#N/A,#N/A,FALSE,"HOT RU TEM";#N/A,#N/A,FALSE,"HOT RU TEM";#N/A,#N/A,FALSE,"HOT RU TEM"}</definedName>
    <definedName name="ㅍㅎ" hidden="1">{#N/A,#N/A,FALSE,"HOT RU TEM";#N/A,#N/A,FALSE,"HOT RU TEM";#N/A,#N/A,FALSE,"HOT RU TEM"}</definedName>
    <definedName name="판매">#REF!</definedName>
    <definedName name="판매건수">#REF!</definedName>
    <definedName name="판촉">#REF!</definedName>
    <definedName name="평가대상">#REF!</definedName>
    <definedName name="표지1" localSheetId="2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보">#REF!</definedName>
    <definedName name="품질">#REF!</definedName>
    <definedName name="품질확보계획2" localSheetId="2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ㄹㄹㄹ">#REF!</definedName>
    <definedName name="ㅎㄹㅇㅁㄴ">#REF!</definedName>
    <definedName name="ㅎㅇㄹ">#REF!</definedName>
    <definedName name="ㅎㅇㄹㄴ">#REF!</definedName>
    <definedName name="ㅎㅇㅎㄹㅇㅎ" localSheetId="2" hidden="1">{"'2공장'!$A$1:$H$216"}</definedName>
    <definedName name="ㅎㅇㅎㄹㅇㅎ" hidden="1">{"'2공장'!$A$1:$H$216"}</definedName>
    <definedName name="ㅎㅎㅎㅎㅎㅎ">#REF!</definedName>
    <definedName name="ㅎ호ㅓㅓㅗ" localSheetId="2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함침_">[5]!부적합_함침[함침_]</definedName>
    <definedName name="항목">#REF!</definedName>
    <definedName name="향상">#REF!</definedName>
    <definedName name="허ㅣㅐㅕ">#REF!</definedName>
    <definedName name="협의" localSheetId="2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활동계획">#REF!</definedName>
    <definedName name="효과">#REF!</definedName>
    <definedName name="효과1">#REF!</definedName>
    <definedName name="ㅏㅏㅏㅏ">#REF!</definedName>
    <definedName name="ㅏㅐㅐ">#REF!</definedName>
    <definedName name="ㅏㅣㅣㅣ" localSheetId="2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ㅓ로럴" localSheetId="2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ㅔㅔ" localSheetId="2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ㅕ">#REF!</definedName>
    <definedName name="ㅕㅑ">#REF!</definedName>
    <definedName name="ㅕㅕ">#REF!</definedName>
    <definedName name="ㅗ">SUM(#REF!)</definedName>
    <definedName name="ㅗㅎ허ㅏㅓㅣㅏㅣ" localSheetId="2" hidden="1">{#N/A,#N/A,FALSE,"단축1";#N/A,#N/A,FALSE,"단축2";#N/A,#N/A,FALSE,"단축3";#N/A,#N/A,FALSE,"장축";#N/A,#N/A,FALSE,"4WD"}</definedName>
    <definedName name="ㅗㅎ허ㅏㅓㅣㅏㅣ" hidden="1">{#N/A,#N/A,FALSE,"단축1";#N/A,#N/A,FALSE,"단축2";#N/A,#N/A,FALSE,"단축3";#N/A,#N/A,FALSE,"장축";#N/A,#N/A,FALSE,"4WD"}</definedName>
    <definedName name="ㅗㅓㅏ" hidden="1">#REF!</definedName>
    <definedName name="ㅛ">#REF!</definedName>
    <definedName name="ㅛㅛ" localSheetId="2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ㅜㅜㅡ">#REF!</definedName>
    <definedName name="ㅠㅍㅇㅌㄹ" localSheetId="2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ㅍㅎㅇㄹ">#REF!</definedName>
    <definedName name="ㅣㅏㅓ일ㄴ어" localSheetId="2" hidden="1">{#N/A,#N/A,FALSE,"Status";#N/A,#N/A,FALSE,"Deckblatt 1";#N/A,#N/A,FALSE,"Deckblatt2"}</definedName>
    <definedName name="ㅣㅏㅓ일ㄴ어" hidden="1">{#N/A,#N/A,FALSE,"Status";#N/A,#N/A,FALSE,"Deckblatt 1";#N/A,#N/A,FALSE,"Deckblatt2"}</definedName>
    <definedName name="ㅣㅣㅐㅐㅔ">#REF!</definedName>
    <definedName name="單位阡원_阡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5" i="6" l="1"/>
  <c r="AX5" i="6"/>
  <c r="AY5" i="6"/>
  <c r="AZ5" i="6"/>
  <c r="BA5" i="6"/>
  <c r="BB5" i="6"/>
  <c r="BC5" i="6"/>
  <c r="AW6" i="6"/>
  <c r="AX6" i="6"/>
  <c r="AY6" i="6"/>
  <c r="AZ6" i="6"/>
  <c r="BA6" i="6"/>
  <c r="BB6" i="6"/>
  <c r="BC6" i="6"/>
  <c r="AW7" i="6"/>
  <c r="AX7" i="6"/>
  <c r="AY7" i="6"/>
  <c r="AZ7" i="6"/>
  <c r="BA7" i="6"/>
  <c r="BB7" i="6"/>
  <c r="BC7" i="6"/>
  <c r="AW8" i="6"/>
  <c r="AX8" i="6"/>
  <c r="AY8" i="6"/>
  <c r="AZ8" i="6"/>
  <c r="BA8" i="6"/>
  <c r="BB8" i="6"/>
  <c r="BC8" i="6"/>
  <c r="AW9" i="6"/>
  <c r="AX9" i="6"/>
  <c r="AY9" i="6"/>
  <c r="AZ9" i="6"/>
  <c r="BA9" i="6"/>
  <c r="BB9" i="6"/>
  <c r="BC9" i="6"/>
  <c r="AW10" i="6"/>
  <c r="AX10" i="6"/>
  <c r="AY10" i="6"/>
  <c r="AZ10" i="6"/>
  <c r="BA10" i="6"/>
  <c r="BB10" i="6"/>
  <c r="BC10" i="6"/>
  <c r="AW11" i="6"/>
  <c r="AX11" i="6"/>
  <c r="AY11" i="6"/>
  <c r="AZ11" i="6"/>
  <c r="BA11" i="6"/>
  <c r="BB11" i="6"/>
  <c r="BC11" i="6"/>
  <c r="AW12" i="6"/>
  <c r="AX12" i="6"/>
  <c r="AY12" i="6"/>
  <c r="AZ12" i="6"/>
  <c r="BA12" i="6"/>
  <c r="BB12" i="6"/>
  <c r="BC12" i="6"/>
  <c r="AW13" i="6"/>
  <c r="AX13" i="6"/>
  <c r="AY13" i="6"/>
  <c r="AZ13" i="6"/>
  <c r="BA13" i="6"/>
  <c r="BB13" i="6"/>
  <c r="BC13" i="6"/>
  <c r="AW14" i="6"/>
  <c r="AX14" i="6"/>
  <c r="AY14" i="6"/>
  <c r="AZ14" i="6"/>
  <c r="BB14" i="6"/>
  <c r="BC14" i="6"/>
  <c r="BD14" i="6"/>
  <c r="BE14" i="6"/>
  <c r="BF14" i="6"/>
  <c r="AW15" i="6"/>
  <c r="AX15" i="6"/>
  <c r="AY15" i="6"/>
  <c r="AZ15" i="6"/>
  <c r="BB15" i="6"/>
  <c r="BC15" i="6"/>
  <c r="BD15" i="6"/>
  <c r="BE15" i="6"/>
  <c r="BF15" i="6"/>
  <c r="AW16" i="6"/>
  <c r="AX16" i="6"/>
  <c r="AY16" i="6"/>
  <c r="AZ16" i="6"/>
  <c r="BB16" i="6"/>
  <c r="BC16" i="6"/>
  <c r="BD16" i="6"/>
  <c r="BE16" i="6"/>
  <c r="BF16" i="6"/>
  <c r="AW17" i="6"/>
  <c r="AX17" i="6"/>
  <c r="AY17" i="6"/>
  <c r="AZ17" i="6"/>
  <c r="BB17" i="6"/>
  <c r="BC17" i="6"/>
  <c r="BD17" i="6"/>
  <c r="BE17" i="6"/>
  <c r="BF17" i="6"/>
  <c r="AW18" i="6"/>
  <c r="AX18" i="6"/>
  <c r="AY18" i="6"/>
  <c r="AZ18" i="6"/>
  <c r="BB18" i="6"/>
  <c r="BC18" i="6"/>
  <c r="BD18" i="6"/>
  <c r="BE18" i="6"/>
  <c r="BF18" i="6"/>
  <c r="AV17" i="6"/>
  <c r="AV18" i="6"/>
  <c r="AV16" i="6"/>
  <c r="AV15" i="6"/>
  <c r="AV14" i="6"/>
  <c r="AV13" i="6"/>
  <c r="AV12" i="6"/>
  <c r="AV11" i="6"/>
  <c r="AV10" i="6"/>
  <c r="AV9" i="6"/>
  <c r="AV8" i="6"/>
  <c r="AV7" i="6"/>
  <c r="AV6" i="6"/>
  <c r="AV5" i="6"/>
  <c r="L19" i="6"/>
  <c r="K19" i="6"/>
  <c r="D19" i="6"/>
  <c r="L18" i="6"/>
  <c r="K18" i="6"/>
  <c r="G18" i="6"/>
  <c r="H18" i="6" s="1"/>
  <c r="E18" i="6"/>
  <c r="F18" i="6" s="1"/>
  <c r="L17" i="6"/>
  <c r="G17" i="6"/>
  <c r="H17" i="6" s="1"/>
  <c r="E17" i="6"/>
  <c r="F17" i="6" s="1"/>
  <c r="K17" i="6"/>
  <c r="E16" i="6"/>
  <c r="F16" i="6" s="1"/>
  <c r="L16" i="6"/>
  <c r="K16" i="6"/>
  <c r="K15" i="6"/>
  <c r="E15" i="6"/>
  <c r="F15" i="6" s="1"/>
  <c r="L14" i="6"/>
  <c r="K14" i="6"/>
  <c r="G14" i="6"/>
  <c r="H14" i="6" s="1"/>
  <c r="E14" i="6"/>
  <c r="F14" i="6" s="1"/>
  <c r="L13" i="6"/>
  <c r="K13" i="6"/>
  <c r="G13" i="6"/>
  <c r="H13" i="6" s="1"/>
  <c r="E13" i="6"/>
  <c r="F13" i="6" s="1"/>
  <c r="L12" i="6"/>
  <c r="K12" i="6"/>
  <c r="G12" i="6"/>
  <c r="H12" i="6" s="1"/>
  <c r="E12" i="6"/>
  <c r="F12" i="6" s="1"/>
  <c r="L11" i="6"/>
  <c r="K11" i="6"/>
  <c r="G11" i="6"/>
  <c r="H11" i="6" s="1"/>
  <c r="E11" i="6"/>
  <c r="F11" i="6" s="1"/>
  <c r="AK10" i="6"/>
  <c r="L10" i="6"/>
  <c r="K10" i="6"/>
  <c r="G10" i="6"/>
  <c r="H10" i="6" s="1"/>
  <c r="E10" i="6"/>
  <c r="F10" i="6" s="1"/>
  <c r="L9" i="6"/>
  <c r="K9" i="6"/>
  <c r="G9" i="6"/>
  <c r="H9" i="6" s="1"/>
  <c r="E9" i="6"/>
  <c r="F9" i="6" s="1"/>
  <c r="L8" i="6"/>
  <c r="K8" i="6"/>
  <c r="G8" i="6"/>
  <c r="H8" i="6" s="1"/>
  <c r="E8" i="6"/>
  <c r="F8" i="6" s="1"/>
  <c r="L7" i="6"/>
  <c r="K7" i="6"/>
  <c r="G7" i="6"/>
  <c r="H7" i="6" s="1"/>
  <c r="E7" i="6"/>
  <c r="F7" i="6" s="1"/>
  <c r="L6" i="6"/>
  <c r="K6" i="6"/>
  <c r="G6" i="6"/>
  <c r="H6" i="6" s="1"/>
  <c r="E6" i="6"/>
  <c r="F6" i="6" s="1"/>
  <c r="L5" i="6"/>
  <c r="K5" i="6"/>
  <c r="G5" i="6"/>
  <c r="H5" i="6" s="1"/>
  <c r="E5" i="6"/>
  <c r="E19" i="6" s="1"/>
  <c r="G20" i="5"/>
  <c r="I20" i="5" s="1"/>
  <c r="I6" i="5"/>
  <c r="I7" i="5"/>
  <c r="I8" i="5"/>
  <c r="I9" i="5"/>
  <c r="I10" i="5"/>
  <c r="I11" i="5"/>
  <c r="I12" i="5"/>
  <c r="I13" i="5"/>
  <c r="I14" i="5"/>
  <c r="I15" i="5"/>
  <c r="I16" i="5"/>
  <c r="I21" i="5"/>
  <c r="I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21" i="5"/>
  <c r="F5" i="5"/>
  <c r="U21" i="5"/>
  <c r="U6" i="5"/>
  <c r="U7" i="5"/>
  <c r="U8" i="5"/>
  <c r="U9" i="5"/>
  <c r="U10" i="5"/>
  <c r="U11" i="5"/>
  <c r="U12" i="5"/>
  <c r="U13" i="5"/>
  <c r="U14" i="5"/>
  <c r="U15" i="5"/>
  <c r="U16" i="5"/>
  <c r="U5" i="5"/>
  <c r="T6" i="5"/>
  <c r="T5" i="5"/>
  <c r="P21" i="5"/>
  <c r="Q21" i="5" s="1"/>
  <c r="N17" i="5"/>
  <c r="O17" i="5" s="1"/>
  <c r="P6" i="5"/>
  <c r="Q6" i="5" s="1"/>
  <c r="P7" i="5"/>
  <c r="Q7" i="5" s="1"/>
  <c r="P8" i="5"/>
  <c r="Q8" i="5" s="1"/>
  <c r="P9" i="5"/>
  <c r="Q9" i="5" s="1"/>
  <c r="P10" i="5"/>
  <c r="Q10" i="5" s="1"/>
  <c r="P11" i="5"/>
  <c r="Q11" i="5" s="1"/>
  <c r="P12" i="5"/>
  <c r="P13" i="5"/>
  <c r="Q13" i="5" s="1"/>
  <c r="P14" i="5"/>
  <c r="Q14" i="5" s="1"/>
  <c r="P15" i="5"/>
  <c r="Q15" i="5" s="1"/>
  <c r="P16" i="5"/>
  <c r="Q16" i="5" s="1"/>
  <c r="P5" i="5"/>
  <c r="Q5" i="5" s="1"/>
  <c r="M22" i="5"/>
  <c r="N18" i="5"/>
  <c r="O18" i="5" s="1"/>
  <c r="G18" i="5"/>
  <c r="I18" i="5" s="1"/>
  <c r="G17" i="5"/>
  <c r="I17" i="5" s="1"/>
  <c r="T18" i="5"/>
  <c r="T17" i="5"/>
  <c r="N6" i="5"/>
  <c r="O6" i="5" s="1"/>
  <c r="N7" i="5"/>
  <c r="O7" i="5" s="1"/>
  <c r="N8" i="5"/>
  <c r="O8" i="5" s="1"/>
  <c r="N9" i="5"/>
  <c r="O9" i="5" s="1"/>
  <c r="N10" i="5"/>
  <c r="O10" i="5" s="1"/>
  <c r="N11" i="5"/>
  <c r="O11" i="5" s="1"/>
  <c r="N12" i="5"/>
  <c r="O12" i="5" s="1"/>
  <c r="N13" i="5"/>
  <c r="O13" i="5" s="1"/>
  <c r="N14" i="5"/>
  <c r="O14" i="5" s="1"/>
  <c r="N15" i="5"/>
  <c r="O15" i="5" s="1"/>
  <c r="N16" i="5"/>
  <c r="O16" i="5" s="1"/>
  <c r="N21" i="5"/>
  <c r="O21" i="5" s="1"/>
  <c r="N5" i="5"/>
  <c r="O5" i="5" s="1"/>
  <c r="T7" i="5"/>
  <c r="T8" i="5"/>
  <c r="T9" i="5"/>
  <c r="T10" i="5"/>
  <c r="T11" i="5"/>
  <c r="T12" i="5"/>
  <c r="T13" i="5"/>
  <c r="T14" i="5"/>
  <c r="T15" i="5"/>
  <c r="T16" i="5"/>
  <c r="T21" i="5"/>
  <c r="G19" i="5"/>
  <c r="U19" i="5" s="1"/>
  <c r="D20" i="5"/>
  <c r="F20" i="5" s="1"/>
  <c r="D19" i="5"/>
  <c r="F19" i="5" s="1"/>
  <c r="J40" i="5"/>
  <c r="J43" i="5"/>
  <c r="G16" i="1"/>
  <c r="W16" i="1" s="1"/>
  <c r="W5" i="1"/>
  <c r="V6" i="1"/>
  <c r="W6" i="1"/>
  <c r="V7" i="1"/>
  <c r="W7" i="1"/>
  <c r="V8" i="1"/>
  <c r="W8" i="1"/>
  <c r="V9" i="1"/>
  <c r="W9" i="1"/>
  <c r="V10" i="1"/>
  <c r="W10" i="1"/>
  <c r="V11" i="1"/>
  <c r="W11" i="1"/>
  <c r="V12" i="1"/>
  <c r="W12" i="1"/>
  <c r="V13" i="1"/>
  <c r="W13" i="1"/>
  <c r="V14" i="1"/>
  <c r="W14" i="1"/>
  <c r="V15" i="1"/>
  <c r="W15" i="1"/>
  <c r="W4" i="1"/>
  <c r="V4" i="1"/>
  <c r="M8" i="6" l="1"/>
  <c r="M14" i="6"/>
  <c r="M13" i="6"/>
  <c r="M18" i="6"/>
  <c r="M7" i="6"/>
  <c r="M17" i="6"/>
  <c r="M6" i="6"/>
  <c r="M19" i="6"/>
  <c r="M11" i="6"/>
  <c r="M10" i="6"/>
  <c r="M9" i="6"/>
  <c r="M12" i="6"/>
  <c r="M5" i="6"/>
  <c r="M16" i="6"/>
  <c r="F5" i="6"/>
  <c r="F19" i="6" s="1"/>
  <c r="G15" i="6"/>
  <c r="H15" i="6" s="1"/>
  <c r="H19" i="6" s="1"/>
  <c r="L15" i="6"/>
  <c r="M15" i="6" s="1"/>
  <c r="G16" i="6"/>
  <c r="H16" i="6" s="1"/>
  <c r="U20" i="5"/>
  <c r="P20" i="5"/>
  <c r="Q20" i="5" s="1"/>
  <c r="V5" i="5"/>
  <c r="I19" i="5"/>
  <c r="V21" i="5"/>
  <c r="V14" i="5"/>
  <c r="V13" i="5"/>
  <c r="V12" i="5"/>
  <c r="V11" i="5"/>
  <c r="V15" i="5"/>
  <c r="V16" i="5"/>
  <c r="V6" i="5"/>
  <c r="V7" i="5"/>
  <c r="V8" i="5"/>
  <c r="V9" i="5"/>
  <c r="V10" i="5"/>
  <c r="P18" i="5"/>
  <c r="Q18" i="5" s="1"/>
  <c r="U18" i="5"/>
  <c r="V18" i="5" s="1"/>
  <c r="P17" i="5"/>
  <c r="Q17" i="5" s="1"/>
  <c r="U17" i="5"/>
  <c r="V17" i="5" s="1"/>
  <c r="P19" i="5"/>
  <c r="Q19" i="5" s="1"/>
  <c r="U22" i="5"/>
  <c r="N19" i="5"/>
  <c r="T22" i="5"/>
  <c r="Q12" i="5"/>
  <c r="N20" i="5"/>
  <c r="O20" i="5" s="1"/>
  <c r="T20" i="5"/>
  <c r="T19" i="5"/>
  <c r="V19" i="5" s="1"/>
  <c r="R6" i="1"/>
  <c r="R7" i="1"/>
  <c r="R8" i="1"/>
  <c r="R9" i="1"/>
  <c r="R10" i="1"/>
  <c r="R11" i="1"/>
  <c r="R12" i="1"/>
  <c r="R13" i="1"/>
  <c r="R14" i="1"/>
  <c r="R15" i="1"/>
  <c r="R4" i="1"/>
  <c r="S16" i="1"/>
  <c r="S11" i="1"/>
  <c r="S12" i="1"/>
  <c r="S13" i="1"/>
  <c r="S14" i="1"/>
  <c r="S15" i="1"/>
  <c r="S10" i="1"/>
  <c r="I19" i="6" l="1"/>
  <c r="G19" i="6"/>
  <c r="V20" i="5"/>
  <c r="V22" i="5"/>
  <c r="P22" i="5"/>
  <c r="Q22" i="5"/>
  <c r="O19" i="5"/>
  <c r="O22" i="5" s="1"/>
  <c r="N22" i="5"/>
  <c r="P4" i="1"/>
  <c r="N4" i="1"/>
  <c r="S9" i="1"/>
  <c r="S5" i="1"/>
  <c r="S6" i="1"/>
  <c r="S7" i="1"/>
  <c r="S8" i="1"/>
  <c r="S4" i="1"/>
  <c r="R22" i="5" l="1"/>
  <c r="N5" i="1"/>
  <c r="N6" i="1"/>
  <c r="N7" i="1"/>
  <c r="N8" i="1"/>
  <c r="N16" i="1"/>
  <c r="N17" i="1"/>
  <c r="N18" i="1"/>
  <c r="N19" i="1" l="1"/>
  <c r="P17" i="1"/>
  <c r="P18" i="1"/>
  <c r="P16" i="1"/>
  <c r="P5" i="1"/>
  <c r="P6" i="1"/>
  <c r="P7" i="1"/>
  <c r="P8" i="1"/>
  <c r="O19" i="1"/>
  <c r="M19" i="1"/>
  <c r="F17" i="1"/>
  <c r="F18" i="1"/>
  <c r="F16" i="1"/>
  <c r="F5" i="1"/>
  <c r="V16" i="1" l="1"/>
  <c r="R16" i="1"/>
  <c r="V5" i="1"/>
  <c r="R5" i="1"/>
  <c r="G18" i="1"/>
  <c r="V18" i="1"/>
  <c r="R18" i="1"/>
  <c r="G17" i="1"/>
  <c r="V17" i="1"/>
  <c r="R17" i="1"/>
  <c r="P19" i="1"/>
  <c r="Q19" i="1" s="1"/>
  <c r="W17" i="1" l="1"/>
  <c r="S17" i="1"/>
  <c r="W18" i="1"/>
  <c r="S18" i="1"/>
</calcChain>
</file>

<file path=xl/sharedStrings.xml><?xml version="1.0" encoding="utf-8"?>
<sst xmlns="http://schemas.openxmlformats.org/spreadsheetml/2006/main" count="204" uniqueCount="73">
  <si>
    <t>Model</t>
  </si>
  <si>
    <t>No</t>
  </si>
  <si>
    <t>Trước</t>
  </si>
  <si>
    <t>Phương pháp sấy</t>
  </si>
  <si>
    <t>Note</t>
  </si>
  <si>
    <t>SL Đóng gói</t>
  </si>
  <si>
    <t>Sấy thường</t>
  </si>
  <si>
    <t>Sấy hồng ngoại</t>
  </si>
  <si>
    <t>1 ngăn 6 khay sấy ( 2 lot no)</t>
  </si>
  <si>
    <t>1 ngăn 4 khay sấy ( 2 lot no)</t>
  </si>
  <si>
    <t>Thường : 500ea
Hela: 640ea</t>
  </si>
  <si>
    <t>1 máy sấy 2 khay ( 1 khay 1,000ea)</t>
  </si>
  <si>
    <t>1 máy sấy 2 khay ( 1 khay 700ea)</t>
  </si>
  <si>
    <t>1 máy sấy 2 khay ( 1 khay 400ea)</t>
  </si>
  <si>
    <t>1 máy sấy 2 khay ( 1 khay 850ea)</t>
  </si>
  <si>
    <t>1 máy sấy 2 khay ( 1 khay 500ea)</t>
  </si>
  <si>
    <t>After</t>
  </si>
  <si>
    <t>Before</t>
  </si>
  <si>
    <t>* Mục đích</t>
  </si>
  <si>
    <t xml:space="preserve"> - Giảm thao tác trên line</t>
  </si>
  <si>
    <t>Lot no</t>
  </si>
  <si>
    <t>Phá hủy</t>
  </si>
  <si>
    <t>Total</t>
  </si>
  <si>
    <t xml:space="preserve"> - Giảm phế thải, chi phí </t>
  </si>
  <si>
    <t xml:space="preserve"> +) Bóc tách phá hủy</t>
  </si>
  <si>
    <t xml:space="preserve"> +) Giảm thời gian thao tác</t>
  </si>
  <si>
    <t xml:space="preserve"> +) Tăng cường kiểm soát chất lượng</t>
  </si>
  <si>
    <t>Số lượng
 lot no</t>
  </si>
  <si>
    <t xml:space="preserve"> +) tem thẻ công đoạn và tem sấy</t>
  </si>
  <si>
    <t>1 máy 3 ngăn</t>
  </si>
  <si>
    <t>VPC 0820</t>
  </si>
  <si>
    <t>VPC 0825</t>
  </si>
  <si>
    <t>VPC 1030</t>
  </si>
  <si>
    <t>VPC 1040</t>
  </si>
  <si>
    <t>VPC 1325</t>
  </si>
  <si>
    <t>VPC 1335</t>
  </si>
  <si>
    <t>Targer</t>
  </si>
  <si>
    <t>Diff</t>
  </si>
  <si>
    <t>Quantity
lot no</t>
  </si>
  <si>
    <t xml:space="preserve">% </t>
  </si>
  <si>
    <t>Number of destructive tests/lot size</t>
  </si>
  <si>
    <t>1 roll nhỏ = 400m/167mm*0.95*1000=2,275 pcs</t>
  </si>
  <si>
    <t>1 roll nhỏ = 400m/179mm*0.95*1000=2,122 pcs</t>
  </si>
  <si>
    <t>* Purpose</t>
  </si>
  <si>
    <t xml:space="preserve"> - Reduce operations on the production line
+) Reduce operation time
+) Enhance quality control
- Reduce waste and costs
+) Process labels and drying labels
+) Decontamination</t>
  </si>
  <si>
    <t>The Bac Giang 1 factory is increasing the lot size category.</t>
  </si>
  <si>
    <t>Electrode</t>
  </si>
  <si>
    <t>Separator</t>
  </si>
  <si>
    <t>Terminal</t>
  </si>
  <si>
    <t>PI-Tape</t>
  </si>
  <si>
    <t>Electrolytes</t>
  </si>
  <si>
    <t>Rubber</t>
  </si>
  <si>
    <t>Al-Case</t>
  </si>
  <si>
    <t>Slevee</t>
  </si>
  <si>
    <t>Plate</t>
  </si>
  <si>
    <t>Washer</t>
  </si>
  <si>
    <t>Low pad</t>
  </si>
  <si>
    <t>1 small roll = 400m/185mm*0.95*1000=2,054 pcs</t>
  </si>
  <si>
    <t>1 small roll = 400m/387mm*0.95*1000=981 pcs</t>
  </si>
  <si>
    <t>1 small roll = 400m/338mm*0.95*1000=1,124 pcs</t>
  </si>
  <si>
    <t>1 small roll = 400m/165mm*0.95*1000=2,303 pcs</t>
  </si>
  <si>
    <t>1 small roll = 400m/205mm*0.95*1000=1,853 pcs</t>
  </si>
  <si>
    <t>1 small roll = 400m/295mm*0.95*1000=1,288 pcs</t>
  </si>
  <si>
    <t>1 small roll = 400m/575mm*0.95*1000=660 pcs</t>
  </si>
  <si>
    <t>1 small roll = 400m/1,520mm*0.95*1000=250 pcs</t>
  </si>
  <si>
    <t>Change to increase lot size</t>
  </si>
  <si>
    <t>Constant</t>
  </si>
  <si>
    <t>Raw materials (pcs)</t>
  </si>
  <si>
    <t>Material Code</t>
  </si>
  <si>
    <t>Quantity using material code/model</t>
  </si>
  <si>
    <t>The number of material codes that need to be entered into the system for management.</t>
  </si>
  <si>
    <t>Use two or more material codes</t>
  </si>
  <si>
    <t>Only one material code is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</si>
</sst>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0.0"/>
    <numFmt numFmtId="166" formatCode="0.000%"/>
    <numFmt numFmtId="167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3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5" fillId="0" borderId="0" xfId="0" applyNumberFormat="1" applyFont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/>
    </xf>
    <xf numFmtId="164" fontId="0" fillId="0" borderId="0" xfId="1" applyNumberFormat="1" applyFont="1"/>
    <xf numFmtId="10" fontId="0" fillId="0" borderId="0" xfId="1" applyNumberFormat="1" applyFont="1"/>
    <xf numFmtId="164" fontId="0" fillId="0" borderId="0" xfId="1" applyNumberFormat="1" applyFont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10" fontId="0" fillId="0" borderId="1" xfId="1" applyNumberFormat="1" applyFon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10" fontId="0" fillId="4" borderId="1" xfId="1" applyNumberFormat="1" applyFont="1" applyFill="1" applyBorder="1" applyAlignment="1">
      <alignment horizontal="center" vertical="center"/>
    </xf>
    <xf numFmtId="10" fontId="0" fillId="0" borderId="1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1" fillId="2" borderId="2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38" fontId="0" fillId="0" borderId="1" xfId="2" applyNumberFormat="1" applyFont="1" applyBorder="1" applyAlignment="1">
      <alignment horizontal="center" vertical="center"/>
    </xf>
    <xf numFmtId="167" fontId="0" fillId="5" borderId="1" xfId="2" applyNumberFormat="1" applyFont="1" applyFill="1" applyBorder="1" applyAlignment="1">
      <alignment horizontal="center" vertical="center"/>
    </xf>
    <xf numFmtId="167" fontId="0" fillId="0" borderId="1" xfId="2" applyNumberFormat="1" applyFont="1" applyFill="1" applyBorder="1" applyAlignment="1">
      <alignment horizontal="center" vertical="center"/>
    </xf>
    <xf numFmtId="167" fontId="0" fillId="0" borderId="7" xfId="2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/>
    </xf>
    <xf numFmtId="167" fontId="0" fillId="0" borderId="1" xfId="2" applyNumberFormat="1" applyFont="1" applyBorder="1" applyAlignment="1">
      <alignment horizontal="center" vertical="center"/>
    </xf>
    <xf numFmtId="167" fontId="0" fillId="0" borderId="0" xfId="2" applyNumberFormat="1" applyFont="1"/>
    <xf numFmtId="43" fontId="0" fillId="0" borderId="0" xfId="2" applyFont="1"/>
    <xf numFmtId="167" fontId="0" fillId="0" borderId="0" xfId="0" applyNumberFormat="1"/>
    <xf numFmtId="0" fontId="0" fillId="0" borderId="0" xfId="0" applyAlignment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3" fontId="3" fillId="0" borderId="0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166" fontId="0" fillId="0" borderId="0" xfId="1" applyNumberFormat="1" applyFont="1" applyBorder="1" applyAlignment="1">
      <alignment horizontal="center" vertical="center"/>
    </xf>
    <xf numFmtId="166" fontId="0" fillId="4" borderId="0" xfId="0" applyNumberForma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67" fontId="0" fillId="0" borderId="7" xfId="2" applyNumberFormat="1" applyFont="1" applyFill="1" applyBorder="1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33867</xdr:colOff>
      <xdr:row>2</xdr:row>
      <xdr:rowOff>8466</xdr:rowOff>
    </xdr:from>
    <xdr:to>
      <xdr:col>44</xdr:col>
      <xdr:colOff>541867</xdr:colOff>
      <xdr:row>4</xdr:row>
      <xdr:rowOff>84666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2666049B-CF95-D75E-63F0-5F8DAA6D562E}"/>
            </a:ext>
          </a:extLst>
        </xdr:cNvPr>
        <xdr:cNvSpPr/>
      </xdr:nvSpPr>
      <xdr:spPr>
        <a:xfrm>
          <a:off x="12996334" y="194733"/>
          <a:ext cx="508000" cy="93980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EF&#48512;&#54408;&#44060;&#48156;&#44228;&#54925;-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LEHMHA01\QLAGE\VORSTAND\1998\GG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54016;%20&#46300;&#46972;&#51060;&#48652;\&#54408;&#51656;&#48512;&#47928;\2.%20&#44160;&#49324;&#54788;&#54889;\&#44277;&#51221;&#44160;&#49324;%20&#54788;&#54889;_2018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82a280e72c53a06/2.%20CONSTRUCTION%202023/1.%20Thanh%20An%20Icc/16.%20Vinatech/bOq/2023.06.18_BoQ_Vinatech_ThanhanICC_H&#7879;%20s&#7889;%202%5e1/BoQ_GOC.xlsx" TargetMode="External"/><Relationship Id="rId1" Type="http://schemas.openxmlformats.org/officeDocument/2006/relationships/externalLinkPath" Target="https://d.docs.live.net/a82a280e72c53a06/2.%20CONSTRUCTION%202023/1.%20Thanh%20An%20Icc/16.%20Vinatech/bOq/2023.06.18_BoQ_Vinatech_ThanhanICC_H&#7879;%20s&#7889;%202%5e1/2023.06.18_BoQ_Vinatech_ThanhanICC_H&#7879;%20s&#7889;%202%5e1/BoQ_GOC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LE\WIP\11&#50900;\11&#50900;05&#51068;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ATA/FA_SUMMY/FA_CCCD/1997_98/JAN98.XLS" TargetMode="External"/><Relationship Id="rId1" Type="http://schemas.openxmlformats.org/officeDocument/2006/relationships/externalLinkPath" Target="/DATA/FA_SUMMY/FA_CCCD/1997_98/JAN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577;&#49328;&#44060;&#48156;&#54016;\critical%20paramenter\critical%20paramenter\&#49345;&#45453;\LP133X7-P2IB\&#49569;&#50685;\6&#49884;&#44536;&#47560;\programs\125PIECE.XLW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408;&#44288;xrf\XRF%20D&#46300;&#46972;&#51060;&#48652;\sooho\ERP\fnd_gfm062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ckup-print\&#44368;&#50977;&#49436;&#48708;&#49828;\Documents%20and%20Settings\lee%20so-young\My%20Documents\Messenger%20Service%20Received%20Files\&#44277;&#50976;Room\2&#52264;&#47749;&#4580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LE\WIP\11&#50900;\11&#50900;10&#5106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VIETNAM%20SX%20TEAM\17.DAILY%20PRODUCTION%20PLAN_MR%20HUNG\2022\2022.12\2022&#45380;12&#50900;%20&#49373;&#49328;&#44228;&#54925;%20R2%202022.11.1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408;&#44288;2\&#44277;&#50976;&#48169;\My%20Documents\qos\F0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LE\LOT&#47560;&#44048;\104A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UNG%20CAO%202023\PRODUCTION\PLAN\23&#45380;&#46020;%20&#49324;&#50629;&#44228;&#54925;(rev1.43,&#52572;&#51333;&#48376;).xlsx" TargetMode="External"/><Relationship Id="rId1" Type="http://schemas.openxmlformats.org/officeDocument/2006/relationships/externalLinkPath" Target="file:///D:\HUNG%20CAO%202023\PRODUCTION\PLAN\23&#45380;&#46020;%20&#49324;&#50629;&#44228;&#54925;(rev1.43,&#52572;&#51333;&#48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제품별"/>
      <sheetName val="FAB2_Á_x0000_"/>
      <sheetName val=""/>
      <sheetName val="CAPA분석 360K"/>
      <sheetName val=" 55 BA 장입기 091203.xlsx"/>
      <sheetName val="ASP"/>
      <sheetName val="CHIP_O"/>
      <sheetName val="FAB_I"/>
      <sheetName val="FAB_O"/>
      <sheetName val="FRT_O"/>
      <sheetName val="PKG_I"/>
      <sheetName val="FT_금액"/>
      <sheetName val="YIELD"/>
      <sheetName val="지수"/>
      <sheetName val="3ND 64M"/>
      <sheetName val="DDR"/>
      <sheetName val="원가관리"/>
      <sheetName val="DATA-2001"/>
      <sheetName val="장비목록"/>
      <sheetName val="95TOTREV"/>
      <sheetName val="summary"/>
      <sheetName val="HSA"/>
      <sheetName val="자재 집계표"/>
      <sheetName val="BOM"/>
      <sheetName val="조명투자및환수계획"/>
      <sheetName val="제조중간결과"/>
      <sheetName val="입찰내역 발주처 양식"/>
      <sheetName val="견적을지"/>
      <sheetName val="목표세부명세"/>
      <sheetName val="내역서"/>
      <sheetName val="장기차입금"/>
      <sheetName val="시실누(모) "/>
      <sheetName val="현우실적"/>
      <sheetName val="Aries_all_char"/>
      <sheetName val="StepperValues"/>
      <sheetName val="TG9504"/>
      <sheetName val="Ref2"/>
      <sheetName val="Credit Calc"/>
      <sheetName val="FAB2_Á_x005f_x0000_"/>
      <sheetName val="3-1-4 교_x0002__x0000_数8"/>
      <sheetName val="F5"/>
      <sheetName val="FOB발"/>
      <sheetName val="소특"/>
      <sheetName val="팀별"/>
      <sheetName val="8)중점관리장비현황"/>
      <sheetName val="현재"/>
      <sheetName val="3-1-4 교_x0002_"/>
      <sheetName val="FAB4생산"/>
      <sheetName val="J"/>
      <sheetName val="카드키식수내역"/>
      <sheetName val="鄴ႄ뛶棕饭䌋±ONFMRENCE)"/>
      <sheetName val="F4-F7"/>
      <sheetName val="입력DATA"/>
      <sheetName val="Vendor"/>
      <sheetName val="Source"/>
      <sheetName val="Sheet4"/>
      <sheetName val="FAB"/>
      <sheetName val="FAB2_Á?"/>
      <sheetName val="data"/>
      <sheetName val="부품별 매입현황"/>
      <sheetName val="Cgs계산값1"/>
      <sheetName val="기본 상수"/>
      <sheetName val="DRT102"/>
      <sheetName val="DRT502"/>
      <sheetName val="불합리 적출 및 관리"/>
      <sheetName val="Controls"/>
      <sheetName val="3-1-4 교_x0002_?数8"/>
      <sheetName val="저항"/>
      <sheetName val="POWER"/>
      <sheetName val="费用预算"/>
      <sheetName val="변수1"/>
      <sheetName val="FAB2_Á_x005f_x005f_x005f_x0000_"/>
      <sheetName val="설계상수"/>
      <sheetName val="DATA1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ELECTRIC"/>
      <sheetName val="CTEMCOST"/>
      <sheetName val="SCHEDULE"/>
      <sheetName val="sum"/>
      <sheetName val="XY tilt 2nd"/>
      <sheetName val="1. Angle confirm"/>
      <sheetName val="지우지말것"/>
      <sheetName val="category"/>
      <sheetName val="중장SR"/>
      <sheetName val="장비명"/>
      <sheetName val="3-1-4 교_x005f_x0002_"/>
      <sheetName val="FAB2_Á_"/>
      <sheetName val="96재료"/>
      <sheetName val="Var."/>
      <sheetName val="R"/>
      <sheetName val="정리"/>
      <sheetName val="보고서"/>
      <sheetName val="L2"/>
      <sheetName val="L1"/>
      <sheetName val="Map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Prices"/>
      <sheetName val="DATA6"/>
      <sheetName val="B"/>
      <sheetName val="영업본부US$실적 (2)"/>
      <sheetName val="BTS-시범물량"/>
      <sheetName val="3-1-4 교_x0002__数8"/>
      <sheetName val="X13"/>
      <sheetName val="Sapphire"/>
      <sheetName val="3-1-4 교_x005f_x005f_x005f_x0002__x005f_x005f_x000"/>
      <sheetName val="3-1-4 교_x005f_x0002__数8"/>
      <sheetName val="3-1-4 ɐ_x0000__x0000__x0000_␀"/>
      <sheetName val="FAB2_Á_x005f_x005f_x005f_x005f_"/>
      <sheetName val="3-1-4 교_x005f_x0002__x000"/>
      <sheetName val="3-1-4 교_x005f_x005f_x0002"/>
      <sheetName val="3-1-4 ɐ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CAPA분석_360K"/>
      <sheetName val="_55_BA_장입기_091203_xlsx"/>
      <sheetName val="3ND_64M"/>
      <sheetName val="자재_집계표"/>
      <sheetName val="입찰내역_발주처_양식"/>
      <sheetName val="시실누(모)_"/>
      <sheetName val="Credit_Calc"/>
      <sheetName val="3-1-4_교数8"/>
      <sheetName val="3-1-4_교"/>
      <sheetName val="부품별_매입현황"/>
      <sheetName val="기본_상수"/>
      <sheetName val="불합리_적출_및_관리"/>
      <sheetName val="3-1-4_교?数8"/>
      <sheetName val="EQUIP LIST"/>
      <sheetName val="Data Base"/>
      <sheetName val="CDM_lists"/>
      <sheetName val="FAB2_Á_x005f_x005f_"/>
      <sheetName val="3-1-4 교_x0002__x000"/>
      <sheetName val="3-1-4 교_x0002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3ND_64M1"/>
      <sheetName val="자재_집계표1"/>
      <sheetName val="시실누(모)_1"/>
      <sheetName val="Credit_Calc1"/>
      <sheetName val="CAPA분석_360K1"/>
      <sheetName val="입찰내역_발주처_양식1"/>
      <sheetName val="_55_BA_장입기_091203_xlsx1"/>
      <sheetName val="부품별_매입현황1"/>
      <sheetName val="기본_상수1"/>
      <sheetName val="불합리_적출_및_관리1"/>
      <sheetName val="TFT_저항"/>
      <sheetName val="3-1-4_교_x005f_x0002__x005f_x0000_数8"/>
      <sheetName val="F-T_Voltage"/>
      <sheetName val="XY_tilt_2nd"/>
      <sheetName val="1__Angle_confirm"/>
      <sheetName val="3-1-4_교_x005f_x0002_"/>
      <sheetName val="Var_"/>
      <sheetName val="Array_PI"/>
      <sheetName val="VIZIO_DA가격"/>
      <sheetName val="기타_DA가격"/>
      <sheetName val="LGE_DA가격"/>
      <sheetName val="영업본부US$실적_(2)"/>
      <sheetName val="3-1-4_교_数8"/>
      <sheetName val="3-1-4_교_x005f_x005f_x005f_x0002__x005f_x005f_x000"/>
      <sheetName val="3-1-4_교_x005f_x0002__数8"/>
      <sheetName val="3-1-4_ɐ␀"/>
      <sheetName val="3-1-4_교_x005f_x0002__x000"/>
      <sheetName val="3-1-4_교_x005f_x005f_x0002"/>
      <sheetName val="3-1-4_ɐ"/>
      <sheetName val="EQUIP_LIST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APA분석_360K2"/>
      <sheetName val="_55_BA_장입기_091203_xlsx2"/>
      <sheetName val="3ND_64M2"/>
      <sheetName val="자재_집계표2"/>
      <sheetName val="입찰내역_발주처_양식2"/>
      <sheetName val="시실누(모)_2"/>
      <sheetName val="Credit_Calc2"/>
      <sheetName val="부품별_매입현황2"/>
      <sheetName val="기본_상수2"/>
      <sheetName val="불합리_적출_및_관리2"/>
      <sheetName val="TFT_저항1"/>
      <sheetName val="3-1-4_교_x005f_x0002__x005f_x0000_数81"/>
      <sheetName val="F-T_Voltage1"/>
      <sheetName val="XY_tilt_2nd1"/>
      <sheetName val="1__Angle_confirm1"/>
      <sheetName val="3-1-4_교_x005f_x0002_1"/>
      <sheetName val="Var_1"/>
      <sheetName val="Array_PI1"/>
      <sheetName val="VIZIO_DA가격1"/>
      <sheetName val="기타_DA가격1"/>
      <sheetName val="LGE_DA가격1"/>
      <sheetName val="영업본부US$실적_(2)1"/>
      <sheetName val="3-1-4_교_x005f_x005f_x005f_x0002__x005f_x005f_x001"/>
      <sheetName val="3-1-4_교_x005f_x0002__数81"/>
      <sheetName val="3-1-4_교_x005f_x0002__x0001"/>
      <sheetName val="3-1-4_교_x005f_x005f_x00021"/>
      <sheetName val="3-1-4_ɐ1"/>
      <sheetName val="EQUIP_LIST1"/>
      <sheetName val="Data_Base"/>
      <sheetName val="PwC"/>
      <sheetName val="Co_Scoresheet_FY104Q"/>
      <sheetName val="ABUT수량-A1"/>
      <sheetName val="Sheet6"/>
      <sheetName val="작업공사목록"/>
      <sheetName val="PopCache"/>
      <sheetName val="유효성"/>
      <sheetName val="TFT 측정(2)"/>
      <sheetName val="사유 구분"/>
      <sheetName val="TOEIC기준점수"/>
      <sheetName val="인력관리_Code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14.1&quot; Cst 변화"/>
      <sheetName val="표지"/>
      <sheetName val="계조에 따른 특성"/>
      <sheetName val="6F8"/>
      <sheetName val="PIPING"/>
      <sheetName val="Total-P&amp;L(Local)"/>
      <sheetName val="키워드"/>
      <sheetName val="THIN"/>
      <sheetName val="한국단가계약표"/>
      <sheetName val="무상 Part List(BW)"/>
      <sheetName val="2)인력관리_Code_Flash"/>
      <sheetName val="자료"/>
      <sheetName val="MatchCode"/>
      <sheetName val="국산화"/>
      <sheetName val="근로(생)"/>
      <sheetName val="1월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공용정보"/>
      <sheetName val="Low YLD Reject"/>
      <sheetName val="외화금융(97-03)"/>
      <sheetName val="MOTOR"/>
      <sheetName val="ALL"/>
      <sheetName val="MRS세부"/>
      <sheetName val="물가지수!"/>
      <sheetName val="SALE"/>
      <sheetName val="수불1Q"/>
      <sheetName val="수불2Q"/>
      <sheetName val="수불3Q"/>
      <sheetName val="수불4Q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SSMITM"/>
      <sheetName val="첨부1"/>
      <sheetName val="Data&amp;Assumptions"/>
      <sheetName val="가동비율"/>
      <sheetName val="기상도"/>
      <sheetName val="개인별 프로젝트"/>
      <sheetName val="산출기준(파견전산실)"/>
      <sheetName val="단가산출서(기계)"/>
      <sheetName val="96 기타 전시회 경비"/>
      <sheetName val="96 상반기 전시회 경비"/>
      <sheetName val="96 하반기 전시회 경비"/>
      <sheetName val="개요"/>
      <sheetName val="단가"/>
      <sheetName val="SUB (N)"/>
      <sheetName val="그림"/>
      <sheetName val="기상도월"/>
      <sheetName val="11월 Red Zone 기상도"/>
      <sheetName val="Lot Status"/>
      <sheetName val="Xunit (단위환산)"/>
      <sheetName val="생산직"/>
      <sheetName val="단일장비탐색1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PKG_O"/>
      <sheetName val="BEST"/>
      <sheetName val="수정시산표"/>
      <sheetName val="ORIGINAL"/>
      <sheetName val="원가표"/>
      <sheetName val="제조혁신(이지연, 윤수향)"/>
      <sheetName val="팀장평가"/>
      <sheetName val="값목록(Do not touch)"/>
      <sheetName val="기별월별손익"/>
      <sheetName val="24.보증금(전신전화가입권)"/>
      <sheetName val="EQT-ESTN"/>
      <sheetName val="근로소득 세액표"/>
      <sheetName val="건강보험 표준요율표"/>
      <sheetName val="국민연금 표준요율표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EXTENSION현황"/>
      <sheetName val="PKG"/>
      <sheetName val="_M10C DIFF 산포 개선 사례_BASE PRESSU"/>
      <sheetName val="산근"/>
      <sheetName val="노임"/>
      <sheetName val="조정명세서"/>
      <sheetName val="Laser Alignment Target Spec"/>
      <sheetName val="Laser Focus Spec"/>
      <sheetName val="FAB#7"/>
      <sheetName val="_M10C DIFF 산포 개선 사례_7자 GAS LINE"/>
      <sheetName val="Graph Data"/>
      <sheetName val="※ 참고사항"/>
      <sheetName val="환률"/>
      <sheetName val="부대"/>
      <sheetName val="실행내역서 "/>
      <sheetName val="BP-이발-RJ TREND"/>
      <sheetName val="대치판정"/>
      <sheetName val="유해위험요인 분류체계"/>
      <sheetName val="GF2"/>
      <sheetName val="512sd"/>
      <sheetName val="TAT"/>
      <sheetName val="M5_S"/>
      <sheetName val="M6_S"/>
      <sheetName val="DAILY CHECK"/>
      <sheetName val="품의"/>
      <sheetName val="Total_Cost"/>
      <sheetName val="특정현금과예금"/>
      <sheetName val="L_repair"/>
      <sheetName val="EPM Raw"/>
      <sheetName val="PT1H Raw"/>
      <sheetName val="PT2C_Raw"/>
      <sheetName val="16M"/>
      <sheetName val="1M4M"/>
      <sheetName val="판매실적 종합"/>
      <sheetName val="견적서"/>
      <sheetName val="선급법인세"/>
      <sheetName val="영업보증금"/>
      <sheetName val="CHIP_INV"/>
      <sheetName val="code"/>
      <sheetName val="국영"/>
      <sheetName val="공통가설"/>
      <sheetName val="Down Time"/>
      <sheetName val="TPM지표"/>
      <sheetName val="H.P견적(참조)"/>
      <sheetName val="97센_협"/>
      <sheetName val="원본"/>
      <sheetName val="RAW_Data"/>
      <sheetName val="전기"/>
      <sheetName val="Tot_Sum"/>
      <sheetName val="M8_Sum"/>
      <sheetName val="M9_Sum"/>
      <sheetName val="960318-1"/>
      <sheetName val="경수97.02"/>
      <sheetName val="SALE&amp;COST"/>
      <sheetName val="연구9월"/>
      <sheetName val="1995년 섹터별 매출"/>
      <sheetName val="MFAB"/>
      <sheetName val="MFRT"/>
      <sheetName val="MPKG"/>
      <sheetName val="MPRD"/>
      <sheetName val="고장이력"/>
      <sheetName val="4-8.공통"/>
      <sheetName val="cuslist"/>
      <sheetName val="해트트릭"/>
      <sheetName val="Fabless comp ROE"/>
      <sheetName val="견적율"/>
      <sheetName val="Daily-status"/>
      <sheetName val="DI"/>
      <sheetName val="CODE표"/>
      <sheetName val="Making Order"/>
      <sheetName val="256D OUT TAT"/>
      <sheetName val="hitachi"/>
      <sheetName val="asy_o"/>
      <sheetName val="서류검사"/>
      <sheetName val="BAY실적"/>
      <sheetName val="임시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공문"/>
      <sheetName val="건물"/>
      <sheetName val="일년TOTAL"/>
      <sheetName val=" T3B-SN SOD SKIP + SIGE No Dela"/>
      <sheetName val="앞면인쇄후180도_회전"/>
      <sheetName val="9609Aß"/>
      <sheetName val="BWipList"/>
      <sheetName val="TWipList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PBS"/>
      <sheetName val="내역"/>
      <sheetName val="MVMT_row2"/>
      <sheetName val="F"/>
      <sheetName val="Wip Status"/>
      <sheetName val="차수"/>
      <sheetName val="정부노임단가"/>
      <sheetName val="공사비내역서"/>
      <sheetName val="도급양식"/>
      <sheetName val="Raw Data"/>
      <sheetName val="7682LA SKD(12.4)"/>
      <sheetName val="Header"/>
      <sheetName val="sapactivexlhiddensheet"/>
      <sheetName val="공종별 집계"/>
      <sheetName val="1단계"/>
      <sheetName val="init"/>
      <sheetName val="공사비 내역 (가)"/>
      <sheetName val="BSD (2)"/>
      <sheetName val="TABLE"/>
      <sheetName val="N賃率-職"/>
      <sheetName val="직재"/>
      <sheetName val="토공(완충)"/>
      <sheetName val="PUMP"/>
      <sheetName val="Proposal"/>
      <sheetName val="차액보증"/>
      <sheetName val="차량구입"/>
      <sheetName val=" 견적서"/>
      <sheetName val="설산1.나"/>
      <sheetName val="본사S"/>
      <sheetName val="건축원가계산서"/>
      <sheetName val="예산M12A"/>
      <sheetName val="CONCRETE"/>
      <sheetName val="목록"/>
      <sheetName val="FitOutConfCentre"/>
      <sheetName val="부속동"/>
      <sheetName val="할증 "/>
      <sheetName val="조명율표"/>
      <sheetName val="1_汇总"/>
      <sheetName val="担当工程师"/>
      <sheetName val="반입시나리오(area별 조정)"/>
      <sheetName val="기준정보"/>
      <sheetName val="VDID"/>
      <sheetName val="VGID_Hot Carrier"/>
      <sheetName val="BV"/>
      <sheetName val="VGID_Body Effect"/>
      <sheetName val="6.Machine Lis"/>
      <sheetName val="근태Master"/>
      <sheetName val="dfrt"/>
      <sheetName val="Test"/>
      <sheetName val="목록이름"/>
      <sheetName val="데이터 유효성검사"/>
      <sheetName val="Mkt_Eᙪ"/>
      <sheetName val="Mkt_E빴"/>
      <sheetName val="Mkt_Eᙪ"/>
      <sheetName val="Mkt_Eᙪ"/>
      <sheetName val="Mkt_E魪"/>
      <sheetName val="Mkt_E魪"/>
      <sheetName val="통계"/>
      <sheetName val="기준"/>
      <sheetName val="2_汇总"/>
      <sheetName val="참조"/>
      <sheetName val="TFT_측정(2)"/>
      <sheetName val="사유_구분"/>
      <sheetName val="14_1&quot;_Cst_변화"/>
      <sheetName val="계조에_따른_특성"/>
      <sheetName val="무상_Part_List(BW)"/>
      <sheetName val="Low_YLD_Reject"/>
      <sheetName val="DAILY_CHECK"/>
      <sheetName val="EPM_Raw"/>
      <sheetName val="PT1H_Raw"/>
      <sheetName val="판매실적_종합"/>
      <sheetName val="Graph_Data"/>
      <sheetName val="Down_Time"/>
      <sheetName val="H_P견적(참조)"/>
      <sheetName val="4-8_공통"/>
      <sheetName val="_T3B-SN_SOD_SKIP_+_SIGE_No_Dela"/>
      <sheetName val="경수97_02"/>
      <sheetName val="1995년_섹터별_매출"/>
      <sheetName val="Fabless_comp_ROE"/>
      <sheetName val="근로소득_세액표"/>
      <sheetName val="건강보험_표준요율표"/>
      <sheetName val="국민연금_표준요율표"/>
      <sheetName val="Wip_Status"/>
      <sheetName val="7682LA_SKD(12_4)"/>
      <sheetName val="공종별_집계"/>
      <sheetName val="공사비_내역_(가)"/>
      <sheetName val="BSD_(2)"/>
      <sheetName val="_견적서"/>
      <sheetName val="설산1_나"/>
      <sheetName val="제조혁신(이지연,_윤수향)"/>
      <sheetName val="값목록(Do_not_touch)"/>
      <sheetName val="24_보증금(전신전화가입권)"/>
      <sheetName val="Making_Order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Hynix_&amp;_SYS_IC_Co"/>
      <sheetName val="Code_2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_M10C_DIFF_산포_개선_사례_7자_GAS_LINE"/>
      <sheetName val="실행내역서_"/>
      <sheetName val="BP-이발-RJ_TREND"/>
      <sheetName val="유해위험요인_분류체계"/>
      <sheetName val="할증_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A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인사자료총집계"/>
      <sheetName val="DRUM"/>
      <sheetName val="Mkt_E"/>
      <sheetName val="Mkt_E홪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ɐ_x005f_x0000__x005f_x0000__x005f_x0000_␀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dummyd2"/>
      <sheetName val="Report"/>
      <sheetName val="+ Weekly Progress(KO)"/>
      <sheetName val="연습"/>
      <sheetName val="입출재고현황 (2)"/>
      <sheetName val="당월(1)"/>
      <sheetName val="판매계획"/>
      <sheetName val="재무"/>
      <sheetName val="ROIC"/>
      <sheetName val="Mkt_E렀푶"/>
      <sheetName val="N+"/>
      <sheetName val="당초"/>
      <sheetName val="환율change"/>
      <sheetName val="BAND不合理统计"/>
      <sheetName val="첨부."/>
      <sheetName val="R1"/>
      <sheetName val="04월_IO기준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Tool trouble"/>
      <sheetName val="4TH 64M"/>
      <sheetName val="CC별"/>
      <sheetName val="1. H2SO4_SUPPLY"/>
      <sheetName val="Pad 좌표&amp;Location"/>
      <sheetName val="設定"/>
      <sheetName val="실행철강하도"/>
      <sheetName val="사전공사"/>
      <sheetName val="cYLD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실행"/>
      <sheetName val="3-1-4 교_x005f_x005f_x005f_x0002__x000"/>
      <sheetName val="DNW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C"/>
      <sheetName val="은행"/>
      <sheetName val="평가&amp;선급.미지급"/>
      <sheetName val="#REF"/>
      <sheetName val="LA(INVENTORY)"/>
      <sheetName val="감가상각비"/>
      <sheetName val="01is(누계)"/>
      <sheetName val="HISTORY REPORT-ARMOR ALL &amp; STP"/>
      <sheetName val="대차총괄"/>
      <sheetName val="DB"/>
      <sheetName val="Cover"/>
      <sheetName val="관세"/>
      <sheetName val="basic_info"/>
      <sheetName val="Indoor Disposer"/>
      <sheetName val="DATA-2003"/>
      <sheetName val="RR Allocation"/>
      <sheetName val="SLS UPLOAD"/>
      <sheetName val="재고현황(Unit)"/>
      <sheetName val="AFS(국문)"/>
      <sheetName val="미실현손익명세서"/>
      <sheetName val="SA"/>
      <sheetName val="대차합동"/>
      <sheetName val="월간단가"/>
      <sheetName val="주주명부&lt;끝&gt;"/>
      <sheetName val="일수"/>
      <sheetName val="building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참고"/>
      <sheetName val="TP_유효성"/>
      <sheetName val="CSOT T3 기구 견적서 양식_rev1.xlsx"/>
      <sheetName val="파트장 지시업무"/>
      <sheetName val="유효성 기준"/>
      <sheetName val="노임단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Calculation"/>
      <sheetName val="NCD产品"/>
      <sheetName val="NCD数字"/>
      <sheetName val="3)"/>
      <sheetName val="_Hidden1"/>
      <sheetName val="Trans"/>
      <sheetName val="미구주"/>
      <sheetName val="제품 Master"/>
      <sheetName val="지역개발"/>
      <sheetName val="3-1-4_교_x0002_"/>
      <sheetName val="3-1-4_교_x0002__数8"/>
      <sheetName val="3-1-4_교_x0002__x000"/>
      <sheetName val="3-1-4_교_x0002"/>
      <sheetName val="3-1-4_교_x0002__x0000_数8"/>
      <sheetName val="3-1-4_교_x0002__x0000_数81"/>
      <sheetName val="3-1-4_교_x0002_1"/>
      <sheetName val="3-1-4_교_x0002__数81"/>
      <sheetName val="3-1-4_교_x0002__x0001"/>
      <sheetName val="3-1-4_교_x005f_x0002__x001"/>
      <sheetName val="3-1-4_교_x00021"/>
      <sheetName val="3-1-4_교_x0002__x001"/>
      <sheetName val="3-1-4 ɐ_x0000__x000"/>
      <sheetName val="3-1-4 교_x005f"/>
      <sheetName val="刀_x0010_"/>
      <sheetName val="_x0000_鄀"/>
      <sheetName val="_x0000_ꔀ"/>
      <sheetName val="_x0000_∀"/>
      <sheetName val="_x0000_"/>
      <sheetName val="_x0000_一"/>
      <sheetName val="_x0000_팀"/>
      <sheetName val="_x0000_Ā"/>
      <sheetName val="_x0000_耀"/>
      <sheetName val="_x0000_᠀"/>
      <sheetName val="_x0000_"/>
      <sheetName val="_x0000_开"/>
      <sheetName val="_x0000_준"/>
      <sheetName val="_x0000_먀"/>
      <sheetName val="_x0000_⬀"/>
      <sheetName val="_x0000_萀"/>
      <sheetName val="_x0000_輀"/>
      <sheetName val="_x0000_ᨀ"/>
      <sheetName val="_x0000_뼀"/>
      <sheetName val="_x0000_　"/>
      <sheetName val="_x0000_ᘀ"/>
      <sheetName val="_x0000_嘀"/>
      <sheetName val="_x0000_鼀"/>
      <sheetName val="_x0000_똀"/>
      <sheetName val="_x0000_鈀"/>
      <sheetName val="_x0000_ᤀ"/>
      <sheetName val="_x0000_簀"/>
      <sheetName val="_x0000_ꄀ"/>
      <sheetName val="_x0000_㰀"/>
      <sheetName val="_x0000_眀"/>
      <sheetName val="_x0000_툀"/>
      <sheetName val="금융비용"/>
      <sheetName val="_x0000_頀"/>
      <sheetName val="BAY실_x0000_"/>
      <sheetName val="Assumptions_of_BOQ (3)"/>
      <sheetName val="E_Summary"/>
      <sheetName val="D_Cntnts"/>
      <sheetName val="Room Type"/>
      <sheetName val="Basement2 DB"/>
      <sheetName val="PRECAST lightconc-II"/>
      <sheetName val="EQT-EST_x0000_"/>
      <sheetName val="준검 내역서"/>
      <sheetName val="산출근거"/>
      <sheetName val="1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List"/>
      <sheetName val="고장분류"/>
      <sheetName val="부외등급"/>
      <sheetName val="分类"/>
      <sheetName val="팀코드"/>
      <sheetName val="인원시간"/>
      <sheetName val="Sheet"/>
      <sheetName val="Mkt_E_xd808_ሶ"/>
      <sheetName val="ValueList_Helper"/>
      <sheetName val="항목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시실누(모)_3"/>
      <sheetName val="Credit_Calc3"/>
      <sheetName val="CAPA분석_360K3"/>
      <sheetName val="자재_집계표3"/>
      <sheetName val="_55_BA_장입기_091203_xlsx3"/>
      <sheetName val="입찰내역_발주처_양식3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Low_YLD_Reject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Hynix_&amp;_SYS_IC_Co1"/>
      <sheetName val="Code_2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_M10C_DIFF_산포_개선_사례_7자_GAS_LIN1"/>
      <sheetName val="Graph_Data1"/>
      <sheetName val="실행내역서_1"/>
      <sheetName val="BP-이발-RJ_TREND1"/>
      <sheetName val="유해위험요인_분류체계1"/>
      <sheetName val="DAILY_CHECK1"/>
      <sheetName val="EPM_Raw1"/>
      <sheetName val="PT1H_Raw1"/>
      <sheetName val="판매실적_종합1"/>
      <sheetName val="Down_Time1"/>
      <sheetName val="H_P견적(참조)1"/>
      <sheetName val="경수97_021"/>
      <sheetName val="1995년_섹터별_매출1"/>
      <sheetName val="4-8_공통1"/>
      <sheetName val="Fabless_comp_ROE1"/>
      <sheetName val="Making_Order1"/>
      <sheetName val="256D_OUT_TAT1"/>
      <sheetName val="_T3B-SN_SOD_SKIP_+_SIGE_No_Del1"/>
      <sheetName val="Wip_Status1"/>
      <sheetName val="7682LA_SKD(12_4)1"/>
      <sheetName val="공종별_집계1"/>
      <sheetName val="공사비_내역_(가)1"/>
      <sheetName val="BSD_(2)1"/>
      <sheetName val="_견적서1"/>
      <sheetName val="설산1_나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할증_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별첨2.Toxic Gas 배관 시공 기준(수정 금지)"/>
      <sheetName val="FORM-0"/>
      <sheetName val="定义"/>
      <sheetName val="Macro_STD_Info"/>
      <sheetName val="예산실적전체당월"/>
      <sheetName val="통폐합유형 작성기준"/>
      <sheetName val="제품_Master"/>
      <sheetName val="양식3"/>
      <sheetName val="평균단가"/>
      <sheetName val="월별기성현황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월CAPA계산"/>
      <sheetName val="Laser Focu0_x0000_砀_x000c__x0000__x0000_"/>
      <sheetName val="(참조)"/>
      <sheetName val="Need Data"/>
      <sheetName val="97년추정손익계산서"/>
      <sheetName val="Links"/>
      <sheetName val="표준대차대조표(갑)"/>
      <sheetName val="SYS CAT_RENEW_1"/>
      <sheetName val="SYS GROUP NO"/>
      <sheetName val="CLASS"/>
      <sheetName val="CHEMICALS"/>
      <sheetName val="Laser Focu0"/>
      <sheetName val="_x0000_舀"/>
      <sheetName val="_x0000_ﴀ"/>
      <sheetName val="_x0000_윀"/>
      <sheetName val="_x0000_⤀"/>
      <sheetName val="_x0000_怀"/>
      <sheetName val="_x0000_저"/>
      <sheetName val="_x0000_가"/>
      <sheetName val="해외세목"/>
      <sheetName val="1안98Billing"/>
      <sheetName val="대차대조표-공시형"/>
      <sheetName val="임차보증금"/>
      <sheetName val="부품별_매입현황3"/>
      <sheetName val="기본_상수3"/>
      <sheetName val="불합리_적출_및_관리3"/>
      <sheetName val="3-1-4_교_x005f_x005f_x005f_x0002__x005f_x005f_x002"/>
      <sheetName val="3-1-4_교_x005f_x0002__数82"/>
      <sheetName val="3-1-4_교_x005f_x0002__x0002"/>
      <sheetName val="3-1-4_교_x005f_x005f_x00022"/>
      <sheetName val="3-1-4_ɐ2"/>
      <sheetName val="EQUIP_LIST2"/>
      <sheetName val="Data_Base1"/>
      <sheetName val="3-1-4_교_x005f_x005f_x005f_x005f_x005f_x005f_x0001"/>
      <sheetName val="3-1-4_교_x005f_x005f_x005f_x0002_1"/>
      <sheetName val="3-1-4_교_x005f_x005f_x005f_x0002__数81"/>
      <sheetName val="평가&amp;선급_미지급"/>
      <sheetName val="HISTORY_REPORT-ARMOR_ALL_&amp;_STP"/>
      <sheetName val="Indoor_Disposer"/>
      <sheetName val="RR_Allocation"/>
      <sheetName val="SLS_UPLOAD"/>
      <sheetName val="Infra_기준정보"/>
      <sheetName val="실장기_기준정보"/>
      <sheetName val="04-1_(참고)해외출장비기준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CAPA분석_360K4"/>
      <sheetName val="_55_BA_장입기_091203_xlsx4"/>
      <sheetName val="3ND_64M4"/>
      <sheetName val="자재_집계표4"/>
      <sheetName val="입찰내역_발주처_양식4"/>
      <sheetName val="시실누(모)_4"/>
      <sheetName val="Credit_Calc4"/>
      <sheetName val="3-1-4_교数82"/>
      <sheetName val="3-1-4_교2"/>
      <sheetName val="부품별_매입현황4"/>
      <sheetName val="기본_상수4"/>
      <sheetName val="불합리_적출_및_관리4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3-1-4_교_数82"/>
      <sheetName val="3-1-4_교_x005f_x005f_x005f_x0002__x005f_x005f_x003"/>
      <sheetName val="3-1-4_교_x005f_x0002__数83"/>
      <sheetName val="3-1-4_교_x005f_x0002__x0003"/>
      <sheetName val="3-1-4_교_x005f_x005f_x00023"/>
      <sheetName val="3-1-4_ɐ3"/>
      <sheetName val="EQUIP_LIST3"/>
      <sheetName val="Data_Base2"/>
      <sheetName val="3-1-4_교_x00022"/>
      <sheetName val="TFT_측정(2)2"/>
      <sheetName val="사유_구분2"/>
      <sheetName val="14_1&quot;_Cst_변화2"/>
      <sheetName val="계조에_따른_특성2"/>
      <sheetName val="무상_Part_List(BW)2"/>
      <sheetName val="Low_YLD_Reject2"/>
      <sheetName val="개인별_프로젝트2"/>
      <sheetName val="96_기타_전시회_경비2"/>
      <sheetName val="96_상반기_전시회_경비2"/>
      <sheetName val="96_하반기_전시회_경비2"/>
      <sheetName val="SUB_(N)2"/>
      <sheetName val="11월_Red_Zone_기상도2"/>
      <sheetName val="Lot_Status2"/>
      <sheetName val="Xunit_(단위환산)2"/>
      <sheetName val="Sheet1_(2)2"/>
      <sheetName val="Hynix_&amp;_SYS_IC_Co2"/>
      <sheetName val="Code_22"/>
      <sheetName val="제조혁신(이지연,_윤수향)2"/>
      <sheetName val="값목록(Do_not_touch)2"/>
      <sheetName val="24_보증금(전신전화가입권)2"/>
      <sheetName val="근로소득_세액표2"/>
      <sheetName val="건강보험_표준요율표2"/>
      <sheetName val="국민연금_표준요율표2"/>
      <sheetName val="_M10C_DIFF_산포_개선_사례_BASE_PRESS2"/>
      <sheetName val="Laser_Alignment_Target_Spec2"/>
      <sheetName val="Laser_Focus_Spec2"/>
      <sheetName val="_M10C_DIFF_산포_개선_사례_7자_GAS_LIN2"/>
      <sheetName val="Graph_Data2"/>
      <sheetName val="※_참고사항2"/>
      <sheetName val="실행내역서_2"/>
      <sheetName val="BP-이발-RJ_TREND2"/>
      <sheetName val="유해위험요인_분류체계2"/>
      <sheetName val="DAILY_CHECK2"/>
      <sheetName val="EPM_Raw2"/>
      <sheetName val="PT1H_Raw2"/>
      <sheetName val="판매실적_종합2"/>
      <sheetName val="Down_Time2"/>
      <sheetName val="H_P견적(참조)2"/>
      <sheetName val="경수97_022"/>
      <sheetName val="1995년_섹터별_매출2"/>
      <sheetName val="4-8_공통2"/>
      <sheetName val="Fabless_comp_ROE2"/>
      <sheetName val="Making_Order2"/>
      <sheetName val="256D_OUT_TAT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_T3B-SN_SOD_SKIP_+_SIGE_No_Del2"/>
      <sheetName val="Wip_Status2"/>
      <sheetName val="7682LA_SKD(12_4)2"/>
      <sheetName val="공종별_집계2"/>
      <sheetName val="공사비_내역_(가)2"/>
      <sheetName val="BSD_(2)2"/>
      <sheetName val="_견적서2"/>
      <sheetName val="설산1_나2"/>
      <sheetName val="할증_2"/>
      <sheetName val="반입시나리오(area별_조정)2"/>
      <sheetName val="VGID_Hot_Carrier2"/>
      <sheetName val="VGID_Body_Effect2"/>
      <sheetName val="6_Machine_Lis2"/>
      <sheetName val="데이터_유효성검사1"/>
      <sheetName val="GL_Recon1"/>
      <sheetName val="Operating_LR_(Q1_-_Q4)1"/>
      <sheetName val="OB_DTL1"/>
      <sheetName val="AR_AGING1"/>
      <sheetName val="data_(누계)1"/>
      <sheetName val="data_(전년동기)1"/>
      <sheetName val="3-1-4_교_x005f_x0002_?数81"/>
      <sheetName val="3-1-4_교_x005f_x005f_x005f_x005f_x005f_x005f_x0003"/>
      <sheetName val="3-1-4_교_x005f_x005f_x005f_x0002_2"/>
      <sheetName val="3-1-4_교_x005f_x005f_x005f_x0002__数82"/>
      <sheetName val="게이트_지연시간_설정_21"/>
      <sheetName val="3-1-4_ɐ_x005f_x0000__x005f_x0000__x005f_x0000_␀1"/>
      <sheetName val="VAC_Robot_현황1"/>
      <sheetName val="후공정_장비반_업무_List1"/>
      <sheetName val="Main_Data1"/>
      <sheetName val="+_Weekly_Progress(KO)1"/>
      <sheetName val="입출재고현황_(2)1"/>
      <sheetName val="첨부_1"/>
      <sheetName val="Q4_VE_Saving(_vs_Q3)1"/>
      <sheetName val="Tool_trouble1"/>
      <sheetName val="4TH_64M1"/>
      <sheetName val="1__H2SO4_SUPPLY1"/>
      <sheetName val="Pad_좌표&amp;Location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3-1-4_교_x005f_x005f_x005f_x0002__x0001"/>
      <sheetName val="첨부1_Utility_물질명,_배관_재질(수정_금지)1"/>
      <sheetName val="평가&amp;선급_미지급1"/>
      <sheetName val="HISTORY_REPORT-ARMOR_ALL_&amp;_STP1"/>
      <sheetName val="Indoor_Disposer1"/>
      <sheetName val="RR_Allocation1"/>
      <sheetName val="SLS_UPLOAD1"/>
      <sheetName val="Infra_기준정보1"/>
      <sheetName val="실장기_기준정보1"/>
      <sheetName val="04-1_(참고)해외출장비기준1"/>
      <sheetName val="참고)미기원_국제학회_Pool&amp;일정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별첨3_Marco_기준정보(수정_금지)1"/>
      <sheetName val="참고__유효성_검사1"/>
      <sheetName val="팀&amp;계정_Code1"/>
      <sheetName val="CSOT_T3_기구_견적서_양식_rev1_xlsx1"/>
      <sheetName val="파트장_지시업무1"/>
      <sheetName val="유효성_기준1"/>
      <sheetName val="1指标_周间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제품_Master1"/>
      <sheetName val="3-1-4_교数81"/>
      <sheetName val="3-1-4_교1"/>
      <sheetName val="3-1-4_교_数81"/>
      <sheetName val="3-1-4_교_x0001"/>
      <sheetName val="3-1-4_교_x001"/>
      <sheetName val="3-1-4_ɐ_x000"/>
      <sheetName val="3-1-4_교_x005f"/>
      <sheetName val="LeadSchedule"/>
      <sheetName val="CD-실적"/>
      <sheetName val="BAY실耯"/>
      <sheetName val="BAY실က"/>
      <sheetName val="BAY실刀"/>
      <sheetName val="BAY실_x0001_"/>
      <sheetName val="BAY실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기준정보_(Main_Dual_LN)_CHDZ-Y663A"/>
      <sheetName val="UFPrn20020304112952"/>
      <sheetName val="유첨2. 기준정보"/>
      <sheetName val="기준정보 (9)"/>
      <sheetName val="PLMM-R$"/>
      <sheetName val="BP"/>
      <sheetName val="Tot_S_x0000__x0000_"/>
      <sheetName val="BAY실뀁"/>
      <sheetName val="PROGTVAZT-1"/>
      <sheetName val="Plant assumptions"/>
      <sheetName val="Awareness Trend SerieS-Flapship"/>
      <sheetName val="항목별"/>
      <sheetName val="이자율"/>
      <sheetName val="물량표"/>
      <sheetName val="유첨1_WW4忕"/>
      <sheetName val="3-1-4 ɐ_x005f_x005f_x0000"/>
      <sheetName val="3-1-4 ɐ_x005f_x005f_x005f"/>
      <sheetName val="Sheet 효율"/>
      <sheetName val="PP%계산(초기공정능력)"/>
      <sheetName val="작업시간기준"/>
      <sheetName val="참고사항"/>
      <sheetName val="중계정분류"/>
      <sheetName val="EM No"/>
      <sheetName val="근태 사유코드"/>
      <sheetName val="근태 Code"/>
      <sheetName val="기타 Data"/>
      <sheetName val="참고. Team&amp;계정 Code"/>
      <sheetName val="점수환산"/>
      <sheetName val="근태코드"/>
      <sheetName val="格式"/>
      <sheetName val="우선순위 선정"/>
      <sheetName val="목록참고"/>
      <sheetName val="Main"/>
      <sheetName val="5. 팀&amp;계정 Code"/>
      <sheetName val="월별근태"/>
      <sheetName val="1.관찰 작업 등록부"/>
      <sheetName val="목록."/>
      <sheetName val="분석"/>
      <sheetName val="정보"/>
      <sheetName val="분류"/>
      <sheetName val="유효성참조"/>
      <sheetName val="====&gt;목록"/>
      <sheetName val="분류체계"/>
      <sheetName val="유효"/>
      <sheetName val="개선목적 구분목록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서식용"/>
      <sheetName val="Total Summary (기존)"/>
      <sheetName val="Total Summary"/>
      <sheetName val="PM 준수 여부"/>
      <sheetName val="PM 실적 관리(장비반 입력)"/>
      <sheetName val="PM 실적 관리(장비반)"/>
      <sheetName val="PM 실적 관리(RBT반)"/>
      <sheetName val="Pivot Row"/>
      <sheetName val="제품 정보"/>
      <sheetName val="개선과제_기준정보"/>
      <sheetName val="_x0008__x0004__x0002__x0004__x0009_"/>
      <sheetName val="ȀࠀȀ܀؀"/>
      <sheetName val="Mkt_E_x0005_ᙪ"/>
      <sheetName val="20190530"/>
      <sheetName val="교육일정"/>
      <sheetName val="유림콘도"/>
      <sheetName val="유림골조"/>
      <sheetName val="유형 테이블"/>
      <sheetName val="Mkt_E?ሶ"/>
      <sheetName val="참조)마스터정보"/>
      <sheetName val="Config"/>
      <sheetName val="장비기능분류"/>
      <sheetName val="赤"/>
      <sheetName val="작성Guideline"/>
      <sheetName val="업무모델"/>
      <sheetName val="下拉项目"/>
      <sheetName val="原因分类目录"/>
      <sheetName val="下拉选项"/>
      <sheetName val="总表"/>
      <sheetName val="(참조) 장비기능분류"/>
      <sheetName val="(참조) 변경유형"/>
      <sheetName val="0-ハード（その他)"/>
      <sheetName val="조명시설"/>
      <sheetName val="분류목록"/>
      <sheetName val="투자성격 분류"/>
      <sheetName val="목록관리"/>
      <sheetName val=" BSAF_20190111"/>
      <sheetName val="Value List"/>
      <sheetName val="기능분류 List"/>
      <sheetName val="(참조) 선택 값 리스트"/>
      <sheetName val="Maker (To-Be)"/>
      <sheetName val="EQ Model List"/>
      <sheetName val="Sub Unit List"/>
      <sheetName val="Sub Unit 분류_191016"/>
      <sheetName val="작업 반복"/>
      <sheetName val="차트 이름표"/>
      <sheetName val="데이터 액세스"/>
      <sheetName val="장비기능분류_191112"/>
      <sheetName val="기준정보_"/>
      <sheetName val="선택항목"/>
      <sheetName val="J1-1"/>
      <sheetName val="CODE LIST"/>
      <sheetName val="차체부품 INS REPORT(갑)"/>
      <sheetName val="WIND"/>
      <sheetName val="M14B"/>
      <sheetName val="MQA"/>
      <sheetName val="Over View"/>
      <sheetName val="danh mục item"/>
      <sheetName val="첨부.표준개발공수Table"/>
      <sheetName val="분석용(18073)"/>
      <sheetName val="별첨2-1"/>
      <sheetName val="GAP log template 가이드"/>
      <sheetName val="RCM Guideline"/>
      <sheetName val="송전기본"/>
      <sheetName val="科室选择"/>
      <sheetName val="RFQ(확인필요)"/>
      <sheetName val="조건(확인필요)"/>
      <sheetName val="INDEX"/>
      <sheetName val="1.갑지"/>
      <sheetName val="1.일반"/>
      <sheetName val="2.계산서(P)"/>
      <sheetName val="3.PUMP선정"/>
      <sheetName val="4.계통도"/>
      <sheetName val="5.설치도"/>
      <sheetName val="6.UT"/>
      <sheetName val="1.일정"/>
      <sheetName val="1.서비스"/>
      <sheetName val="2.갑지"/>
      <sheetName val="2.일반"/>
      <sheetName val="2.SCOPE"/>
      <sheetName val="2.PARTS"/>
      <sheetName val="2.INTERFACE"/>
      <sheetName val="2.도면"/>
      <sheetName val="2.AT"/>
      <sheetName val="2.포장"/>
      <sheetName val="2.UT"/>
      <sheetName val="3.갑지"/>
      <sheetName val="3.일반"/>
      <sheetName val="3.SCOPE"/>
      <sheetName val="3.PARTS"/>
      <sheetName val="3.INTERFACE"/>
      <sheetName val="3.도면"/>
      <sheetName val="3.AT"/>
      <sheetName val="3.포장"/>
      <sheetName val="3.UT"/>
      <sheetName val="단가표"/>
      <sheetName val="코드부여"/>
      <sheetName val="작성개요 (2)"/>
      <sheetName val="1.SPARE"/>
      <sheetName val="PO M 장비반 개선 도출 현황"/>
      <sheetName val="Block 사용이력"/>
      <sheetName val="분류 기준표"/>
      <sheetName val="TFT배면◀▣▶CF배면"/>
      <sheetName val="카테고리"/>
      <sheetName val="Model Information"/>
      <sheetName val="Trang_tính2"/>
      <sheetName val="_x0008__x0004__x0002__x0004_ "/>
      <sheetName val="Earthwork"/>
      <sheetName val="RoHs対応部品表"/>
      <sheetName val="コーナーサンプル"/>
      <sheetName val="色度(MD)"/>
      <sheetName val="諧調設定"/>
      <sheetName val="結果"/>
      <sheetName val="追加(2)"/>
      <sheetName val="追加(3)"/>
      <sheetName val="追加(4)"/>
      <sheetName val="追加(5)"/>
      <sheetName val="追加(1)"/>
      <sheetName val="諧調設定-飛び込みの諧調差なし"/>
      <sheetName val="報告書"/>
      <sheetName val="緑"/>
      <sheetName val="A1-10"/>
      <sheetName val="青"/>
      <sheetName val="Ｃ光源"/>
      <sheetName val="ソニー"/>
      <sheetName val="高さ"/>
      <sheetName val="下底ｻｲｽﾞ"/>
      <sheetName val="参考-DU13C高さ"/>
      <sheetName val="参考-DU13C下底"/>
      <sheetName val="参考-CUB4高さ"/>
      <sheetName val="参考-CUB4下底"/>
      <sheetName val="5-4 柱シフト"/>
      <sheetName val="楊梅"/>
      <sheetName val="桃園"/>
      <sheetName val="Rシフト"/>
      <sheetName val="Bシフト"/>
      <sheetName val="Gシフト"/>
      <sheetName val="Dat"/>
      <sheetName val="ﾘｽﾄ2"/>
      <sheetName val="PL (直)"/>
      <sheetName val="ﾘｽﾄ"/>
      <sheetName val="XX"/>
      <sheetName val="PL"/>
      <sheetName val="借用"/>
      <sheetName val="長寸法"/>
      <sheetName val="Sheet0"/>
      <sheetName val="RED"/>
      <sheetName val="App1 Index"/>
      <sheetName val="1.8.Index"/>
      <sheetName val="건축내역"/>
      <sheetName val="신공항A-9(원가수정)"/>
      <sheetName val="집계표"/>
      <sheetName val="Mkt_Eሶ"/>
      <sheetName val="3-1-4_교_x0002__x0000_数82"/>
      <sheetName val="3-1-4_교_x0002_2"/>
      <sheetName val="3-1-4_교_x0002_?数8"/>
      <sheetName val="돈암사업"/>
      <sheetName val="wall"/>
      <sheetName val="회의록"/>
      <sheetName val="원你"/>
      <sheetName val="ROR"/>
      <sheetName val="기타"/>
      <sheetName val="Mkt_E_ሶ"/>
      <sheetName val="3-1-4_교_x005f_x005f_x0001"/>
      <sheetName val="3-1-4 ɐ_x0000"/>
      <sheetName val="3-1-4 ɐ_x005f"/>
      <sheetName val="22년 구분자"/>
      <sheetName val="Check list"/>
      <sheetName val="Model"/>
      <sheetName val="Name defect"/>
      <sheetName val="#.Index"/>
      <sheetName val="FAB2_Á"/>
      <sheetName val="3-1-4 ɐ_x000"/>
      <sheetName val="BAY실"/>
      <sheetName val="EQT-EST"/>
      <sheetName val="Tot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/>
      <sheetData sheetId="1146"/>
      <sheetData sheetId="1147"/>
      <sheetData sheetId="1148"/>
      <sheetData sheetId="1149"/>
      <sheetData sheetId="1150"/>
      <sheetData sheetId="115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/>
      <sheetData sheetId="1390"/>
      <sheetData sheetId="1391"/>
      <sheetData sheetId="1392"/>
      <sheetData sheetId="1393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/>
      <sheetData sheetId="1461"/>
      <sheetData sheetId="1462"/>
      <sheetData sheetId="1463"/>
      <sheetData sheetId="1464"/>
      <sheetData sheetId="1465"/>
      <sheetData sheetId="1466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/>
      <sheetData sheetId="1614"/>
      <sheetData sheetId="1615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/>
      <sheetData sheetId="1634" refreshError="1"/>
      <sheetData sheetId="16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본부별팀별9911"/>
      <sheetName val="p2-1"/>
      <sheetName val="주행"/>
      <sheetName val="KMCWD"/>
      <sheetName val="96"/>
      <sheetName val="협조전"/>
      <sheetName val="626TD"/>
      <sheetName val="FMEAPRO5"/>
      <sheetName val="1ဲ.ALT"/>
      <sheetName val="1ဳ.O.S"/>
      <sheetName val="15.၄AMPER"/>
      <sheetName val="GB-IC Villingen GG"/>
      <sheetName val="OPT손익 내수"/>
      <sheetName val="OPT손익 수출"/>
      <sheetName val="64164"/>
      <sheetName val="BACK DATA 08.7.1~"/>
      <sheetName val="E.W"/>
      <sheetName val="P.W"/>
      <sheetName val="가공비data"/>
      <sheetName val="S.W"/>
      <sheetName val="二.POSITION.XLS"/>
      <sheetName val=""/>
      <sheetName val="#REF"/>
      <sheetName val="불량현황"/>
      <sheetName val="정리"/>
      <sheetName val="기초자료"/>
      <sheetName val="ISRDATA"/>
      <sheetName val="PRDW30"/>
      <sheetName val="VT원단위"/>
      <sheetName val="Sheet4"/>
      <sheetName val="반송불량율"/>
      <sheetName val="10월작업불량"/>
      <sheetName val="재료(확정,11월19일)"/>
      <sheetName val="MH_생산"/>
      <sheetName val="손익"/>
      <sheetName val="일자별"/>
      <sheetName val="●일일실적"/>
      <sheetName val="BACK DATA"/>
      <sheetName val="투자-국내2"/>
      <sheetName val="기안"/>
      <sheetName val="출력값"/>
      <sheetName val="engline"/>
      <sheetName val="RESN_SUM"/>
      <sheetName val="Actions"/>
      <sheetName val="시설업체주소록"/>
      <sheetName val="기초"/>
      <sheetName val="KD율"/>
      <sheetName val="GRACE"/>
      <sheetName val="외주현황.wq1"/>
      <sheetName val="PP%계산"/>
      <sheetName val="B053 (990701)공정실적PP%계산"/>
      <sheetName val="자산LIST"/>
      <sheetName val="WEIGHT"/>
      <sheetName val="Sheet1"/>
      <sheetName val="상용"/>
      <sheetName val="MBNBSMTR"/>
      <sheetName val="건축공사"/>
      <sheetName val="기초DATA"/>
      <sheetName val="BL제조표준"/>
      <sheetName val="CASE ASM"/>
      <sheetName val="동아합의"/>
      <sheetName val="BM_NEW2"/>
      <sheetName val="SUB 2월 재검사추이도"/>
      <sheetName val="12-30"/>
      <sheetName val="A-100전제"/>
      <sheetName val="Pc1%계산"/>
      <sheetName val="Tbom-tot"/>
      <sheetName val="1.변경범위"/>
      <sheetName val="점유면적"/>
      <sheetName val="2.대외공문"/>
      <sheetName val="직원신상"/>
      <sheetName val="(BS,CF)-BACK"/>
      <sheetName val="TOTAL"/>
      <sheetName val="피엘"/>
      <sheetName val="차수"/>
      <sheetName val="3.일반사상"/>
      <sheetName val="0000"/>
      <sheetName val="현금경비중역"/>
      <sheetName val="카메라"/>
      <sheetName val="5.세운W-A"/>
      <sheetName val="CIELO발주"/>
      <sheetName val="세부"/>
      <sheetName val="법인+비법인"/>
      <sheetName val="LANOS"/>
      <sheetName val="LEGANZA"/>
      <sheetName val="NUBIRA"/>
      <sheetName val="5.WIRE적용LIST"/>
      <sheetName val="14.1부"/>
      <sheetName val="TEMP TORQUE"/>
      <sheetName val="1"/>
      <sheetName val="진행 DATA (2)"/>
      <sheetName val="HOUSING"/>
      <sheetName val="95계획"/>
      <sheetName val="수리결과"/>
      <sheetName val="126.255"/>
      <sheetName val="RHN"/>
      <sheetName val="Sheet2"/>
      <sheetName val="T진도"/>
      <sheetName val="CD-실적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1ဲ_ALT"/>
      <sheetName val="1ဳ_O_S"/>
      <sheetName val="15_၄AMPER"/>
      <sheetName val="GB-IC_Villingen_GG"/>
      <sheetName val="OPT손익_내수"/>
      <sheetName val="OPT손익_수출"/>
      <sheetName val="二_POSITION_XLS"/>
      <sheetName val="BACK_DATA_08_7_1~"/>
      <sheetName val="E_W"/>
      <sheetName val="P_W"/>
      <sheetName val="S_W"/>
      <sheetName val="BACK_DATA"/>
      <sheetName val="외주현황_wq1"/>
      <sheetName val="공정능력외경"/>
      <sheetName val="팀별 합계"/>
      <sheetName val="항목(1)"/>
      <sheetName val="12"/>
      <sheetName val="N46"/>
      <sheetName val="TCA"/>
      <sheetName val="code"/>
      <sheetName val="C100보고서"/>
      <sheetName val="c.db"/>
      <sheetName val="JT3.0견적-구1"/>
      <sheetName val="PRESS DATA"/>
      <sheetName val="2_대외공문"/>
      <sheetName val="5_세운W-A"/>
      <sheetName val="조립지적"/>
      <sheetName val="HCCE01"/>
      <sheetName val="LX3.0 RR"/>
      <sheetName val="생계99ST"/>
      <sheetName val="050218"/>
      <sheetName val="생산1-1"/>
      <sheetName val="CPK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결함코드"/>
      <sheetName val="부품코드"/>
      <sheetName val="SPEC별"/>
      <sheetName val="일본출1"/>
      <sheetName val="삼공기계"/>
      <sheetName val="화환비상"/>
      <sheetName val="매출종합.`09"/>
      <sheetName val="부문손익"/>
      <sheetName val="수입"/>
      <sheetName val="계산정보"/>
      <sheetName val="AN43"/>
      <sheetName val="구동"/>
      <sheetName val="소상 &quot;1&quot;"/>
      <sheetName val="금형품"/>
      <sheetName val="매출계획"/>
      <sheetName val="F4-F7"/>
      <sheetName val="현재"/>
      <sheetName val="Tiburon"/>
      <sheetName val="선반OPT"/>
      <sheetName val="Nego PV"/>
      <sheetName val="RD제품개발투자비(매가)"/>
      <sheetName val="검기갑지"/>
      <sheetName val="5월"/>
      <sheetName val="설비능력및 종합공정능력산출시 사용"/>
      <sheetName val="지부전체"/>
      <sheetName val="M1master"/>
      <sheetName val="예산계획"/>
      <sheetName val="경비공통"/>
      <sheetName val="월별손익"/>
      <sheetName val="Macro2"/>
      <sheetName val="뒤차축소"/>
      <sheetName val="등속"/>
      <sheetName val="변속"/>
      <sheetName val="액슬"/>
      <sheetName val="프레임"/>
      <sheetName val="LAMBDA 자작"/>
      <sheetName val="Claim이력_내수내자"/>
      <sheetName val="R&amp;D"/>
      <sheetName val="PC%계산"/>
      <sheetName val="교육계획"/>
      <sheetName val="report_20"/>
      <sheetName val="camera_30"/>
      <sheetName val="시산표"/>
      <sheetName val="가격표"/>
      <sheetName val="96갑지"/>
      <sheetName val="9-1차이내역"/>
      <sheetName val="구매실(원본)"/>
      <sheetName val="집연95"/>
      <sheetName val="환율"/>
      <sheetName val="미국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二_POSITION_XLS1"/>
      <sheetName val="GB-IC_Villingen_GG1"/>
      <sheetName val="1ဲ_ALT1"/>
      <sheetName val="1ဳ_O_S1"/>
      <sheetName val="15_၄AMPER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CASE_ASM"/>
      <sheetName val="14_1부"/>
      <sheetName val="외주현황_wq11"/>
      <sheetName val="TEMP_TORQUE"/>
      <sheetName val="진행_DATA_(2)"/>
      <sheetName val="B053_(990701)공정실적PP%계산"/>
      <sheetName val="126_255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1_변경범위"/>
      <sheetName val="JT3_0견적-구1"/>
      <sheetName val="LX3_0_RR"/>
      <sheetName val="SUB_2월_재검사추이도"/>
      <sheetName val="c_db"/>
      <sheetName val="매출종합_`09"/>
      <sheetName val="팀별_합계"/>
      <sheetName val="소상_&quot;1&quot;"/>
      <sheetName val="3_일반사상"/>
      <sheetName val="Nego_PV"/>
      <sheetName val="설비능력및_종합공정능력산출시_사용"/>
      <sheetName val="LAMBDA_자작"/>
      <sheetName val="월생산"/>
      <sheetName val="KMO"/>
      <sheetName val="품의서"/>
      <sheetName val="RP변환코드"/>
      <sheetName val="신규DEP"/>
      <sheetName val="CSTHA616"/>
      <sheetName val="ALPROFILE 발주실적"/>
      <sheetName val="본문"/>
      <sheetName val="악성"/>
      <sheetName val="list"/>
      <sheetName val="X-3 ENG"/>
      <sheetName val="양식"/>
      <sheetName val="Takt"/>
      <sheetName val="조정명세서"/>
      <sheetName val="99판매상세"/>
      <sheetName val="ppcarpet"/>
      <sheetName val="Sheet1 (2)"/>
      <sheetName val="다목적갑"/>
      <sheetName val="DATE"/>
      <sheetName val="예산코드"/>
      <sheetName val="ML"/>
      <sheetName val="CSP원자재"/>
      <sheetName val="국내품"/>
      <sheetName val="수입부품비"/>
      <sheetName val="생산일보(전체)"/>
      <sheetName val="재질단가"/>
      <sheetName val="차종별"/>
      <sheetName val="DATA"/>
      <sheetName val="Book1"/>
      <sheetName val="MAIN"/>
      <sheetName val="ENG"/>
      <sheetName val="CONT"/>
      <sheetName val="GK차체EO-CUT전"/>
      <sheetName val="전장"/>
      <sheetName val="개발 TOOL 집계표"/>
      <sheetName val="경상 개발비"/>
      <sheetName val="상용_mp"/>
      <sheetName val="판매종합"/>
      <sheetName val="운임.환차손-Y"/>
      <sheetName val="내수1.8GL"/>
      <sheetName val="목록"/>
      <sheetName val="16~31"/>
      <sheetName val="유효성"/>
      <sheetName val="FACTOR"/>
      <sheetName val="예산실적전체당월"/>
      <sheetName val="요약"/>
      <sheetName val="Lookups"/>
      <sheetName val="Specification"/>
      <sheetName val="운임_환차손-Y"/>
      <sheetName val="존4"/>
      <sheetName val="A-A"/>
      <sheetName val="정산내역"/>
      <sheetName val="Evaluation objects"/>
      <sheetName val="Sheet3"/>
      <sheetName val="1-C,D"/>
      <sheetName val="980710"/>
      <sheetName val="불량현상별END"/>
      <sheetName val="가공비(2)"/>
      <sheetName val="금형비"/>
      <sheetName val="6월수불"/>
      <sheetName val="Macro1"/>
      <sheetName val="매각단가"/>
      <sheetName val="검토사항"/>
      <sheetName val="S13_관리계획서(체크시트)"/>
      <sheetName val="한성화물"/>
      <sheetName val="CLM-MP"/>
      <sheetName val="생산"/>
      <sheetName val="진도현황"/>
      <sheetName val="COND"/>
      <sheetName val="을"/>
      <sheetName val="초등학교내역서"/>
      <sheetName val="정미시간"/>
      <sheetName val="Grafikdaten"/>
      <sheetName val="02년 SUC"/>
      <sheetName val="부품LIST"/>
      <sheetName val="DAT(목표)"/>
      <sheetName val="LEASE4"/>
      <sheetName val="차체부품 INS REPORT(갑)"/>
      <sheetName val="major"/>
      <sheetName val="SM-NEW"/>
      <sheetName val="전부인쇄"/>
      <sheetName val="day"/>
      <sheetName val="FUEL FILLER"/>
      <sheetName val="CALENDAR"/>
      <sheetName val="초도발주서"/>
      <sheetName val="2"/>
      <sheetName val="명단"/>
      <sheetName val="순위"/>
      <sheetName val=" 납촉자"/>
      <sheetName val="업체명"/>
      <sheetName val="3-2.귀책부서별 DT현황"/>
      <sheetName val="대외공문"/>
      <sheetName val="통합data"/>
      <sheetName val="환율기준"/>
      <sheetName val="영업"/>
      <sheetName val="INPUT"/>
      <sheetName val="RC"/>
      <sheetName val="차체부품_INS_REPORT(갑)"/>
      <sheetName val="FUEL_FILLER"/>
      <sheetName val="5_WIRE적용LIST"/>
      <sheetName val="_납촉자"/>
      <sheetName val="RHD"/>
      <sheetName val="그패프"/>
      <sheetName val="BUS제원1"/>
      <sheetName val="DOOR"/>
      <sheetName val="CVT산정"/>
      <sheetName val="전체현황"/>
      <sheetName val="프로젝트"/>
      <sheetName val="5-1차수정"/>
      <sheetName val="1.2내수"/>
      <sheetName val="확정실적"/>
      <sheetName val="설비"/>
      <sheetName val="단중표"/>
      <sheetName val="원본"/>
      <sheetName val="내경"/>
      <sheetName val="GK_XDBASE"/>
      <sheetName val="DWPM"/>
      <sheetName val="MOTO"/>
      <sheetName val="Sch7a (토요일)"/>
      <sheetName val="MACRO1.XLM"/>
      <sheetName val="3. 관리점지수실적-1.1생산성"/>
      <sheetName val="업무분장 "/>
      <sheetName val="공통"/>
      <sheetName val="재료율"/>
      <sheetName val="고객불만 건"/>
      <sheetName val="재료비"/>
      <sheetName val="소요량분석(부자재)"/>
      <sheetName val="소요량분석(외주)"/>
      <sheetName val="INDIA-ML"/>
      <sheetName val="공평7"/>
      <sheetName val="득점현황"/>
      <sheetName val="소결재공"/>
      <sheetName val="판매수량"/>
      <sheetName val="기준코드"/>
      <sheetName val="업체별"/>
      <sheetName val="1_변경범위1"/>
      <sheetName val="2_대외공문1"/>
      <sheetName val="B053_(990701)공정실적PP%계산1"/>
      <sheetName val="TEMP_TORQUE1"/>
      <sheetName val="진행_DATA_(2)1"/>
      <sheetName val="5_세운W-A1"/>
      <sheetName val="운임_환차손-Y1"/>
      <sheetName val="내수1_8GL"/>
      <sheetName val="Evaluation_objects"/>
      <sheetName val="1-1-1-2"/>
      <sheetName val="Data1"/>
      <sheetName val="pl2k12"/>
      <sheetName val="Bosch ADVP&amp;R"/>
      <sheetName val="효율계획(당월)"/>
      <sheetName val="전체실적"/>
      <sheetName val="SFM-TTL"/>
      <sheetName val="근태현황"/>
      <sheetName val="Table"/>
      <sheetName val="수h"/>
      <sheetName val="PAKAGE4362"/>
      <sheetName val="CAPA분석 360K"/>
      <sheetName val="Cost Reduction"/>
      <sheetName val="주소(한문)"/>
      <sheetName val="집계"/>
      <sheetName val="업무분장"/>
      <sheetName val="PP%계산-1"/>
      <sheetName val="건설성적"/>
      <sheetName val="이자율"/>
      <sheetName val="GLOBAL PT NEW FORMAT OCT 2002"/>
      <sheetName val="RR저항Cp"/>
      <sheetName val="Dashboard"/>
      <sheetName val="분석mast"/>
      <sheetName val="2공구산출내역"/>
      <sheetName val="RDLEVLST"/>
      <sheetName val="계산 DATA 입력"/>
      <sheetName val="상세 계산 내역"/>
      <sheetName val="폼관조직"/>
      <sheetName val="Sheet5"/>
      <sheetName val="Sheet6 (3)"/>
      <sheetName val="TUBE시험성적서"/>
      <sheetName val="원단위 전후비교"/>
      <sheetName val="EF-SONATA"/>
      <sheetName val="BAU"/>
      <sheetName val="Summary"/>
      <sheetName val="작동logic"/>
      <sheetName val="생산(전장입력)-1"/>
      <sheetName val="GLOBAL PT NEW FORMAT JULY  2002"/>
      <sheetName val="대차대조표"/>
      <sheetName val="C100"/>
      <sheetName val="추이도"/>
      <sheetName val="WS"/>
      <sheetName val="인원부하"/>
      <sheetName val="Master Cable"/>
      <sheetName val="재고자산명세(Y)"/>
      <sheetName val="ASSIGN"/>
      <sheetName val="금형991202"/>
      <sheetName val="MexiqueVentes97"/>
      <sheetName val="차체"/>
      <sheetName val="작업제품군"/>
      <sheetName val="차종"/>
      <sheetName val="사용자코드1"/>
      <sheetName val="사용자코드2"/>
      <sheetName val="제품"/>
      <sheetName val="매출성격"/>
      <sheetName val="지역"/>
      <sheetName val="금형표지"/>
      <sheetName val="파일테이블"/>
      <sheetName val="재1"/>
      <sheetName val="감사ⓚA"/>
      <sheetName val="96수출"/>
      <sheetName val="공정별설비검토"/>
      <sheetName val="종합(PD,FD,RS)"/>
      <sheetName val="HP1AMLIST"/>
      <sheetName val="2_2공정능력"/>
      <sheetName val="Auswahl"/>
      <sheetName val="1_2내수"/>
      <sheetName val="품의양"/>
      <sheetName val="공평3"/>
      <sheetName val="INVESTMENT (Hardware)"/>
      <sheetName val="인원"/>
      <sheetName val="95하U$가격"/>
      <sheetName val="적용수량"/>
      <sheetName val="자재소요"/>
      <sheetName val="판매계획"/>
      <sheetName val="신고서.전"/>
      <sheetName val="Basic assumptions"/>
      <sheetName val="2-1"/>
      <sheetName val="PPS2"/>
      <sheetName val="材料"/>
      <sheetName val="SPA원가"/>
      <sheetName val="계산DATA입력"/>
      <sheetName val="인건비"/>
      <sheetName val="종합BDATA"/>
      <sheetName val="적하보험"/>
      <sheetName val="검구사양서"/>
      <sheetName val="종합"/>
      <sheetName val="Open"/>
      <sheetName val="97"/>
      <sheetName val="업종별"/>
      <sheetName val="작성양식"/>
      <sheetName val="EQ"/>
      <sheetName val="82150-39000"/>
      <sheetName val="참조영역"/>
      <sheetName val="콤보"/>
      <sheetName val="운영실적(세부)"/>
      <sheetName val="품의예산"/>
      <sheetName val="대일산업"/>
      <sheetName val="0 절삭조건"/>
      <sheetName val="1월"/>
      <sheetName val="옹벽1"/>
      <sheetName val="영업.일1"/>
      <sheetName val="카니발슈마세피아"/>
      <sheetName val="1-Tables"/>
      <sheetName val="표지"/>
      <sheetName val="1_2내수1"/>
      <sheetName val="Cost_Reduction"/>
      <sheetName val="Sheet6_(3)"/>
      <sheetName val="감가상각"/>
      <sheetName val="조서목차"/>
      <sheetName val="월매출"/>
      <sheetName val="가격품의"/>
      <sheetName val="TOT"/>
      <sheetName val="INVESTMENT_(Hardware)"/>
      <sheetName val="Cpk3"/>
      <sheetName val="PFMEA.XLS"/>
      <sheetName val="거래처"/>
      <sheetName val="Config"/>
      <sheetName val="EurotoolsXRates"/>
      <sheetName val="COKBOM"/>
      <sheetName val="목표대비실적(R)"/>
      <sheetName val="근태일지"/>
      <sheetName val="연습"/>
      <sheetName val="업체별매출실적"/>
      <sheetName val="기본정보"/>
      <sheetName val="초기화면"/>
      <sheetName val="제품정보"/>
      <sheetName val="품-(주)코①"/>
      <sheetName val="2008 г"/>
      <sheetName val="CF"/>
      <sheetName val="RELAY FAX양식"/>
      <sheetName val="상세 견적서 (HMC)"/>
      <sheetName val="발주"/>
      <sheetName val="LL"/>
      <sheetName val="M96현황-동아"/>
      <sheetName val="PILOT품"/>
      <sheetName val="금형품의서"/>
      <sheetName val="#93"/>
      <sheetName val="윤영환"/>
      <sheetName val="총"/>
      <sheetName val="발생집계"/>
      <sheetName val="제품목록"/>
      <sheetName val="유효"/>
      <sheetName val="VS1 Paretto분석"/>
      <sheetName val="intro"/>
      <sheetName val="가공비"/>
      <sheetName val="기준입력"/>
      <sheetName val="result0927"/>
      <sheetName val="대우자동차용역비"/>
      <sheetName val="실적"/>
      <sheetName val="3-2_귀책부서별_DT현황"/>
      <sheetName val="11"/>
      <sheetName val="간이연락"/>
      <sheetName val="SAM"/>
      <sheetName val="동명재고"/>
      <sheetName val="문서처리전"/>
      <sheetName val="PPK"/>
      <sheetName val="생산품목"/>
      <sheetName val="회순"/>
      <sheetName val="내구품질향상1"/>
      <sheetName val="Type"/>
      <sheetName val="포머 비가동 내역"/>
      <sheetName val="단가MSTR"/>
      <sheetName val="변수"/>
      <sheetName val="회사정보"/>
      <sheetName val="3"/>
      <sheetName val="4"/>
      <sheetName val="5"/>
      <sheetName val="6"/>
      <sheetName val="7"/>
      <sheetName val="8"/>
      <sheetName val="9"/>
      <sheetName val="10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년실적"/>
      <sheetName val="금형"/>
      <sheetName val="금형 (2)"/>
      <sheetName val="원재료"/>
      <sheetName val="(평균)"/>
      <sheetName val="일일 업무 현황 (3)"/>
      <sheetName val="일일 업무 현황 (5)"/>
      <sheetName val="COST관리"/>
      <sheetName val="업체등록"/>
      <sheetName val="자재입고"/>
      <sheetName val="자재출고"/>
      <sheetName val="제품등록"/>
      <sheetName val="총소요량"/>
      <sheetName val="현재고"/>
      <sheetName val="6B008"/>
      <sheetName val="hp_td_calc"/>
      <sheetName val="_x0000__x0000__x0000__x0000_ilencer"/>
      <sheetName val="금강투자2000"/>
      <sheetName val="급여대장(기능직)"/>
      <sheetName val="1-1.General Code"/>
      <sheetName val="경비"/>
      <sheetName val="FRONT HUB견적가"/>
      <sheetName val="MPL 技連"/>
      <sheetName val="W-현원가"/>
      <sheetName val="4월채무증감"/>
      <sheetName val="소유주(원)"/>
      <sheetName val="전력시간대(합계)"/>
      <sheetName val="712"/>
      <sheetName val="불출요청"/>
      <sheetName val="금액"/>
      <sheetName val="98종합"/>
      <sheetName val="PTR台손익"/>
      <sheetName val="resume"/>
      <sheetName val="BRAKE"/>
      <sheetName val="MCT6"/>
      <sheetName val="제안그래프"/>
      <sheetName val="공정및생산관리절차서"/>
      <sheetName val="단가"/>
      <sheetName val="342E BLOCK"/>
      <sheetName val="채권(하반기)"/>
      <sheetName val="오정용선임"/>
      <sheetName val="J150 승인진도관리 LIST"/>
      <sheetName val="TOTAL LIST"/>
      <sheetName val="EXP-COST"/>
      <sheetName val="지정공장"/>
      <sheetName val="서울정비"/>
      <sheetName val="Price Range"/>
      <sheetName val="FTR MACRo"/>
      <sheetName val="기준"/>
      <sheetName val="XREF"/>
      <sheetName val="5311"/>
      <sheetName val="생산현황 (입력)"/>
      <sheetName val="시험연구비상각"/>
      <sheetName val="건재양식"/>
      <sheetName val="MPS Q3 FY04"/>
      <sheetName val="MPS Q4 FY04"/>
      <sheetName val="125PIECE"/>
      <sheetName val="SS"/>
      <sheetName val="작업시간"/>
      <sheetName val="1.ER유체응용"/>
      <sheetName val="4.시험장비"/>
      <sheetName val="점검시트"/>
      <sheetName val="SANTAMO"/>
      <sheetName val="내역서"/>
      <sheetName val="협력사 일반현황"/>
      <sheetName val="자재단가"/>
      <sheetName val="세부내용"/>
      <sheetName val="DATA BASE"/>
      <sheetName val="11년단가"/>
      <sheetName val="프레스"/>
      <sheetName val="생산직"/>
      <sheetName val="1월~3월"/>
      <sheetName val="4월~6월"/>
      <sheetName val="7-9월"/>
      <sheetName val="10월~12월"/>
      <sheetName val="시산9812"/>
      <sheetName val="작업장"/>
      <sheetName val="차체부품_INS_REPORT(갑)1"/>
      <sheetName val="FUEL_FILLER1"/>
      <sheetName val="5_WIRE적용LIST1"/>
      <sheetName val="3_일반사상1"/>
      <sheetName val="_납촉자1"/>
      <sheetName val="일일_업무_현황_(3)"/>
      <sheetName val="일일_업무_현황_(5)"/>
      <sheetName val="내장"/>
      <sheetName val="3-2_귀책부서별_DT현황1"/>
      <sheetName val="0_절삭조건"/>
      <sheetName val="첨부6)CAPA분석표"/>
      <sheetName val="업체별 단가현황"/>
      <sheetName val="DFMEA"/>
      <sheetName val="LX3_0_RR1"/>
      <sheetName val="포머_비가동_내역"/>
      <sheetName val="FRONT_HUB견적가"/>
      <sheetName val="VS1_Paretto분석"/>
      <sheetName val="총괄표"/>
      <sheetName val="BND"/>
      <sheetName val="BTS-시범물량"/>
      <sheetName val="DataBase"/>
      <sheetName val="판매98"/>
      <sheetName val="장적산출"/>
      <sheetName val="작업일보"/>
      <sheetName val="FLOW PROSES (A)"/>
      <sheetName val="VPP(BD-010) 이상보고"/>
      <sheetName val="NGS4"/>
      <sheetName val="공정별"/>
      <sheetName val="TM1Variables"/>
      <sheetName val="생산소모품"/>
      <sheetName val="일일 생산및판매계획 대 실적"/>
      <sheetName val="계획수량"/>
      <sheetName val="상품재고(97)"/>
      <sheetName val="냉연"/>
      <sheetName val="원소재인상자료"/>
      <sheetName val="손익계산서"/>
      <sheetName val="V64"/>
      <sheetName val="31323-4A005(PPK)"/>
      <sheetName val="소계정"/>
      <sheetName val="02 07 27 부품판매가"/>
      <sheetName val="417CPK"/>
      <sheetName val="master"/>
      <sheetName val="GSTOTAL"/>
      <sheetName val="임율 &amp; LOT"/>
      <sheetName val="Segments"/>
      <sheetName val="생산계획 (2)"/>
      <sheetName val="SPT"/>
      <sheetName val="지침"/>
      <sheetName val="MC&amp;다변화"/>
      <sheetName val="SHAFT"/>
      <sheetName val="검사성적서(갑)"/>
      <sheetName val="CR CODE"/>
      <sheetName val="부서CODE"/>
      <sheetName val="THEME CODE"/>
      <sheetName val="정비손익"/>
      <sheetName val="수출"/>
      <sheetName val="15-COMP"/>
      <sheetName val="완성차"/>
      <sheetName val="R&amp;R(DATA)"/>
      <sheetName val="팀별종합"/>
      <sheetName val="검사협정서"/>
      <sheetName val="중점과제-경비(제안)"/>
      <sheetName val="2002년판매실적"/>
      <sheetName val="Budget"/>
      <sheetName val="대표자"/>
      <sheetName val="사유코드"/>
      <sheetName val="시설투자"/>
      <sheetName val="96PLAN"/>
      <sheetName val="B"/>
      <sheetName val="일반관리비"/>
      <sheetName val="매입세율"/>
      <sheetName val="공사개요"/>
      <sheetName val="P&amp;L,Bal Sheet,Cash Forecast"/>
      <sheetName val="자체실적1Q"/>
      <sheetName val="ROYALTY"/>
      <sheetName val="SPONGE단가"/>
      <sheetName val="인사자료총집계"/>
      <sheetName val="SPG생산"/>
      <sheetName val="출장거리"/>
      <sheetName val="비교원가제출.고"/>
      <sheetName val="승인1팀"/>
      <sheetName val="10-1"/>
      <sheetName val="98지급계획"/>
      <sheetName val="월간인력"/>
      <sheetName val="기타코드"/>
      <sheetName val="년령분석표(02년)"/>
      <sheetName val="지역별"/>
      <sheetName val="이름표모음"/>
      <sheetName val="MTK_사후"/>
      <sheetName val="94B"/>
      <sheetName val="원본(실제)"/>
      <sheetName val="56"/>
      <sheetName val="#142-1-갑"/>
      <sheetName val="1.세부비교원가(내수)"/>
      <sheetName val="1.종합비교원가(내수_일반_유럽)"/>
      <sheetName val="DAT_목표_"/>
      <sheetName val="물산(양산)"/>
      <sheetName val="정공(양산)"/>
      <sheetName val="테크(양산)"/>
      <sheetName val="계열사현황종합"/>
      <sheetName val="CSC"/>
      <sheetName val="보고"/>
      <sheetName val="중점과제별관리도"/>
      <sheetName val="Sheet13"/>
      <sheetName val="안산"/>
      <sheetName val="천안"/>
      <sheetName val="PB내역"/>
      <sheetName val="10.예산 및 원가 계획(02년)"/>
      <sheetName val="입고단가기준"/>
      <sheetName val="공문"/>
      <sheetName val="리드14"/>
      <sheetName val="규칙"/>
      <sheetName val="2차 OIL량측정"/>
      <sheetName val="지점장"/>
      <sheetName val="측정-1"/>
      <sheetName val="WBS98"/>
      <sheetName val="국산화"/>
      <sheetName val="대표경력"/>
      <sheetName val="DOM-競合車SPEC"/>
      <sheetName val="销售计划"/>
      <sheetName val="Headcount"/>
      <sheetName val="Sales_LT"/>
      <sheetName val="출입자명단"/>
      <sheetName val="ｴｱﾃﾞｨｽｸ"/>
      <sheetName val="평가표"/>
      <sheetName val="FMEAPRO3"/>
      <sheetName val="담당"/>
      <sheetName val="Sheet6"/>
      <sheetName val="생산2부(COL'M,U_J)"/>
      <sheetName val="BOM"/>
      <sheetName val="산업판매입력"/>
      <sheetName val="3.PT개발계획"/>
      <sheetName val="Purchasing Data"/>
      <sheetName val="예정임율"/>
      <sheetName val="6 N.m CCW 전류"/>
      <sheetName val="공정능력평가-2"/>
      <sheetName val="공정능력평가-3"/>
      <sheetName val="07주차별실적"/>
      <sheetName val="pri"/>
      <sheetName val="외주업체"/>
      <sheetName val="실적(Q11)"/>
      <sheetName val="예산(Q11)"/>
      <sheetName val="자가2급"/>
      <sheetName val="해외생산"/>
      <sheetName val="PC%계산DWMC"/>
      <sheetName val="금관"/>
      <sheetName val="백화"/>
      <sheetName val="본사-출장소구분"/>
      <sheetName val="ERP도입후 시정현황"/>
      <sheetName val="임시12월"/>
      <sheetName val="가2"/>
      <sheetName val="10-1소요"/>
      <sheetName val="3620SE"/>
      <sheetName val="목표세부명세"/>
      <sheetName val="#REF!"/>
      <sheetName val="실적 및 계획"/>
      <sheetName val="공정능력(1)"/>
      <sheetName val="공정능력 (2)"/>
      <sheetName val="내역"/>
      <sheetName val="PRO (참조)"/>
      <sheetName val="내용"/>
      <sheetName val="Supplement2"/>
      <sheetName val="첨부⑥"/>
      <sheetName val="TRANSLAT"/>
      <sheetName val="현장"/>
      <sheetName val="p2_1"/>
      <sheetName val="종합(LH)"/>
      <sheetName val="cv"/>
      <sheetName val="K55"/>
      <sheetName val="ORIGIN"/>
      <sheetName val="대외공문 "/>
      <sheetName val="10월11일"/>
      <sheetName val="제품원재"/>
      <sheetName val="부재예실1월"/>
      <sheetName val="Sheet10"/>
      <sheetName val="71336(R)"/>
      <sheetName val="일위대가(계측기설치)"/>
      <sheetName val="●현황"/>
      <sheetName val="●목차"/>
      <sheetName val="원가계산서"/>
      <sheetName val="Rate data"/>
      <sheetName val="Sheet16"/>
      <sheetName val="종목코드"/>
      <sheetName val="Sec 1 - RFQ"/>
      <sheetName val="FO원단위"/>
      <sheetName val="21444-41900"/>
      <sheetName val="Technology"/>
      <sheetName val="원가절감"/>
      <sheetName val="별도관리"/>
      <sheetName val="외주품 감점 유형 기준"/>
      <sheetName val="SOURCE"/>
      <sheetName val="공수"/>
      <sheetName val="총list"/>
      <sheetName val="투입공수계획"/>
      <sheetName val="생산일보"/>
      <sheetName val="월간생산계획"/>
      <sheetName val="품목테이블"/>
      <sheetName val="1st"/>
      <sheetName val="Sales"/>
      <sheetName val="N719(NC)"/>
      <sheetName val=" SR3차원단위 (3)"/>
      <sheetName val="c.db1"/>
      <sheetName val="99원가원판"/>
      <sheetName val="MethodC"/>
      <sheetName val="업무담당"/>
      <sheetName val="첨부2"/>
      <sheetName val="기안지"/>
      <sheetName val="应收帐款"/>
      <sheetName val="예금미수이자(6월)"/>
      <sheetName val="대지급(한미)"/>
      <sheetName val="전장품(관리용)"/>
      <sheetName val="2선재"/>
      <sheetName val="094_APP別"/>
      <sheetName val="PPK(공정능력조사표)"/>
      <sheetName val="외관검사"/>
      <sheetName val="세목별"/>
      <sheetName val="계정"/>
      <sheetName val="공정별공법-W.HSE-LH"/>
      <sheetName val="변제"/>
      <sheetName val="SPEC1"/>
      <sheetName val="Y3-LIST"/>
      <sheetName val="INDEX"/>
      <sheetName val="공용라이온-2"/>
      <sheetName val="최신"/>
      <sheetName val="GM Master"/>
      <sheetName val="수주단가"/>
      <sheetName val="일괄인쇄"/>
      <sheetName val="97계획(96.11"/>
      <sheetName val="재공품기초자료"/>
      <sheetName val="DATAinput"/>
      <sheetName val="참조코드현황"/>
      <sheetName val="참고"/>
      <sheetName val="주요재무비율"/>
      <sheetName val="CR금액"/>
      <sheetName val="OEM Plan"/>
      <sheetName val="SO416"/>
      <sheetName val="구매사양"/>
      <sheetName val="ALPROFILE_발주실적"/>
      <sheetName val="Basic"/>
      <sheetName val="DIEZEL動弁相場"/>
      <sheetName val="전문품의"/>
      <sheetName val="전체지분도"/>
      <sheetName val="갑지"/>
      <sheetName val="参照条件"/>
      <sheetName val="RT Table"/>
      <sheetName val="PROGRAM1"/>
      <sheetName val="거래처별"/>
      <sheetName val="Production Plan1"/>
      <sheetName val="사무용품 신청"/>
      <sheetName val="K1"/>
      <sheetName val="4.3 첨부1"/>
      <sheetName val="산정표"/>
      <sheetName val="ref"/>
      <sheetName val="JUNY"/>
      <sheetName val="069"/>
      <sheetName val="비가동-20"/>
      <sheetName val="98년"/>
      <sheetName val="전사"/>
      <sheetName val="과제"/>
      <sheetName val="영업인계"/>
      <sheetName val="재공재고"/>
      <sheetName val="포장현황"/>
      <sheetName val="MC%계산"/>
      <sheetName val="활물질"/>
      <sheetName val="Separator"/>
      <sheetName val="Value Analysis - Sheet 1"/>
      <sheetName val="DBL LPG시험"/>
      <sheetName val="상세"/>
      <sheetName val="SMXEXPS"/>
      <sheetName val="기초데이타"/>
      <sheetName val="연구인원내역"/>
      <sheetName val="주E95711"/>
      <sheetName val="시설이용권명세서"/>
      <sheetName val="특정현금과예금"/>
      <sheetName val="비용구조"/>
      <sheetName val="출고현황"/>
      <sheetName val="오퍼(DS)"/>
      <sheetName val="6월(DS)"/>
      <sheetName val="물량표"/>
      <sheetName val="물량표S"/>
      <sheetName val="10년01월부터"/>
      <sheetName val="PAINT"/>
      <sheetName val="예적금"/>
      <sheetName val="실행내역"/>
      <sheetName val="4월"/>
      <sheetName val="Issues List"/>
      <sheetName val="Appendix_TT"/>
      <sheetName val="효성"/>
      <sheetName val="1_TM2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1ဲ_ALT2"/>
      <sheetName val="1ဳ_O_S2"/>
      <sheetName val="15_၄AMPER2"/>
      <sheetName val="GB-IC_Villingen_GG2"/>
      <sheetName val="BACK_DATA_08_7_1~2"/>
      <sheetName val="E_W2"/>
      <sheetName val="P_W2"/>
      <sheetName val="S_W2"/>
      <sheetName val="二_POSITION_XLS2"/>
      <sheetName val="OPT손익_내수2"/>
      <sheetName val="OPT손익_수출2"/>
      <sheetName val="BACK_DATA2"/>
      <sheetName val="외주현황_wq12"/>
      <sheetName val="2_대외공문2"/>
      <sheetName val="5_세운W-A2"/>
      <sheetName val="126_2551"/>
      <sheetName val="CASE_ASM1"/>
      <sheetName val="14_1부1"/>
      <sheetName val="JT3_0견적-구11"/>
      <sheetName val="PRESS_DATA1"/>
      <sheetName val="SUB_2월_재검사추이도1"/>
      <sheetName val="c_db1"/>
      <sheetName val="설비능력및_종합공정능력산출시_사용1"/>
      <sheetName val="소상_&quot;1&quot;1"/>
      <sheetName val="팀별_합계1"/>
      <sheetName val="매출종합_`09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Nego_PV1"/>
      <sheetName val="LAMBDA_자작1"/>
      <sheetName val="X-3_ENG1"/>
      <sheetName val="PRESS_DATA"/>
      <sheetName val="X-3_ENG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1ဲ_ALT3"/>
      <sheetName val="1ဳ_O_S3"/>
      <sheetName val="15_၄AMPER3"/>
      <sheetName val="GB-IC_Villingen_GG3"/>
      <sheetName val="BACK_DATA_08_7_1~3"/>
      <sheetName val="E_W3"/>
      <sheetName val="P_W3"/>
      <sheetName val="S_W3"/>
      <sheetName val="二_POSITION_XLS3"/>
      <sheetName val="OPT손익_내수3"/>
      <sheetName val="9703"/>
      <sheetName val="(2)월생산현황 "/>
      <sheetName val="LINE PPM-분석"/>
      <sheetName val="진급관련DATA"/>
      <sheetName val="자체실적Y"/>
      <sheetName val="Interco &amp; PVS Loc Cur"/>
      <sheetName val="불량코드"/>
      <sheetName val=" PPAP 작성중 .xlsx"/>
      <sheetName val="2.중요한회계정책"/>
      <sheetName val="9.관계기업투자"/>
      <sheetName val="42.리스"/>
      <sheetName val="25.법인세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생산_P"/>
      <sheetName val="매출DATA"/>
      <sheetName val="Graph"/>
      <sheetName val="미익SUB"/>
      <sheetName val="all"/>
      <sheetName val="금형이력"/>
      <sheetName val="제품명 (3)"/>
      <sheetName val="After sales"/>
      <sheetName val="투자예산"/>
      <sheetName val="첨부4.기술평가서"/>
      <sheetName val="LOCKUP"/>
      <sheetName val="99정부과제종합"/>
      <sheetName val="Data입력"/>
      <sheetName val="종합표"/>
      <sheetName val="S50 "/>
      <sheetName val="SNP"/>
      <sheetName val="PACKING LIST"/>
      <sheetName val="Y3"/>
      <sheetName val="조달내역"/>
      <sheetName val="COOLING UNIT"/>
      <sheetName val="GYOKAK2"/>
      <sheetName val="기본정보입력"/>
      <sheetName val="세부자료"/>
      <sheetName val="자동차 종합지표"/>
      <sheetName val="데이터목록"/>
      <sheetName val="R-16E"/>
      <sheetName val="C-16MM"/>
      <sheetName val="C-12MM"/>
      <sheetName val="C-20MM"/>
      <sheetName val="J2(P.MT)"/>
      <sheetName val="노동부"/>
      <sheetName val="3.3검토국"/>
      <sheetName val="현장관리비"/>
      <sheetName val="수불부"/>
      <sheetName val="Actual data"/>
      <sheetName val="기준정보"/>
      <sheetName val="영업용가격대"/>
      <sheetName val="검사협정 보충"/>
      <sheetName val="설계명세"/>
      <sheetName val="INJ_FRT"/>
      <sheetName val="customer"/>
      <sheetName val="_x0000_PRDW30.XL"/>
      <sheetName val="구분자료"/>
      <sheetName val="불량건수"/>
      <sheetName val="외주집계"/>
      <sheetName val="工程信息"/>
      <sheetName val="초기공정능력"/>
      <sheetName val="DV Flow Chart DV-PV1 (PFC)"/>
      <sheetName val="MATEMST (2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개발_TOOL_집계표"/>
      <sheetName val="경상_개발비"/>
      <sheetName val="Sheet1_(2)"/>
      <sheetName val="원가기초정보"/>
      <sheetName val="배부기준"/>
      <sheetName val="분류"/>
      <sheetName val="계실5-1"/>
      <sheetName val="※목록"/>
      <sheetName val="수출가격"/>
      <sheetName val="원가 종합"/>
      <sheetName val="SM672-001(A)"/>
      <sheetName val="계산_DATA_입력"/>
      <sheetName val="상세_계산_내역"/>
      <sheetName val="MACRO1_XLM"/>
      <sheetName val="Sch7a_(토요일)"/>
      <sheetName val="GLOBAL_PT_NEW_FORMAT_OCT_2002"/>
      <sheetName val="대외공문_"/>
      <sheetName val="OPT손익_수출3"/>
      <sheetName val="BACK_DATA3"/>
      <sheetName val="외주현황_wq13"/>
      <sheetName val="2_대외공문3"/>
      <sheetName val="TEMP_TORQUE2"/>
      <sheetName val="진행_DATA_(2)2"/>
      <sheetName val="5_세운W-A3"/>
      <sheetName val="126_2552"/>
      <sheetName val="B053_(990701)공정실적PP%계산2"/>
      <sheetName val="CASE_ASM2"/>
      <sheetName val="14_1부2"/>
      <sheetName val="1_변경범위2"/>
      <sheetName val="3_일반사상2"/>
      <sheetName val="JT3_0견적-구12"/>
      <sheetName val="PRESS_DATA2"/>
      <sheetName val="LX3_0_RR2"/>
      <sheetName val="SUB_2월_재검사추이도2"/>
      <sheetName val="c_db2"/>
      <sheetName val="5_WIRE적용LIST2"/>
      <sheetName val="설비능력및_종합공정능력산출시_사용2"/>
      <sheetName val="소상_&quot;1&quot;2"/>
      <sheetName val="팀별_합계2"/>
      <sheetName val="운임_환차손-Y2"/>
      <sheetName val="매출종합_`09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LAMBDA_자작2"/>
      <sheetName val="X-3_ENG2"/>
      <sheetName val="73711"/>
      <sheetName val="내수1_8GL1"/>
      <sheetName val="Evaluation_objects1"/>
      <sheetName val="외주품_감점_유형_기준"/>
      <sheetName val="PRO_(참조)"/>
      <sheetName val="Master_Cable"/>
      <sheetName val="CAPA분석_360K"/>
      <sheetName val="실적_및_계획"/>
      <sheetName val="공정능력_(2)"/>
      <sheetName val="1_세부비교원가(내수)"/>
      <sheetName val="3__관리점지수실적-1_1생산성"/>
      <sheetName val="Sec_1_-_RFQ"/>
      <sheetName val="02년_SUC"/>
      <sheetName val="Rate_data"/>
      <sheetName val="원단위_전후비교"/>
      <sheetName val="Bosch_ADVP&amp;R"/>
      <sheetName val="_SR3차원단위_(3)"/>
      <sheetName val="공정별공법-W_HSE-LH"/>
      <sheetName val="96연구소인건비"/>
      <sheetName val="Supplier QRQC"/>
      <sheetName val="발주서"/>
      <sheetName val="3)재료비"/>
      <sheetName val="CPk원본"/>
      <sheetName val=" 하반기 경비 조정계획_150627(사계 r2 기준).x"/>
      <sheetName val="비교원RD-S"/>
      <sheetName val="5호기_Query"/>
      <sheetName val="D-개요"/>
      <sheetName val="3사분기"/>
      <sheetName val="ﾀｰﾋﾞﾝﾃﾞｰﾀ"/>
      <sheetName val="STEEL95"/>
      <sheetName val="분기별데이타"/>
      <sheetName val="월별데이타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HSA"/>
      <sheetName val="도표"/>
      <sheetName val="TEL"/>
      <sheetName val="File_Table"/>
      <sheetName val="99예산"/>
      <sheetName val="분석DATA(년도별)"/>
      <sheetName val="09년 현황"/>
      <sheetName val="CNC810M"/>
      <sheetName val="원가절감종합"/>
      <sheetName val="WTC BODY一覧原紙"/>
      <sheetName val="이체비용포함"/>
      <sheetName val="이체비용포함2"/>
      <sheetName val="국고채권3-5"/>
      <sheetName val="가동일보"/>
      <sheetName val="3월말 장기악성(국내)"/>
      <sheetName val="2월말 장기악성(국내)"/>
      <sheetName val="5사남"/>
      <sheetName val="세계수요종합OK"/>
      <sheetName val="6C007(A)"/>
      <sheetName val="91"/>
      <sheetName val="Data Sheet"/>
      <sheetName val="System"/>
      <sheetName val="1차명단"/>
      <sheetName val="_x005f_x0000__x005f_x0000__x005f_x0000__x005f_x0000_ile"/>
      <sheetName val="6.수입검사 "/>
      <sheetName val="03 PFD-1"/>
      <sheetName val="12.Inv."/>
      <sheetName val="주요재료비"/>
      <sheetName val="97년 재료예산(안)"/>
      <sheetName val="추산서총괄"/>
      <sheetName val="1.터빈"/>
      <sheetName val="HEAD"/>
      <sheetName val="Hilfstabellen"/>
      <sheetName val="cost base e dati"/>
      <sheetName val="印刷補助"/>
      <sheetName val="P&amp;L"/>
      <sheetName val="ENG油洩れ"/>
      <sheetName val="설계일정"/>
      <sheetName val="2. Definitions"/>
      <sheetName val="13-1-2"/>
      <sheetName val="품명_자재코드"/>
      <sheetName val="코드 조건표"/>
      <sheetName val="코드_조건표"/>
      <sheetName val="MPL_技連"/>
      <sheetName val="342E_BLOCK"/>
      <sheetName val="상불"/>
      <sheetName val="송전기본"/>
      <sheetName val="협력사_일반현황"/>
      <sheetName val="금형_(2)"/>
      <sheetName val="오음명부"/>
      <sheetName val="테이블"/>
      <sheetName val="총론"/>
      <sheetName val="국영"/>
      <sheetName val="수정시산표"/>
      <sheetName val="TEMP1"/>
      <sheetName val="A1"/>
      <sheetName val="76210원가"/>
      <sheetName val="SYS검토(1A1)"/>
      <sheetName val="HMC 사전원가(원혁기준)13%"/>
      <sheetName val="세부견적"/>
      <sheetName val="期別全体表"/>
      <sheetName val="Sensitivity"/>
      <sheetName val="?????"/>
      <sheetName val="재품별 단가"/>
      <sheetName val="인원수계산"/>
      <sheetName val="이름"/>
      <sheetName val="장비 전체리스트"/>
      <sheetName val="장비리스트"/>
      <sheetName val=" "/>
      <sheetName val="FAB별"/>
      <sheetName val="회사제시"/>
      <sheetName val="komentár"/>
      <sheetName val="집중검사 리스트"/>
      <sheetName val="코드"/>
      <sheetName val="일반급여"/>
      <sheetName val="협력업체"/>
      <sheetName val="TOP_trans"/>
      <sheetName val="C_Pnl원가1"/>
      <sheetName val="물품관리"/>
      <sheetName val="업체관리"/>
      <sheetName val="DB"/>
      <sheetName val="공정별CR"/>
      <sheetName val="production dept"/>
      <sheetName val="판가반영"/>
      <sheetName val="퇴충수정"/>
      <sheetName val="차체부품_INS_REPORT(갑)2"/>
      <sheetName val="Sheet6_(3)1"/>
      <sheetName val="FUEL_FILLER2"/>
      <sheetName val="_납촉자2"/>
      <sheetName val="3-2_귀책부서별_DT현황2"/>
      <sheetName val="1_2내수2"/>
      <sheetName val="Cost_Reduction1"/>
      <sheetName val="2차_OIL량측정"/>
      <sheetName val="ERP도입후_시정현황"/>
      <sheetName val="Purchasing_Data"/>
      <sheetName val="포머_비가동_내역1"/>
      <sheetName val="FRONT_HUB견적가1"/>
      <sheetName val="J150_승인진도관리_LIST"/>
      <sheetName val="TOTAL_LIST"/>
      <sheetName val="Price_Range"/>
      <sheetName val="FTR_MACRo"/>
      <sheetName val="일일_업무_현황_(3)1"/>
      <sheetName val="일일_업무_현황_(5)1"/>
      <sheetName val="GM_Master"/>
      <sheetName val="신고서_전"/>
      <sheetName val="Basic_assumptions"/>
      <sheetName val="0_절삭조건1"/>
      <sheetName val="영업_일1"/>
      <sheetName val="RELAY_FAX양식"/>
      <sheetName val="상세_견적서_(HMC)"/>
      <sheetName val="INVESTMENT_(Hardware)1"/>
      <sheetName val="PFMEA_XLS"/>
      <sheetName val="2008_г"/>
      <sheetName val="2_중요한회계정책"/>
      <sheetName val="9_관계기업투자"/>
      <sheetName val="42_리스"/>
      <sheetName val="25_법인세"/>
      <sheetName val="DBL_LPG시험"/>
      <sheetName val="_PPAP_작성중__xlsx"/>
      <sheetName val="09년_현황"/>
      <sheetName val="THEME_CODE"/>
      <sheetName val="CR_CODE"/>
      <sheetName val="WTC_BODY一覧原紙"/>
      <sheetName val="3월말_장기악성(국내)"/>
      <sheetName val="2월말_장기악성(국내)"/>
      <sheetName val="임율_&amp;_LOT"/>
      <sheetName val="생산계획_(2)"/>
      <sheetName val="협력사_일반현황1"/>
      <sheetName val="1_ER유체응용"/>
      <sheetName val="4_시험장비"/>
      <sheetName val="VS1_Paretto분석1"/>
      <sheetName val="1-1_General_Code"/>
      <sheetName val="생산현황_(입력)"/>
      <sheetName val="MPL_技連1"/>
      <sheetName val="342E_BLOCK1"/>
      <sheetName val="금형_(2)1"/>
      <sheetName val="DATA_BASE"/>
      <sheetName val="업체별_단가현황"/>
      <sheetName val="P&amp;L,Bal_Sheet,Cash_Forecast"/>
      <sheetName val="비교원가제출_고"/>
      <sheetName val="MPS_Q3_FY04"/>
      <sheetName val="MPS_Q4_FY04"/>
      <sheetName val="02_07_27_부품판매가"/>
      <sheetName val="일일_생산및판매계획_대_실적"/>
      <sheetName val="Data_Sheet"/>
      <sheetName val="FLOW_PROSES_(A)"/>
      <sheetName val="VPP(BD-010)_이상보고"/>
      <sheetName val="6_수입검사_"/>
      <sheetName val="1_종합비교원가(내수_일반_유럽)"/>
      <sheetName val="03_PFD-1"/>
      <sheetName val="12_Inv_"/>
      <sheetName val="97년_재료예산(안)"/>
      <sheetName val="1_터빈"/>
      <sheetName val="cost_base_e_dati"/>
      <sheetName val="2__Definitions"/>
      <sheetName val="코드_조건표1"/>
      <sheetName val="HMC_사전원가(원혁기준)13%"/>
      <sheetName val="재품별_단가"/>
      <sheetName val="장비_전체리스트"/>
      <sheetName val="_"/>
      <sheetName val="집중검사_리스트"/>
      <sheetName val="10_예산_및_원가_계획(02년)"/>
      <sheetName val="production_dept"/>
      <sheetName val="6_N_m_CCW_전류"/>
      <sheetName val="업무분장_"/>
      <sheetName val="GLOBAL_PT_NEW_FORMAT_JULY__2002"/>
      <sheetName val="고객불만_건"/>
      <sheetName val="3_PT개발계획"/>
      <sheetName val="_x0000__x0000__x0000__x0000_ile"/>
      <sheetName val="_____"/>
      <sheetName val="승용"/>
      <sheetName val="OEM 이의제기 종합"/>
      <sheetName val="Help"/>
      <sheetName val="제품상품(DL)"/>
      <sheetName val="5월DL"/>
      <sheetName val="Proj List 00E"/>
      <sheetName val="TA10"/>
      <sheetName val="전산DATA"/>
      <sheetName val="2012 Volum"/>
      <sheetName val="BS"/>
      <sheetName val="TB"/>
      <sheetName val="종합현황"/>
      <sheetName val="B053 (990701)공정능력PC%계산"/>
      <sheetName val="P&amp;L account"/>
      <sheetName val="PARAMETRES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ins"/>
      <sheetName val="명칭변경"/>
      <sheetName val="CFLOW"/>
      <sheetName val="SP"/>
      <sheetName val="LIDE"/>
      <sheetName val="조립"/>
      <sheetName val="2쪽"/>
      <sheetName val="신규"/>
      <sheetName val="광주재료"/>
      <sheetName val="본부재고"/>
      <sheetName val="VERTICAL PIPE"/>
      <sheetName val="분석"/>
      <sheetName val="TABLE DB"/>
      <sheetName val="쌍용 data base"/>
      <sheetName val="Sum"/>
      <sheetName val="소요단량"/>
      <sheetName val="2과 공수집계"/>
      <sheetName val="2000"/>
      <sheetName val="Proj_List_00E"/>
      <sheetName val="P&amp;L_account"/>
      <sheetName val="2012_Volum"/>
      <sheetName val="양식(주)"/>
      <sheetName val="PQ분석2"/>
      <sheetName val="PQ분석3"/>
      <sheetName val="PQ분석1"/>
      <sheetName val="투자승인절차"/>
      <sheetName val="광주"/>
      <sheetName val="118.세금과공과"/>
      <sheetName val="합계잔액시산표"/>
      <sheetName val="OP12037"/>
      <sheetName val="공장코드"/>
      <sheetName val="거래선"/>
      <sheetName val="완성차물량"/>
      <sheetName val="Part_no"/>
      <sheetName val="경영재무 (입력)"/>
      <sheetName val="연구개발 (입력)"/>
      <sheetName val="일반현황 (입력)"/>
      <sheetName val="품질관리 (입력)"/>
      <sheetName val="경비세부"/>
      <sheetName val="수불5-2"/>
      <sheetName val="공정외주"/>
      <sheetName val="노임이"/>
      <sheetName val="공장별판관비배부"/>
      <sheetName val="삭제금지"/>
      <sheetName val="출석부"/>
      <sheetName val="체재비"/>
      <sheetName val="FM주간실적"/>
      <sheetName val="ﾃﾞｰﾀ5"/>
      <sheetName val="WELDING"/>
      <sheetName val="가맹점매출"/>
      <sheetName val="품의서(TL)"/>
      <sheetName val="CPK분석"/>
      <sheetName val="发动机三粗2"/>
      <sheetName val="재료1"/>
      <sheetName val="예상효과"/>
      <sheetName val="실행내역서 "/>
      <sheetName val="상각율표"/>
      <sheetName val="개발 LIST"/>
      <sheetName val="등록의뢰"/>
      <sheetName val="F4"/>
      <sheetName val="000000"/>
      <sheetName val="관로공표지"/>
      <sheetName val="TABLE(KR)"/>
      <sheetName val="동성세부내역"/>
      <sheetName val="96수표어음"/>
      <sheetName val="PC%계산(WM.COMM단차)"/>
      <sheetName val="차체 품안표"/>
      <sheetName val="1.1 2008 OTIF"/>
      <sheetName val="BAFFLE HMC TABLE1"/>
      <sheetName val="84531"/>
      <sheetName val="5300"/>
      <sheetName val="기준계정"/>
      <sheetName val="Calculation"/>
      <sheetName val="END"/>
      <sheetName val="1~3월 지시사항"/>
      <sheetName val="인원01"/>
      <sheetName val="1.POSITIONING"/>
      <sheetName val="사양정리"/>
      <sheetName val="lot"/>
      <sheetName val="VXX"/>
      <sheetName val="so-021"/>
      <sheetName val="Financials"/>
      <sheetName val="Yield"/>
      <sheetName val="치공구"/>
      <sheetName val="양식_샘플"/>
      <sheetName val="사업소별9812"/>
      <sheetName val="정비사업장별전망"/>
      <sheetName val="10년11월이월현황"/>
      <sheetName val="부품목표"/>
      <sheetName val="부평"/>
      <sheetName val="분당"/>
      <sheetName val="평촌"/>
      <sheetName val="생산실적"/>
      <sheetName val="급여대장(입력용)"/>
      <sheetName val="설비LIST"/>
      <sheetName val="매출"/>
      <sheetName val="무부하 회전수"/>
      <sheetName val="진행중 설변"/>
      <sheetName val="수입명세서"/>
      <sheetName val="업체리스트"/>
      <sheetName val="A"/>
      <sheetName val="0105"/>
      <sheetName val="0505"/>
      <sheetName val="스풀능력"/>
      <sheetName val="HOLE 9905(1)"/>
      <sheetName val="승인율"/>
      <sheetName val="Dossier_Cdc"/>
      <sheetName val="DFMEA-DRBFM"/>
      <sheetName val="3월"/>
      <sheetName val="95WBS"/>
      <sheetName val="HD1070(T)"/>
      <sheetName val="실행내역서_"/>
      <sheetName val="개발_LIST"/>
      <sheetName val="PC%계산(WM_COMM단차)"/>
      <sheetName val="차체_품안표"/>
      <sheetName val="1_1_2008_OTIF"/>
      <sheetName val="Value_Analysis_-_Sheet_1"/>
      <sheetName val="BAFFLE_HMC_TABLE1"/>
      <sheetName val="1~3월_지시사항"/>
      <sheetName val="1_POSITIONING"/>
      <sheetName val="무부하_회전수"/>
      <sheetName val="진행중_설변"/>
      <sheetName val="HOLE_9905(1)"/>
      <sheetName val="Production_Plan1"/>
      <sheetName val="견적마법사"/>
      <sheetName val="전처리"/>
      <sheetName val="Option"/>
      <sheetName val="Upgrades pricing"/>
      <sheetName val="7.3 DY팀"/>
      <sheetName val="만년달력"/>
      <sheetName val="휴일"/>
      <sheetName val="재발방지대책서"/>
      <sheetName val="2001Org"/>
      <sheetName val="PNL ASS'Y CRASH PAD UPR RH"/>
      <sheetName val="CHINO검량선"/>
      <sheetName val="재고정확2"/>
      <sheetName val="공정능력(마운틴 홀 거리)"/>
      <sheetName val="현금흐름표"/>
      <sheetName val="Summary Sheet"/>
      <sheetName val="Datasheet for KPI Model 1"/>
      <sheetName val="단기차입금(200006)"/>
      <sheetName val="첨부5"/>
      <sheetName val="Moulding data"/>
      <sheetName val="부서별3월"/>
      <sheetName val="5-2"/>
      <sheetName val="항목"/>
      <sheetName val="부동산세금"/>
      <sheetName val="별제권_정리담보권"/>
      <sheetName val="ﾏｽﾀ"/>
      <sheetName val="TEAM하반기 계획 (2)"/>
      <sheetName val="YOKE-H(10.3)"/>
      <sheetName val="영업외"/>
      <sheetName val="▶사출"/>
      <sheetName val="▶R_C FRM"/>
      <sheetName val="LS"/>
      <sheetName val="Tubelists"/>
      <sheetName val="그래프"/>
      <sheetName val="공사원가계산서"/>
      <sheetName val="Questionnaire"/>
      <sheetName val="광주 소요량"/>
      <sheetName val="품목"/>
      <sheetName val="2월"/>
      <sheetName val="계산program"/>
      <sheetName val="impianti"/>
      <sheetName val="일보"/>
      <sheetName val="표준"/>
      <sheetName val="설비사양서B-1"/>
      <sheetName val="5-Why Root Cause Analysis "/>
      <sheetName val="조정내역"/>
      <sheetName val="주간업무(개발구매팀)"/>
      <sheetName val="full (2)"/>
      <sheetName val="BSL"/>
      <sheetName val="KURSER"/>
      <sheetName val="거래처관리"/>
      <sheetName val="여비"/>
      <sheetName val="Cover"/>
      <sheetName val="포트외경(A)"/>
      <sheetName val="ﾊﾟｲﾌﾟ"/>
      <sheetName val="冷延鋼板"/>
      <sheetName val="熱延鋼板"/>
      <sheetName val="他材料費"/>
      <sheetName val="印刷"/>
      <sheetName val="条件表"/>
      <sheetName val="02-2W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cpk data"/>
      <sheetName val="Drop-down Lists"/>
      <sheetName val="incetive"/>
      <sheetName val="Bas Moteur"/>
      <sheetName val="Hab2"/>
      <sheetName val="Hab1"/>
      <sheetName val="주물"/>
      <sheetName val="표"/>
      <sheetName val="25414-B2060"/>
      <sheetName val="basedata"/>
      <sheetName val="4.Vendor price"/>
      <sheetName val="첨부#1(SRC)"/>
      <sheetName val="1.기안을지"/>
      <sheetName val="PROFILE"/>
      <sheetName val="콤비품의-3"/>
      <sheetName val="PS SIDE OTR INR 공정개선 상세"/>
      <sheetName val="실적관리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1ဲ_ALT4"/>
      <sheetName val="1ဳ_O_S4"/>
      <sheetName val="15_၄AMPER4"/>
      <sheetName val="GB-IC_Villingen_GG4"/>
      <sheetName val="BACK_DATA_08_7_1~4"/>
      <sheetName val="E_W4"/>
      <sheetName val="P_W4"/>
      <sheetName val="S_W4"/>
      <sheetName val="二_POSITION_XLS4"/>
      <sheetName val="OPT손익_내수4"/>
      <sheetName val="OPT손익_수출4"/>
      <sheetName val="BACK_DATA4"/>
      <sheetName val="외주현황_wq14"/>
      <sheetName val="2_대외공문4"/>
      <sheetName val="TEMP_TORQUE3"/>
      <sheetName val="진행_DATA_(2)3"/>
      <sheetName val="5_세운W-A4"/>
      <sheetName val="126_2553"/>
      <sheetName val="B053_(990701)공정실적PP%계산3"/>
      <sheetName val="CASE_ASM3"/>
      <sheetName val="14_1부3"/>
      <sheetName val="1_변경범위3"/>
      <sheetName val="3_일반사상3"/>
      <sheetName val="JT3_0견적-구13"/>
      <sheetName val="PRESS_DATA3"/>
      <sheetName val="LX3_0_RR3"/>
      <sheetName val="SUB_2월_재검사추이도3"/>
      <sheetName val="c_db3"/>
      <sheetName val="5_WIRE적용LIST3"/>
      <sheetName val="설비능력및_종합공정능력산출시_사용3"/>
      <sheetName val="소상_&quot;1&quot;3"/>
      <sheetName val="팀별_합계3"/>
      <sheetName val="운임_환차손-Y3"/>
      <sheetName val="매출종합_`093"/>
      <sheetName val="검사기준서_을_치수3"/>
      <sheetName val="검사기준서_갑3"/>
      <sheetName val="검사기준서_을3"/>
      <sheetName val="검사협정_갑3"/>
      <sheetName val="검사성적서_갑3"/>
      <sheetName val="검사성적서_을3"/>
      <sheetName val="검사성적서_병3"/>
      <sheetName val="Nego_PV3"/>
      <sheetName val="LAMBDA_자작3"/>
      <sheetName val="X-3_ENG3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1ဲ_ALT5"/>
      <sheetName val="1ဳ_O_S5"/>
      <sheetName val="15_၄AMPER5"/>
      <sheetName val="GB-IC_Villingen_GG5"/>
      <sheetName val="BACK_DATA_08_7_1~5"/>
      <sheetName val="E_W5"/>
      <sheetName val="P_W5"/>
      <sheetName val="S_W5"/>
      <sheetName val="二_POSITION_XLS5"/>
      <sheetName val="OPT손익_내수5"/>
      <sheetName val="OPT손익_수출5"/>
      <sheetName val="BACK_DATA5"/>
      <sheetName val="외주현황_wq15"/>
      <sheetName val="2_대외공문5"/>
      <sheetName val="TEMP_TORQUE4"/>
      <sheetName val="진행_DATA_(2)4"/>
      <sheetName val="5_세운W-A5"/>
      <sheetName val="126_2554"/>
      <sheetName val="B053_(990701)공정실적PP%계산4"/>
      <sheetName val="CASE_ASM4"/>
      <sheetName val="14_1부4"/>
      <sheetName val="1_변경범위4"/>
      <sheetName val="3_일반사상4"/>
      <sheetName val="JT3_0견적-구14"/>
      <sheetName val="PRESS_DATA4"/>
      <sheetName val="LX3_0_RR4"/>
      <sheetName val="SUB_2월_재검사추이도4"/>
      <sheetName val="c_db4"/>
      <sheetName val="5_WIRE적용LIST4"/>
      <sheetName val="설비능력및_종합공정능력산출시_사용4"/>
      <sheetName val="소상_&quot;1&quot;4"/>
      <sheetName val="팀별_합계4"/>
      <sheetName val="운임_환차손-Y4"/>
      <sheetName val="매출종합_`094"/>
      <sheetName val="검사기준서_을_치수4"/>
      <sheetName val="검사기준서_갑4"/>
      <sheetName val="검사기준서_을4"/>
      <sheetName val="검사협정_갑4"/>
      <sheetName val="검사성적서_갑4"/>
      <sheetName val="검사성적서_을4"/>
      <sheetName val="검사성적서_병4"/>
      <sheetName val="Nego_PV4"/>
      <sheetName val="LAMBDA_자작4"/>
      <sheetName val="X-3_ENG4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1ဲ_ALT6"/>
      <sheetName val="1ဳ_O_S6"/>
      <sheetName val="15_၄AMPER6"/>
      <sheetName val="GB-IC_Villingen_GG6"/>
      <sheetName val="BACK_DATA_08_7_1~6"/>
      <sheetName val="E_W6"/>
      <sheetName val="P_W6"/>
      <sheetName val="S_W6"/>
      <sheetName val="二_POSITION_XLS6"/>
      <sheetName val="OPT손익_내수6"/>
      <sheetName val="OPT손익_수출6"/>
      <sheetName val="BACK_DATA6"/>
      <sheetName val="외주현황_wq16"/>
      <sheetName val="2_대외공문6"/>
      <sheetName val="TEMP_TORQUE5"/>
      <sheetName val="진행_DATA_(2)5"/>
      <sheetName val="5_세운W-A6"/>
      <sheetName val="126_2555"/>
      <sheetName val="B053_(990701)공정실적PP%계산5"/>
      <sheetName val="CASE_ASM5"/>
      <sheetName val="14_1부5"/>
      <sheetName val="1_변경범위5"/>
      <sheetName val="3_일반사상5"/>
      <sheetName val="JT3_0견적-구15"/>
      <sheetName val="PRESS_DATA5"/>
      <sheetName val="LX3_0_RR5"/>
      <sheetName val="SUB_2월_재검사추이도5"/>
      <sheetName val="c_db5"/>
      <sheetName val="5_WIRE적용LIST5"/>
      <sheetName val="설비능력및_종합공정능력산출시_사용5"/>
      <sheetName val="소상_&quot;1&quot;5"/>
      <sheetName val="팀별_합계5"/>
      <sheetName val="운임_환차손-Y5"/>
      <sheetName val="매출종합_`095"/>
      <sheetName val="검사기준서_을_치수5"/>
      <sheetName val="검사기준서_갑5"/>
      <sheetName val="검사기준서_을5"/>
      <sheetName val="검사협정_갑5"/>
      <sheetName val="검사성적서_갑5"/>
      <sheetName val="검사성적서_을5"/>
      <sheetName val="검사성적서_병5"/>
      <sheetName val="Nego_PV5"/>
      <sheetName val="LAMBDA_자작5"/>
      <sheetName val="X-3_ENG5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1ဲ_ALT7"/>
      <sheetName val="1ဳ_O_S7"/>
      <sheetName val="15_၄AMPER7"/>
      <sheetName val="GB-IC_Villingen_GG7"/>
      <sheetName val="BACK_DATA_08_7_1~7"/>
      <sheetName val="E_W7"/>
      <sheetName val="P_W7"/>
      <sheetName val="S_W7"/>
      <sheetName val="二_POSITION_XLS7"/>
      <sheetName val="OPT손익_내수7"/>
      <sheetName val="OPT손익_수출7"/>
      <sheetName val="BACK_DATA7"/>
      <sheetName val="외주현황_wq17"/>
      <sheetName val="2_대외공문7"/>
      <sheetName val="TEMP_TORQUE6"/>
      <sheetName val="진행_DATA_(2)6"/>
      <sheetName val="5_세운W-A7"/>
      <sheetName val="126_2556"/>
      <sheetName val="B053_(990701)공정실적PP%계산6"/>
      <sheetName val="CASE_ASM6"/>
      <sheetName val="14_1부6"/>
      <sheetName val="1_변경범위6"/>
      <sheetName val="3_일반사상6"/>
      <sheetName val="JT3_0견적-구16"/>
      <sheetName val="PRESS_DATA6"/>
      <sheetName val="LX3_0_RR6"/>
      <sheetName val="SUB_2월_재검사추이도6"/>
      <sheetName val="c_db6"/>
      <sheetName val="5_WIRE적용LIST6"/>
      <sheetName val="설비능력및_종합공정능력산출시_사용6"/>
      <sheetName val="소상_&quot;1&quot;6"/>
      <sheetName val="팀별_합계6"/>
      <sheetName val="운임_환차손-Y6"/>
      <sheetName val="매출종합_`096"/>
      <sheetName val="검사기준서_을_치수6"/>
      <sheetName val="검사기준서_갑6"/>
      <sheetName val="검사기준서_을6"/>
      <sheetName val="검사협정_갑6"/>
      <sheetName val="검사성적서_갑6"/>
      <sheetName val="검사성적서_을6"/>
      <sheetName val="검사성적서_병6"/>
      <sheetName val="Nego_PV6"/>
      <sheetName val="LAMBDA_자작6"/>
      <sheetName val="X-3_ENG6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1ဲ_ALT8"/>
      <sheetName val="1ဳ_O_S8"/>
      <sheetName val="15_၄AMPER8"/>
      <sheetName val="GB-IC_Villingen_GG8"/>
      <sheetName val="BACK_DATA_08_7_1~8"/>
      <sheetName val="E_W8"/>
      <sheetName val="P_W8"/>
      <sheetName val="S_W8"/>
      <sheetName val="二_POSITION_XLS8"/>
      <sheetName val="OPT손익_내수8"/>
      <sheetName val="OPT손익_수출8"/>
      <sheetName val="BACK_DATA8"/>
      <sheetName val="외주현황_wq18"/>
      <sheetName val="2_대외공문8"/>
      <sheetName val="TEMP_TORQUE7"/>
      <sheetName val="진행_DATA_(2)7"/>
      <sheetName val="5_세운W-A8"/>
      <sheetName val="126_2557"/>
      <sheetName val="B053_(990701)공정실적PP%계산7"/>
      <sheetName val="CASE_ASM7"/>
      <sheetName val="14_1부7"/>
      <sheetName val="1_변경범위7"/>
      <sheetName val="3_일반사상7"/>
      <sheetName val="JT3_0견적-구17"/>
      <sheetName val="PRESS_DATA7"/>
      <sheetName val="LX3_0_RR7"/>
      <sheetName val="SUB_2월_재검사추이도7"/>
      <sheetName val="c_db7"/>
      <sheetName val="5_WIRE적용LIST7"/>
      <sheetName val="설비능력및_종합공정능력산출시_사용7"/>
      <sheetName val="소상_&quot;1&quot;7"/>
      <sheetName val="팀별_합계7"/>
      <sheetName val="운임_환차손-Y7"/>
      <sheetName val="매출종합_`097"/>
      <sheetName val="검사기준서_을_치수7"/>
      <sheetName val="검사기준서_갑7"/>
      <sheetName val="검사기준서_을7"/>
      <sheetName val="검사협정_갑7"/>
      <sheetName val="검사성적서_갑7"/>
      <sheetName val="검사성적서_을7"/>
      <sheetName val="검사성적서_병7"/>
      <sheetName val="Nego_PV7"/>
      <sheetName val="LAMBDA_자작7"/>
      <sheetName val="X-3_ENG7"/>
      <sheetName val="인도원가"/>
      <sheetName val="RFQ 1804"/>
      <sheetName val="전체"/>
      <sheetName val="보강사 소요량"/>
      <sheetName val="일반경비"/>
      <sheetName val="주재료비"/>
      <sheetName val="신흥테크 세부내역 LIST"/>
      <sheetName val="MAT"/>
      <sheetName val="단가표"/>
      <sheetName val="양식-금형"/>
      <sheetName val="1.2.2완제품검사('00.4월) (가라)"/>
      <sheetName val="cr2000분석"/>
      <sheetName val="표준(재질단가,조형단가)"/>
      <sheetName val="표준(중자)"/>
      <sheetName val="CLMN자료"/>
      <sheetName val="기계(1998~2003년)작업본"/>
      <sheetName val="기계(2004년)작업본"/>
      <sheetName val="입력laser"/>
      <sheetName val="건축내역"/>
      <sheetName val="평가"/>
      <sheetName val="별제권_정리담보권1"/>
      <sheetName val="01_SW"/>
      <sheetName val="일위대가표"/>
      <sheetName val="★금형비 계산서"/>
      <sheetName val="LOWSIDE 비교"/>
      <sheetName val="gvl"/>
      <sheetName val="2안"/>
      <sheetName val="ALPROFILE_발주실적1"/>
      <sheetName val="개발_TOOL_집계표1"/>
      <sheetName val="경상_개발비1"/>
      <sheetName val="외주품_감점_유형_기준1"/>
      <sheetName val="MACRO1_XLM1"/>
      <sheetName val="Sheet1_(2)1"/>
      <sheetName val="계산_DATA_입력1"/>
      <sheetName val="상세_계산_내역1"/>
      <sheetName val="Sch7a_(토요일)1"/>
      <sheetName val="GLOBAL_PT_NEW_FORMAT_OCT_20021"/>
      <sheetName val="대외공문_1"/>
      <sheetName val="ALPROFILE_발주실적2"/>
      <sheetName val="FUEL_FILLER3"/>
      <sheetName val="차체부품_INS_REPORT(갑)3"/>
      <sheetName val="개발_TOOL_집계표2"/>
      <sheetName val="경상_개발비2"/>
      <sheetName val="Evaluation_objects2"/>
      <sheetName val="외주품_감점_유형_기준2"/>
      <sheetName val="내수1_8GL2"/>
      <sheetName val="MACRO1_XLM2"/>
      <sheetName val="Sheet1_(2)2"/>
      <sheetName val="계산_DATA_입력2"/>
      <sheetName val="상세_계산_내역2"/>
      <sheetName val="Sch7a_(토요일)2"/>
      <sheetName val="Sheet6_(3)2"/>
      <sheetName val="_납촉자3"/>
      <sheetName val="3-2_귀책부서별_DT현황3"/>
      <sheetName val="GLOBAL_PT_NEW_FORMAT_OCT_20022"/>
      <sheetName val="대외공문_2"/>
      <sheetName val="IBASE"/>
      <sheetName val="입력DATA"/>
      <sheetName val="TL PROTO 2열"/>
      <sheetName val="공정능력"/>
      <sheetName val="OM600"/>
      <sheetName val="출금계획"/>
      <sheetName val="반기_유가증권"/>
      <sheetName val="8월"/>
      <sheetName val="SALE"/>
      <sheetName val="1.TAT_Info."/>
      <sheetName val="f3"/>
      <sheetName val="SUB(C)"/>
      <sheetName val="진행단계현황"/>
      <sheetName val="Data_Input"/>
      <sheetName val="XXXXXX"/>
      <sheetName val="DATA(PP%)"/>
      <sheetName val="DATA(PC%)"/>
      <sheetName val="Validation Lists"/>
      <sheetName val="02년_SUC1"/>
      <sheetName val="3__관리점지수실적-1_1생산성1"/>
      <sheetName val="Sec_1_-_RFQ1"/>
      <sheetName val="Rate_data1"/>
      <sheetName val="원단위_전후비교1"/>
      <sheetName val="실적_및_계획1"/>
      <sheetName val="공정능력_(2)1"/>
      <sheetName val="Master_Cable1"/>
      <sheetName val="PRO_(참조)1"/>
      <sheetName val="Bosch_ADVP&amp;R1"/>
      <sheetName val="내수1_8GL3"/>
      <sheetName val="Evaluation_objects3"/>
      <sheetName val="02년_SUC2"/>
      <sheetName val="Cost_Reduction2"/>
      <sheetName val="3__관리점지수실적-1_1생산성2"/>
      <sheetName val="Sec_1_-_RFQ2"/>
      <sheetName val="Rate_data2"/>
      <sheetName val="원단위_전후비교2"/>
      <sheetName val="실적_및_계획2"/>
      <sheetName val="공정능력_(2)2"/>
      <sheetName val="Master_Cable2"/>
      <sheetName val="PRO_(참조)2"/>
      <sheetName val="Bosch_ADVP&amp;R2"/>
      <sheetName val="개발_TOOL_집계표3"/>
      <sheetName val="경상_개발비3"/>
      <sheetName val="내수1_8GL4"/>
      <sheetName val="ALPROFILE_발주실적3"/>
      <sheetName val="Sheet1_(2)3"/>
      <sheetName val="차체부품_INS_REPORT(갑)4"/>
      <sheetName val="Sheet6_(3)3"/>
      <sheetName val="계산_DATA_입력3"/>
      <sheetName val="상세_계산_내역3"/>
      <sheetName val="Evaluation_objects4"/>
      <sheetName val="FUEL_FILLER4"/>
      <sheetName val="_납촉자4"/>
      <sheetName val="3-2_귀책부서별_DT현황4"/>
      <sheetName val="1_2내수3"/>
      <sheetName val="GLOBAL_PT_NEW_FORMAT_OCT_20023"/>
      <sheetName val="MACRO1_XLM3"/>
      <sheetName val="02년_SUC3"/>
      <sheetName val="Cost_Reduction3"/>
      <sheetName val="3__관리점지수실적-1_1생산성3"/>
      <sheetName val="Sec_1_-_RFQ3"/>
      <sheetName val="Sch7a_(토요일)3"/>
      <sheetName val="Rate_data3"/>
      <sheetName val="원단위_전후비교3"/>
      <sheetName val="실적_및_계획3"/>
      <sheetName val="공정능력_(2)3"/>
      <sheetName val="Master_Cable3"/>
      <sheetName val="PRO_(참조)3"/>
      <sheetName val="외주품_감점_유형_기준3"/>
      <sheetName val="Bosch_ADVP&amp;R3"/>
      <sheetName val="제품별 매출"/>
      <sheetName val="Data Working Time"/>
      <sheetName val="월간단가"/>
      <sheetName val="원가410"/>
      <sheetName val="경로매출"/>
      <sheetName val="Actual In &amp; Out"/>
      <sheetName val="Details"/>
      <sheetName val="DATA01"/>
      <sheetName val="LINE 운영안"/>
      <sheetName val="전력계획"/>
      <sheetName val="전체썘㐅"/>
      <sheetName val="외화수지"/>
      <sheetName val="체계옵션"/>
      <sheetName val="업무기준"/>
      <sheetName val="CC"/>
      <sheetName val="Liste"/>
      <sheetName val="비목계산"/>
      <sheetName val="96상입"/>
      <sheetName val="시작품의"/>
      <sheetName val="14년 증판안 판촉"/>
      <sheetName val="14,15,16"/>
      <sheetName val="생산1-2"/>
      <sheetName val="項目定義"/>
      <sheetName val="기초 DATA"/>
      <sheetName val="規模表紙"/>
      <sheetName val="FO-BO-ER"/>
      <sheetName val="연봉산정기초자료"/>
      <sheetName val="견적서"/>
      <sheetName val="#1-1 (2)"/>
      <sheetName val="표지 (2)"/>
      <sheetName val="比모듈조립비"/>
      <sheetName val="Tabelle3"/>
      <sheetName val="MM利益・原価企画方針書ｶｸ１"/>
      <sheetName val="Europe PU-1"/>
      <sheetName val="DATA(이천)"/>
      <sheetName val="Q13"/>
      <sheetName val="검토서"/>
      <sheetName val="Q11(자체)"/>
      <sheetName val="Q11"/>
      <sheetName val="Q23"/>
      <sheetName val="Q12"/>
      <sheetName val="Z41,Z42 이외total"/>
      <sheetName val="이력"/>
      <sheetName val="2-2.매출분석"/>
      <sheetName val="RES"/>
      <sheetName val="경쟁실분"/>
      <sheetName val="제품판매_수량"/>
      <sheetName val="."/>
      <sheetName val="Product"/>
      <sheetName val="Order status"/>
      <sheetName val="Order status2"/>
      <sheetName val="Customer Master"/>
      <sheetName val="Common code"/>
      <sheetName val="Order Status Master"/>
      <sheetName val="Product Master"/>
      <sheetName val="MIRADRUG"/>
      <sheetName val="c_db11"/>
      <sheetName val="제품명_(3)"/>
      <sheetName val="OEM_Plan"/>
      <sheetName val="원가_종합"/>
      <sheetName val="4_3_첨부1"/>
      <sheetName val="자동차_종합지표"/>
      <sheetName val="After_sales"/>
      <sheetName val="220 (2)"/>
      <sheetName val="도"/>
      <sheetName val="BEND LOSS"/>
      <sheetName val="強度 CN A1 C10H 152H"/>
      <sheetName val="DONGIA"/>
      <sheetName val="Sales_1"/>
      <sheetName val="Flags"/>
      <sheetName val="Assumptions"/>
      <sheetName val="고정자산원본"/>
      <sheetName val="Prices"/>
      <sheetName val="OPT#1"/>
      <sheetName val="Schedule 1"/>
      <sheetName val="CAR Form Summary"/>
      <sheetName val="설비이력카드"/>
      <sheetName val="종합장"/>
      <sheetName val="1-6"/>
      <sheetName val="효과금액비교"/>
      <sheetName val="원단위"/>
      <sheetName val="기초 데이터"/>
      <sheetName val="Net Revenue"/>
      <sheetName val="集計ﾘｽﾄ"/>
      <sheetName val="중요차종 (090131)"/>
      <sheetName val="ﾕｰｻﾞｰ設定"/>
      <sheetName val="MS"/>
      <sheetName val="Menu"/>
      <sheetName val="PU FOAM 가격조정 기준"/>
      <sheetName val="Allocations"/>
      <sheetName val="92上期財務実績"/>
      <sheetName val="DepPlan"/>
      <sheetName val="Consignes"/>
      <sheetName val="BDachats"/>
      <sheetName val="旧玉"/>
      <sheetName val="UC_UM"/>
      <sheetName val="Φ43(COMM단차)"/>
      <sheetName val="P.O (LOCAL)"/>
      <sheetName val="U268 4x4 AT(walk)Mitsu"/>
      <sheetName val="EQ_BE146"/>
      <sheetName val="II. CF"/>
      <sheetName val="I. Assumptions"/>
      <sheetName val="test1"/>
      <sheetName val="repeatative rejection"/>
      <sheetName val="부품계산"/>
      <sheetName val="와이어"/>
      <sheetName val="사업경"/>
      <sheetName val="Personnaliser..."/>
      <sheetName val="Takt Time"/>
      <sheetName val="실행"/>
      <sheetName val="PRDW30_XL"/>
      <sheetName val="2000 (원본)"/>
      <sheetName val="Danh Mục"/>
      <sheetName val="Danh Muc"/>
      <sheetName val="Danh_Mục"/>
      <sheetName val="Danh_Muc"/>
      <sheetName val="Danh sach Hàn thùng"/>
      <sheetName val="64512(갑)"/>
      <sheetName val="ꢀᴳ케伆"/>
      <sheetName val="DV_Flow_Chart_DV-PV1_(PFC)"/>
      <sheetName val="단가2"/>
      <sheetName val="임율"/>
      <sheetName val="13년임율"/>
      <sheetName val="Burnish"/>
      <sheetName val="사정표"/>
      <sheetName val="구list"/>
      <sheetName val="기타"/>
      <sheetName val="재질표"/>
      <sheetName val="내년"/>
      <sheetName val="매출이익(실적)"/>
      <sheetName val="신1"/>
      <sheetName val="Data Input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1ဲ_ALT9"/>
      <sheetName val="1ဳ_O_S9"/>
      <sheetName val="15_၄AMPER9"/>
      <sheetName val="GB-IC_Villingen_GG9"/>
      <sheetName val="二_POSITION_XLS9"/>
      <sheetName val="OPT손익_내수9"/>
      <sheetName val="OPT손익_수출9"/>
      <sheetName val="BACK_DATA_08_7_1~9"/>
      <sheetName val="E_W9"/>
      <sheetName val="P_W9"/>
      <sheetName val="S_W9"/>
      <sheetName val="BACK_DATA9"/>
      <sheetName val="외주현황_wq19"/>
      <sheetName val="B053_(990701)공정실적PP%계산8"/>
      <sheetName val="TEMP_TORQUE8"/>
      <sheetName val="진행_DATA_(2)8"/>
      <sheetName val="2_대외공문9"/>
      <sheetName val="SUB_2월_재검사추이도8"/>
      <sheetName val="CASE_ASM8"/>
      <sheetName val="14_1부8"/>
      <sheetName val="1_변경범위8"/>
      <sheetName val="5_세운W-A9"/>
      <sheetName val="126_2558"/>
      <sheetName val="3_일반사상8"/>
      <sheetName val="LX3_0_RR8"/>
      <sheetName val="설비능력및_종합공정능력산출시_사용8"/>
      <sheetName val="JT3_0견적-구18"/>
      <sheetName val="매출종합_`098"/>
      <sheetName val="소상_&quot;1&quot;8"/>
      <sheetName val="운임_환차손-Y8"/>
      <sheetName val="5_WIRE적용LIST8"/>
      <sheetName val="팀별_합계8"/>
      <sheetName val="LAMBDA_자작8"/>
      <sheetName val="ALPROFILE_발주실적4"/>
      <sheetName val="c_db8"/>
      <sheetName val="검사기준서_을_치수8"/>
      <sheetName val="검사기준서_갑8"/>
      <sheetName val="검사기준서_을8"/>
      <sheetName val="검사협정_갑8"/>
      <sheetName val="검사성적서_갑8"/>
      <sheetName val="검사성적서_을8"/>
      <sheetName val="검사성적서_병8"/>
      <sheetName val="Nego_PV8"/>
      <sheetName val="Evaluation_objects5"/>
      <sheetName val="내수1_8GL5"/>
      <sheetName val="PRESS_DATA8"/>
      <sheetName val="개발_TOOL_집계표4"/>
      <sheetName val="경상_개발비4"/>
      <sheetName val="MACRO1_XLM4"/>
      <sheetName val="X-3_ENG8"/>
      <sheetName val="Sheet1_(2)4"/>
      <sheetName val="계산_DATA_입력4"/>
      <sheetName val="상세_계산_내역4"/>
      <sheetName val="차체부품_INS_REPORT(갑)5"/>
      <sheetName val="Sheet6_(3)4"/>
      <sheetName val="GLOBAL_PT_NEW_FORMAT_OCT_20024"/>
      <sheetName val="FUEL_FILLER5"/>
      <sheetName val="_납촉자5"/>
      <sheetName val="3-2_귀책부서별_DT현황5"/>
      <sheetName val="1_2내수4"/>
      <sheetName val="Master_Cable4"/>
      <sheetName val="CAPA분석_360K1"/>
      <sheetName val="Sch7a_(토요일)4"/>
      <sheetName val="3__관리점지수실적-1_1생산성4"/>
      <sheetName val="실적_및_계획4"/>
      <sheetName val="공정능력_(2)4"/>
      <sheetName val="PRO_(참조)4"/>
      <sheetName val="ERP도입후_시정현황1"/>
      <sheetName val="02년_SUC4"/>
      <sheetName val="Rate_data4"/>
      <sheetName val="6_N_m_CCW_전류1"/>
      <sheetName val="원단위_전후비교4"/>
      <sheetName val="Bosch_ADVP&amp;R4"/>
      <sheetName val="Cost_Reduction4"/>
      <sheetName val="외주품_감점_유형_기준4"/>
      <sheetName val="FLOW_PROSES_(A)1"/>
      <sheetName val="_SR3차원단위_(3)1"/>
      <sheetName val="일일_업무_현황_(3)2"/>
      <sheetName val="일일_업무_현황_(5)2"/>
      <sheetName val="금형_(2)2"/>
      <sheetName val="1-1_General_Code1"/>
      <sheetName val="포머_비가동_내역2"/>
      <sheetName val="0_절삭조건2"/>
      <sheetName val="Interco_&amp;_PVS_Loc_Cur"/>
      <sheetName val="VPP(BD-010)_이상보고1"/>
      <sheetName val="Sec_1_-_RFQ4"/>
      <sheetName val="DBL_LPG시험1"/>
      <sheetName val="INVESTMENT_(Hardware)2"/>
      <sheetName val="MPS_Q3_FY041"/>
      <sheetName val="MPS_Q4_FY041"/>
      <sheetName val="S50_"/>
      <sheetName val="FRONT_HUB견적가2"/>
      <sheetName val="J150_승인진도관리_LIST1"/>
      <sheetName val="TOTAL_LIST1"/>
      <sheetName val="Price_Range1"/>
      <sheetName val="FTR_MACRo1"/>
      <sheetName val="MPL_技連2"/>
      <sheetName val="342E_BLOCK2"/>
      <sheetName val="VS1_Paretto분석2"/>
      <sheetName val="DATA_BASE1"/>
      <sheetName val="02_07_27_부품판매가1"/>
      <sheetName val="협력사_일반현황2"/>
      <sheetName val="3_3검토국"/>
      <sheetName val="Purchasing_Data1"/>
      <sheetName val="1_ER유체응용1"/>
      <sheetName val="4_시험장비1"/>
      <sheetName val="1_세부비교원가(내수)1"/>
      <sheetName val="공정별공법-W_HSE-LH1"/>
      <sheetName val="2차_OIL량측정1"/>
      <sheetName val="사무용품_신청"/>
      <sheetName val="업무분장_1"/>
      <sheetName val="97계획(96_11"/>
      <sheetName val="★금형비_계산서"/>
      <sheetName val="GM_Master1"/>
      <sheetName val="GLOBAL_PT_NEW_FORMAT_JULY__2001"/>
      <sheetName val="신고서_전1"/>
      <sheetName val="Basic_assumptions1"/>
      <sheetName val="영업_일11"/>
      <sheetName val="PFMEA_XLS1"/>
      <sheetName val="2008_г1"/>
      <sheetName val="RELAY_FAX양식1"/>
      <sheetName val="상세_견적서_(HMC)1"/>
      <sheetName val="고객불만_건1"/>
      <sheetName val="J2(P_MT)"/>
      <sheetName val="생산현황_(입력)1"/>
      <sheetName val="업체별_단가현황1"/>
      <sheetName val="일일_생산및판매계획_대_실적1"/>
      <sheetName val="임율_&amp;_LOT1"/>
      <sheetName val="생산계획_(2)1"/>
      <sheetName val="CR_CODE1"/>
      <sheetName val="THEME_CODE1"/>
      <sheetName val="P&amp;L,Bal_Sheet,Cash_Forecast1"/>
      <sheetName val="비교원가제출_고1"/>
      <sheetName val="1_종합비교원가(내수_일반_유럽)1"/>
      <sheetName val="10_예산_및_원가_계획(02년)1"/>
      <sheetName val="3_PT개발계획1"/>
      <sheetName val="2_중요한회계정책1"/>
      <sheetName val="9_관계기업투자1"/>
      <sheetName val="42_리스1"/>
      <sheetName val="25_법인세1"/>
      <sheetName val="_PPAP_작성중__xlsx1"/>
      <sheetName val="09년_현황1"/>
      <sheetName val="WTC_BODY一覧原紙1"/>
      <sheetName val="3월말_장기악성(국내)1"/>
      <sheetName val="2월말_장기악성(국내)1"/>
      <sheetName val="Data_Sheet1"/>
      <sheetName val="6_수입검사_1"/>
      <sheetName val="03_PFD-11"/>
      <sheetName val="12_Inv_1"/>
      <sheetName val="97년_재료예산(안)1"/>
      <sheetName val="1_터빈1"/>
      <sheetName val="cost_base_e_dati1"/>
      <sheetName val="2__Definitions1"/>
      <sheetName val="코드_조건표2"/>
      <sheetName val="HMC_사전원가(원혁기준)13%1"/>
      <sheetName val="재품별_단가1"/>
      <sheetName val="장비_전체리스트1"/>
      <sheetName val="_1"/>
      <sheetName val="집중검사_리스트1"/>
      <sheetName val="production_dept1"/>
      <sheetName val="검사협정_보충"/>
      <sheetName val="LOWSIDE_비교"/>
      <sheetName val="첨부4_기술평가서"/>
      <sheetName val="Actual_In_&amp;_Out"/>
      <sheetName val="Value_Analysis_-_Sheet_11"/>
      <sheetName val="OEM_이의제기_종합"/>
      <sheetName val="Proj_List_00E1"/>
      <sheetName val="2012_Volum1"/>
      <sheetName val="B053_(990701)공정능력PC%계산"/>
      <sheetName val="P&amp;L_account1"/>
      <sheetName val="국내_"/>
      <sheetName val="4,5공장_"/>
      <sheetName val="시트_"/>
      <sheetName val="VERTICAL_PIPE"/>
      <sheetName val="TABLE_DB"/>
      <sheetName val="쌍용_data_base"/>
      <sheetName val="2과_공수집계"/>
      <sheetName val="118_세금과공과"/>
      <sheetName val="Production_Plan11"/>
      <sheetName val="경영재무_(입력)"/>
      <sheetName val="연구개발_(입력)"/>
      <sheetName val="일반현황_(입력)"/>
      <sheetName val="품질관리_(입력)"/>
      <sheetName val="실행내역서_1"/>
      <sheetName val="개발_LIST1"/>
      <sheetName val="PC%계산(WM_COMM단차)1"/>
      <sheetName val="차체_품안표1"/>
      <sheetName val="1_1_2008_OTIF1"/>
      <sheetName val="BAFFLE_HMC_TABLE11"/>
      <sheetName val="1~3월_지시사항1"/>
      <sheetName val="1_POSITIONING1"/>
      <sheetName val="무부하_회전수1"/>
      <sheetName val="진행중_설변1"/>
      <sheetName val="HOLE_9905(1)1"/>
      <sheetName val="Upgrades_pricing"/>
      <sheetName val="7_3_DY팀"/>
      <sheetName val="PNL_ASS'Y_CRASH_PAD_UPR_RH"/>
      <sheetName val="공정능력(마운틴_홀_거리)"/>
      <sheetName val="Summary_Sheet"/>
      <sheetName val="Datasheet_for_KPI_Model_1"/>
      <sheetName val="Moulding_data"/>
      <sheetName val="TEAM하반기_계획_(2)"/>
      <sheetName val="YOKE-H(10_3)"/>
      <sheetName val="▶R_C_FRM"/>
      <sheetName val="광주_소요량"/>
      <sheetName val="5-Why_Root_Cause_Analysis_"/>
      <sheetName val="full_(2)"/>
      <sheetName val="초_성"/>
      <sheetName val="CHECK_성"/>
      <sheetName val="cpk_data"/>
      <sheetName val="Drop-down_Lists"/>
      <sheetName val="Bas_Moteur"/>
      <sheetName val="4_Vendor_price"/>
      <sheetName val="Supplier_QRQC"/>
      <sheetName val="14년_증판안_판촉"/>
      <sheetName val="1_기안을지"/>
      <sheetName val="2-2_매출분석"/>
      <sheetName val="PS_SIDE_OTR_INR_공정개선_상세"/>
      <sheetName val="1_2_2완제품검사('00_4월)_(가라)"/>
      <sheetName val="TL_PROTO_2열"/>
      <sheetName val="LINE_운영안"/>
      <sheetName val="_2"/>
      <sheetName val="RFQ_1804"/>
      <sheetName val="보강사_소요량"/>
      <sheetName val="Order_status"/>
      <sheetName val="Order_status2"/>
      <sheetName val="Customer_Master"/>
      <sheetName val="Common_code"/>
      <sheetName val="Order_Status_Master"/>
      <sheetName val="Product_Master"/>
      <sheetName val="(2)월생산현황_"/>
      <sheetName val="LINE_PPM-분석"/>
      <sheetName val="Issues_List"/>
      <sheetName val="1_TAT_Info_"/>
      <sheetName val="PACKING_LIST"/>
      <sheetName val="COOLING_UNIT"/>
      <sheetName val="#1-1_(2)"/>
      <sheetName val="기초_DATA"/>
      <sheetName val="신흥테크_세부내역_LIST"/>
      <sheetName val="PROJ"/>
      <sheetName val="현황"/>
      <sheetName val="주소록"/>
      <sheetName val="54813M2001"/>
      <sheetName val="04.03월소일정계획"/>
      <sheetName val="vol_0312"/>
      <sheetName val="수불카드"/>
      <sheetName val="20060624 공조제어"/>
      <sheetName val="회의록"/>
      <sheetName val="풍량상한치 제한 data"/>
      <sheetName val="채산"/>
      <sheetName val="Source List"/>
      <sheetName val="20060624_공조제어"/>
      <sheetName val="풍량상한치_제한_data"/>
      <sheetName val="Source_List"/>
      <sheetName val="AP"/>
      <sheetName val="AR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전체공수"/>
      <sheetName val="외주가공"/>
      <sheetName val="한계원가"/>
      <sheetName val="hvac(제어동)"/>
      <sheetName val="공정공수.XLS"/>
      <sheetName val="개요"/>
      <sheetName val="Carryover"/>
      <sheetName val="재료비DATA"/>
      <sheetName val="UPPER 도면"/>
      <sheetName val="Diaph1 values"/>
      <sheetName val="Diaph2 values"/>
      <sheetName val="Diaph values"/>
      <sheetName val="Cushion datas"/>
      <sheetName val="TABLE(중국)"/>
      <sheetName val="TABLE(TK)"/>
      <sheetName val="J1"/>
      <sheetName val="2100"/>
      <sheetName val="FRN 02000"/>
      <sheetName val="TWIST"/>
      <sheetName val="TPR"/>
      <sheetName val="AVSSX"/>
      <sheetName val="7) 13367734"/>
      <sheetName val="사양비교"/>
      <sheetName val="UPPER원가"/>
      <sheetName val="99년12월 실적DATA"/>
      <sheetName val="FRT(중량)"/>
      <sheetName val="Variables"/>
      <sheetName val="팀코드"/>
      <sheetName val="관리데이터목록"/>
      <sheetName val="완제품구성표"/>
      <sheetName val="프레스품"/>
      <sheetName val="대우"/>
      <sheetName val="삼성(중)"/>
      <sheetName val="삼성(자)"/>
      <sheetName val="제품별_매출"/>
      <sheetName val="Data_Working_Time"/>
      <sheetName val="개발_TOOL_집계표5"/>
      <sheetName val="경상_개발비5"/>
      <sheetName val="내수1_8GL6"/>
      <sheetName val="ALPROFILE_발주실적5"/>
      <sheetName val="Sheet1_(2)5"/>
      <sheetName val="차체부품_INS_REPORT(갑)6"/>
      <sheetName val="Sheet6_(3)5"/>
      <sheetName val="계산_DATA_입력5"/>
      <sheetName val="상세_계산_내역5"/>
      <sheetName val="Evaluation_objects6"/>
      <sheetName val="FUEL_FILLER6"/>
      <sheetName val="_납촉자6"/>
      <sheetName val="3-2_귀책부서별_DT현황6"/>
      <sheetName val="1_2내수5"/>
      <sheetName val="GLOBAL_PT_NEW_FORMAT_OCT_20025"/>
      <sheetName val="MACRO1_XLM5"/>
      <sheetName val="02년_SUC5"/>
      <sheetName val="Cost_Reduction5"/>
      <sheetName val="3__관리점지수실적-1_1생산성5"/>
      <sheetName val="Sec_1_-_RFQ5"/>
      <sheetName val="Sch7a_(토요일)5"/>
      <sheetName val="Rate_data5"/>
      <sheetName val="원단위_전후비교5"/>
      <sheetName val="실적_및_계획5"/>
      <sheetName val="공정능력_(2)5"/>
      <sheetName val="Master_Cable5"/>
      <sheetName val="PRO_(참조)5"/>
      <sheetName val="외주품_감점_유형_기준5"/>
      <sheetName val="Bosch_ADVP&amp;R5"/>
      <sheetName val="CAPA분석_360K2"/>
      <sheetName val="FLOW_PROSES_(A)2"/>
      <sheetName val="개발_TOOL_집계표6"/>
      <sheetName val="경상_개발비6"/>
      <sheetName val="내수1_8GL7"/>
      <sheetName val="ALPROFILE_발주실적6"/>
      <sheetName val="Sheet1_(2)6"/>
      <sheetName val="차체부품_INS_REPORT(갑)7"/>
      <sheetName val="Sheet6_(3)6"/>
      <sheetName val="계산_DATA_입력6"/>
      <sheetName val="상세_계산_내역6"/>
      <sheetName val="Evaluation_objects7"/>
      <sheetName val="FUEL_FILLER7"/>
      <sheetName val="_납촉자7"/>
      <sheetName val="3-2_귀책부서별_DT현황7"/>
      <sheetName val="1_2내수6"/>
      <sheetName val="GLOBAL_PT_NEW_FORMAT_OCT_20026"/>
      <sheetName val="MACRO1_XLM6"/>
      <sheetName val="Cost_Reduction6"/>
      <sheetName val="3__관리점지수실적-1_1생산성6"/>
      <sheetName val="Sec_1_-_RFQ6"/>
      <sheetName val="02년_SUC6"/>
      <sheetName val="Sch7a_(토요일)6"/>
      <sheetName val="Rate_data6"/>
      <sheetName val="원단위_전후비교6"/>
      <sheetName val="실적_및_계획6"/>
      <sheetName val="공정능력_(2)6"/>
      <sheetName val="Master_Cable6"/>
      <sheetName val="PRO_(참조)6"/>
      <sheetName val="외주품_감점_유형_기준6"/>
      <sheetName val="Bosch_ADVP&amp;R6"/>
      <sheetName val="CAPA분석_360K3"/>
      <sheetName val="FLOW_PROSES_(A)3"/>
      <sheetName val="시스템문서관리"/>
      <sheetName val="TEMP_TORQUE9"/>
      <sheetName val="진행_DATA_(2)9"/>
      <sheetName val="B053_(990701)공정실적PP%계산9"/>
      <sheetName val="1_변경범위9"/>
      <sheetName val="개발_TOOL_집계표7"/>
      <sheetName val="경상_개발비7"/>
      <sheetName val="내수1_8GL8"/>
      <sheetName val="운임_환차손-Y9"/>
      <sheetName val="ALPROFILE_발주실적7"/>
      <sheetName val="Sheet1_(2)7"/>
      <sheetName val="차체부품_INS_REPORT(갑)8"/>
      <sheetName val="Sheet6_(3)7"/>
      <sheetName val="계산_DATA_입력7"/>
      <sheetName val="상세_계산_내역7"/>
      <sheetName val="Evaluation_objects8"/>
      <sheetName val="FUEL_FILLER8"/>
      <sheetName val="_납촉자8"/>
      <sheetName val="3-2_귀책부서별_DT현황8"/>
      <sheetName val="1_2내수7"/>
      <sheetName val="GLOBAL_PT_NEW_FORMAT_OCT_20027"/>
      <sheetName val="MACRO1_XLM7"/>
      <sheetName val="02년_SUC7"/>
      <sheetName val="Cost_Reduction7"/>
      <sheetName val="3__관리점지수실적-1_1생산성7"/>
      <sheetName val="Sec_1_-_RFQ7"/>
      <sheetName val="Sch7a_(토요일)7"/>
      <sheetName val="Rate_data7"/>
      <sheetName val="원단위_전후비교7"/>
      <sheetName val="실적_및_계획7"/>
      <sheetName val="공정능력_(2)7"/>
      <sheetName val="Master_Cable7"/>
      <sheetName val="PRO_(참조)7"/>
      <sheetName val="외주품_감점_유형_기준7"/>
      <sheetName val="Bosch_ADVP&amp;R7"/>
      <sheetName val="CAPA분석_360K4"/>
      <sheetName val="FLOW_PROSES_(A)4"/>
      <sheetName val="제품별_매출1"/>
      <sheetName val="RFQ_18041"/>
      <sheetName val="Data_Working_Time1"/>
      <sheetName val="Z41,Z42_이외total"/>
      <sheetName val="plan"/>
      <sheetName val="과8"/>
      <sheetName val="Rollforward {bpe}"/>
      <sheetName val="Allow - SR&amp;D"/>
      <sheetName val="H400"/>
      <sheetName val="BOX ASSY"/>
      <sheetName val="Y-WORK"/>
      <sheetName val="2-4-1"/>
      <sheetName val="설계내역서"/>
      <sheetName val="LIBRARY"/>
      <sheetName val="6.Parent S_ Fixed Prod"/>
      <sheetName val="INDUSTRIAL(I)"/>
      <sheetName val="INDUSTRIAL(II)"/>
      <sheetName val="SUST DEV &amp; OTHER"/>
      <sheetName val="C10怰䈽셋"/>
      <sheetName val="Börskurser"/>
      <sheetName val="원단위 1계 2계"/>
      <sheetName val="11403-06163 เก่า"/>
      <sheetName val="FM-HD (New)"/>
      <sheetName val="FM-HD (HKMC) "/>
      <sheetName val="FM-HD (11254-06201)  "/>
      <sheetName val="FM-HD (11251-06163)"/>
      <sheetName val="FM-HD (11514053)"/>
      <sheetName val="FM-HD (11611807)"/>
      <sheetName val="FM-HD (94502003)"/>
      <sheetName val="FM-HD (94501839)"/>
      <sheetName val="FM-HD (PT-GDENG0911-4)"/>
      <sheetName val="FM-HD (94520439)"/>
      <sheetName val="FM-HD (94500396)"/>
      <sheetName val="FM-HD (94500407)"/>
      <sheetName val="FM-HD (94500414)"/>
      <sheetName val="FM-HD (94500073)"/>
      <sheetName val="FM-HD (11588683)"/>
      <sheetName val="FM-HD (94500952)"/>
      <sheetName val="FM-HD (11569995)"/>
      <sheetName val="FM-HD (11254-06201)"/>
      <sheetName val="FM-HD (11588685)"/>
      <sheetName val="FM-HD (94500793) "/>
      <sheetName val="FM-HD (11588717)"/>
      <sheetName val="FM-HD (HD-25198904)"/>
      <sheetName val="FM-HD (HD-11570514) "/>
      <sheetName val="FM-HD (11097441)"/>
      <sheetName val="FM-HD (11588662) "/>
      <sheetName val="FM-HD (11519387)"/>
      <sheetName val="FM-HD (11561969)"/>
      <sheetName val="FM-HD (11516580)"/>
      <sheetName val="FM-HD (11588712)   "/>
      <sheetName val="FM-HD (11519375)"/>
      <sheetName val="FM-HD (FAA32071001)  "/>
      <sheetName val="FM-HD (11519382) "/>
      <sheetName val="FM-HD (11519383) "/>
      <sheetName val="FM-HD (11561763)  "/>
      <sheetName val="FM-HD (11588316)  "/>
      <sheetName val="CONN.조립"/>
      <sheetName val="재료비내역"/>
      <sheetName val="R1"/>
      <sheetName val="R6"/>
      <sheetName val="R3"/>
      <sheetName val="R0"/>
      <sheetName val="R5"/>
      <sheetName val="RI5"/>
      <sheetName val="c_db12"/>
      <sheetName val="4_3_첨부11"/>
      <sheetName val="OEM_Plan1"/>
      <sheetName val="제품명_(3)1"/>
      <sheetName val="원가_종합1"/>
      <sheetName val="After_sales1"/>
      <sheetName val="자동차_종합지표1"/>
      <sheetName val="DV_Flow_Chart_DV-PV1_(PFC)1"/>
      <sheetName val="MATEMST_(2)"/>
      <sheetName val="Validation_Lists"/>
      <sheetName val="1_TM10"/>
      <sheetName val="2_align10"/>
      <sheetName val="3_JUDDER10"/>
      <sheetName val="4_M_S10"/>
      <sheetName val="5_P_W_R10"/>
      <sheetName val="6_F_G10"/>
      <sheetName val="7__SCABLE10"/>
      <sheetName val="8_DIFF10"/>
      <sheetName val="9_A_C10"/>
      <sheetName val="10_GEAR10"/>
      <sheetName val="11_ISC10"/>
      <sheetName val="12_ALT10"/>
      <sheetName val="13_O_S10"/>
      <sheetName val="14_silencer10"/>
      <sheetName val="15_DAMPER10"/>
      <sheetName val="16_HUB10"/>
      <sheetName val="17_DLOCK10"/>
      <sheetName val="18_PSP10"/>
      <sheetName val="19_누수10"/>
      <sheetName val="20_K_S10"/>
      <sheetName val="二_POSITION_XLS10"/>
      <sheetName val="1ဲ_ALT10"/>
      <sheetName val="1ဳ_O_S10"/>
      <sheetName val="15_၄AMPER10"/>
      <sheetName val="GB-IC_Villingen_GG10"/>
      <sheetName val="OPT손익_내수10"/>
      <sheetName val="OPT손익_수출10"/>
      <sheetName val="JT3_0견적-구19"/>
      <sheetName val="BACK_DATA_08_7_1~10"/>
      <sheetName val="E_W10"/>
      <sheetName val="P_W10"/>
      <sheetName val="S_W10"/>
      <sheetName val="BACK_DATA10"/>
      <sheetName val="CASE_ASM9"/>
      <sheetName val="외주현황_wq110"/>
      <sheetName val="5_세운W-A10"/>
      <sheetName val="14_1부9"/>
      <sheetName val="B053_(990701)공정실적PP%계산10"/>
      <sheetName val="2_대외공문10"/>
      <sheetName val="1_변경범위10"/>
      <sheetName val="TEMP_TORQUE10"/>
      <sheetName val="3_일반사상9"/>
      <sheetName val="Evaluation_objects9"/>
      <sheetName val="LAMBDA_자작9"/>
      <sheetName val="설비능력및_종합공정능력산출시_사용9"/>
      <sheetName val="LX3_0_RR9"/>
      <sheetName val="진행_DATA_(2)10"/>
      <sheetName val="126_2559"/>
      <sheetName val="SUB_2월_재검사추이도9"/>
      <sheetName val="c_db9"/>
      <sheetName val="5_WIRE적용LIST9"/>
      <sheetName val="Nego_PV9"/>
      <sheetName val="매출종합_`099"/>
      <sheetName val="소상_&quot;1&quot;9"/>
      <sheetName val="검사기준서_을_치수9"/>
      <sheetName val="검사기준서_갑9"/>
      <sheetName val="검사기준서_을9"/>
      <sheetName val="검사협정_갑9"/>
      <sheetName val="검사성적서_갑9"/>
      <sheetName val="검사성적서_을9"/>
      <sheetName val="검사성적서_병9"/>
      <sheetName val="팀별_합계9"/>
      <sheetName val="운임_환차손-Y10"/>
      <sheetName val="02년_SUC8"/>
      <sheetName val="내수1_8GL9"/>
      <sheetName val="ALPROFILE_발주실적8"/>
      <sheetName val="MACRO1_XLM8"/>
      <sheetName val="개발_TOOL_집계표8"/>
      <sheetName val="경상_개발비8"/>
      <sheetName val="원단위_전후비교8"/>
      <sheetName val="Sheet1_(2)8"/>
      <sheetName val="차체부품_INS_REPORT(갑)9"/>
      <sheetName val="Sheet6_(3)8"/>
      <sheetName val="외주품_감점_유형_기준8"/>
      <sheetName val="FUEL_FILLER9"/>
      <sheetName val="_납촉자9"/>
      <sheetName val="3-2_귀책부서별_DT현황9"/>
      <sheetName val="1_2내수8"/>
      <sheetName val="3__관리점지수실적-1_1생산성8"/>
      <sheetName val="실적_및_계획8"/>
      <sheetName val="Bosch_ADVP&amp;R8"/>
      <sheetName val="CAPA분석_360K5"/>
      <sheetName val="Cost_Reduction8"/>
      <sheetName val="GLOBAL_PT_NEW_FORMAT_OCT_20028"/>
      <sheetName val="계산_DATA_입력8"/>
      <sheetName val="상세_계산_내역8"/>
      <sheetName val="FLOW_PROSES_(A)5"/>
      <sheetName val="Master_Cable8"/>
      <sheetName val="_SR3차원단위_(3)2"/>
      <sheetName val="ERP도입후_시정현황2"/>
      <sheetName val="6_N_m_CCW_전류2"/>
      <sheetName val="Purchasing_Data2"/>
      <sheetName val="포머_비가동_내역3"/>
      <sheetName val="FRONT_HUB견적가3"/>
      <sheetName val="J150_승인진도관리_LIST2"/>
      <sheetName val="TOTAL_LIST2"/>
      <sheetName val="Price_Range2"/>
      <sheetName val="FTR_MACRo2"/>
      <sheetName val="일일_업무_현황_(3)3"/>
      <sheetName val="일일_업무_현황_(5)3"/>
      <sheetName val="MPL_技連3"/>
      <sheetName val="342E_BLOCK3"/>
      <sheetName val="금형_(2)3"/>
      <sheetName val="VS1_Paretto분석3"/>
      <sheetName val="0_절삭조건3"/>
      <sheetName val="DATA_BASE2"/>
      <sheetName val="02_07_27_부품판매가2"/>
      <sheetName val="협력사_일반현황3"/>
      <sheetName val="Sec_1_-_RFQ8"/>
      <sheetName val="1-1_General_Code2"/>
      <sheetName val="VPP(BD-010)_이상보고2"/>
      <sheetName val="공정능력_(2)8"/>
      <sheetName val="Sch7a_(토요일)8"/>
      <sheetName val="c_db13"/>
      <sheetName val="Rate_data8"/>
      <sheetName val="PRO_(참조)8"/>
      <sheetName val="2차_OIL량측정2"/>
      <sheetName val="Actual_In_&amp;_Out1"/>
      <sheetName val="4_3_첨부12"/>
      <sheetName val="업무분장_2"/>
      <sheetName val="GLOBAL_PT_NEW_FORMAT_JULY__2003"/>
      <sheetName val="INVESTMENT_(Hardware)3"/>
      <sheetName val="신고서_전2"/>
      <sheetName val="Basic_assumptions2"/>
      <sheetName val="영업_일12"/>
      <sheetName val="PFMEA_XLS2"/>
      <sheetName val="2008_г2"/>
      <sheetName val="RELAY_FAX양식2"/>
      <sheetName val="상세_견적서_(HMC)2"/>
      <sheetName val="OEM_Plan2"/>
      <sheetName val="제품명_(3)2"/>
      <sheetName val="LINE_운영안1"/>
      <sheetName val="P&amp;L,Bal_Sheet,Cash_Forecast2"/>
      <sheetName val="OEM_이의제기_종합1"/>
      <sheetName val="원가_종합2"/>
      <sheetName val="공정별공법-W_HSE-LH2"/>
      <sheetName val="GM_Master2"/>
      <sheetName val="생산현황_(입력)2"/>
      <sheetName val="MPS_Q3_FY042"/>
      <sheetName val="MPS_Q4_FY042"/>
      <sheetName val="1_ER유체응용2"/>
      <sheetName val="4_시험장비2"/>
      <sheetName val="업체별_단가현황2"/>
      <sheetName val="일일_생산및판매계획_대_실적2"/>
      <sheetName val="임율_&amp;_LOT2"/>
      <sheetName val="생산계획_(2)2"/>
      <sheetName val="CR_CODE2"/>
      <sheetName val="THEME_CODE2"/>
      <sheetName val="비교원가제출_고2"/>
      <sheetName val="1_세부비교원가(내수)2"/>
      <sheetName val="1_종합비교원가(내수_일반_유럽)2"/>
      <sheetName val="10_예산_및_원가_계획(02년)2"/>
      <sheetName val="3_PT개발계획2"/>
      <sheetName val="Interco_&amp;_PVS_Loc_Cur1"/>
      <sheetName val="_3"/>
      <sheetName val="RFQ_18042"/>
      <sheetName val="full_(2)1"/>
      <sheetName val="보강사_소요량1"/>
      <sheetName val="J2(P_MT)1"/>
      <sheetName val="After_sales2"/>
      <sheetName val="고객불만_건2"/>
      <sheetName val="Moulding_data1"/>
      <sheetName val="자동차_종합지표2"/>
      <sheetName val="Production_Plan12"/>
      <sheetName val="Order_status1"/>
      <sheetName val="Order_status21"/>
      <sheetName val="Customer_Master1"/>
      <sheetName val="Common_code1"/>
      <sheetName val="Order_Status_Master1"/>
      <sheetName val="Product_Master1"/>
      <sheetName val="3_3검토국1"/>
      <sheetName val="DV_Flow_Chart_DV-PV1_(PFC)2"/>
      <sheetName val="MATEMST_(2)1"/>
      <sheetName val="Value_Analysis_-_Sheet_12"/>
      <sheetName val="_PPAP_작성중__xlsx2"/>
      <sheetName val="2_중요한회계정책2"/>
      <sheetName val="9_관계기업투자2"/>
      <sheetName val="42_리스2"/>
      <sheetName val="25_법인세2"/>
      <sheetName val="Supplier_QRQC1"/>
      <sheetName val="97계획(96_111"/>
      <sheetName val="S50_1"/>
      <sheetName val="첨부4_기술평가서1"/>
      <sheetName val="1_2_2완제품검사('00_4월)_(가라)1"/>
      <sheetName val="DBL_LPG시험2"/>
      <sheetName val="09년_현황2"/>
      <sheetName val="WTC_BODY一覧原紙2"/>
      <sheetName val="3월말_장기악성(국내)2"/>
      <sheetName val="2월말_장기악성(국내)2"/>
      <sheetName val="Data_Sheet2"/>
      <sheetName val="6_수입검사_2"/>
      <sheetName val="03_PFD-12"/>
      <sheetName val="12_Inv_2"/>
      <sheetName val="97년_재료예산(안)2"/>
      <sheetName val="1_터빈2"/>
      <sheetName val="cost_base_e_dati2"/>
      <sheetName val="2__Definitions2"/>
      <sheetName val="코드_조건표3"/>
      <sheetName val="HMC_사전원가(원혁기준)13%2"/>
      <sheetName val="재품별_단가2"/>
      <sheetName val="장비_전체리스트2"/>
      <sheetName val="_4"/>
      <sheetName val="집중검사_리스트2"/>
      <sheetName val="production_dept2"/>
      <sheetName val="검사협정_보충1"/>
      <sheetName val="Proj_List_00E2"/>
      <sheetName val="2012_Volum2"/>
      <sheetName val="B053_(990701)공정능력PC%계산1"/>
      <sheetName val="P&amp;L_account2"/>
      <sheetName val="국내_1"/>
      <sheetName val="4,5공장_1"/>
      <sheetName val="시트_1"/>
      <sheetName val="VERTICAL_PIPE1"/>
      <sheetName val="TABLE_DB1"/>
      <sheetName val="쌍용_data_base1"/>
      <sheetName val="2과_공수집계1"/>
      <sheetName val="118_세금과공과1"/>
      <sheetName val="경영재무_(입력)1"/>
      <sheetName val="연구개발_(입력)1"/>
      <sheetName val="일반현황_(입력)1"/>
      <sheetName val="품질관리_(입력)1"/>
      <sheetName val="실행내역서_2"/>
      <sheetName val="개발_LIST2"/>
      <sheetName val="PC%계산(WM_COMM단차)2"/>
      <sheetName val="차체_품안표2"/>
      <sheetName val="1_1_2008_OTIF2"/>
      <sheetName val="BAFFLE_HMC_TABLE12"/>
      <sheetName val="1~3월_지시사항2"/>
      <sheetName val="1_POSITIONING2"/>
      <sheetName val="무부하_회전수2"/>
      <sheetName val="진행중_설변2"/>
      <sheetName val="HOLE_9905(1)2"/>
      <sheetName val="Upgrades_pricing1"/>
      <sheetName val="7_3_DY팀1"/>
      <sheetName val="PNL_ASS'Y_CRASH_PAD_UPR_RH1"/>
      <sheetName val="공정능력(마운틴_홀_거리)1"/>
      <sheetName val="Summary_Sheet1"/>
      <sheetName val="Datasheet_for_KPI_Model_11"/>
      <sheetName val="TEAM하반기_계획_(2)1"/>
      <sheetName val="YOKE-H(10_3)1"/>
      <sheetName val="▶R_C_FRM1"/>
      <sheetName val="광주_소요량1"/>
      <sheetName val="5-Why_Root_Cause_Analysis_1"/>
      <sheetName val="초_성1"/>
      <sheetName val="CHECK_성1"/>
      <sheetName val="cpk_data1"/>
      <sheetName val="Drop-down_Lists1"/>
      <sheetName val="Bas_Moteur1"/>
      <sheetName val="1_기안을지1"/>
      <sheetName val="사무용품_신청1"/>
      <sheetName val="Validation_Lists1"/>
      <sheetName val="★금형비_계산서1"/>
      <sheetName val="LOWSIDE_비교1"/>
      <sheetName val="4_Vendor_price1"/>
      <sheetName val="14년_증판안_판촉1"/>
      <sheetName val="제품별_매출2"/>
      <sheetName val="Data_Working_Time2"/>
      <sheetName val="Z41,Z42_이외total1"/>
      <sheetName val="원단위_1계_2계"/>
      <sheetName val="11403-06163_เก่า"/>
      <sheetName val="FM-HD_(New)"/>
      <sheetName val="FM-HD_(HKMC)_"/>
      <sheetName val="FM-HD_(11254-06201)__"/>
      <sheetName val="FM-HD_(11251-06163)"/>
      <sheetName val="FM-HD_(11514053)"/>
      <sheetName val="FM-HD_(11611807)"/>
      <sheetName val="FM-HD_(94502003)"/>
      <sheetName val="FM-HD_(94501839)"/>
      <sheetName val="FM-HD_(PT-GDENG0911-4)"/>
      <sheetName val="FM-HD_(94520439)"/>
      <sheetName val="FM-HD_(94500396)"/>
      <sheetName val="FM-HD_(94500407)"/>
      <sheetName val="FM-HD_(94500414)"/>
      <sheetName val="FM-HD_(94500073)"/>
      <sheetName val="FM-HD_(11588683)"/>
      <sheetName val="FM-HD_(94500952)"/>
      <sheetName val="FM-HD_(11569995)"/>
      <sheetName val="FM-HD_(11254-06201)"/>
      <sheetName val="FM-HD_(11588685)"/>
      <sheetName val="FM-HD_(94500793)_"/>
      <sheetName val="FM-HD_(11588717)"/>
      <sheetName val="FM-HD_(HD-25198904)"/>
      <sheetName val="FM-HD_(HD-11570514)_"/>
      <sheetName val="FM-HD_(11097441)"/>
      <sheetName val="FM-HD_(11588662)_"/>
      <sheetName val="FM-HD_(11519387)"/>
      <sheetName val="FM-HD_(11561969)"/>
      <sheetName val="FM-HD_(11516580)"/>
      <sheetName val="FM-HD_(11588712)___"/>
      <sheetName val="FM-HD_(11519375)"/>
      <sheetName val="FM-HD_(FAA32071001)__"/>
      <sheetName val="FM-HD_(11519382)_"/>
      <sheetName val="FM-HD_(11519383)_"/>
      <sheetName val="FM-HD_(11561763)__"/>
      <sheetName val="FM-HD_(11588316)__"/>
      <sheetName val="1_TM11"/>
      <sheetName val="2_align11"/>
      <sheetName val="3_JUDDER11"/>
      <sheetName val="4_M_S11"/>
      <sheetName val="5_P_W_R11"/>
      <sheetName val="6_F_G11"/>
      <sheetName val="7__SCABLE11"/>
      <sheetName val="8_DIFF11"/>
      <sheetName val="9_A_C11"/>
      <sheetName val="10_GEAR11"/>
      <sheetName val="11_ISC11"/>
      <sheetName val="12_ALT11"/>
      <sheetName val="13_O_S11"/>
      <sheetName val="14_silencer11"/>
      <sheetName val="15_DAMPER11"/>
      <sheetName val="16_HUB11"/>
      <sheetName val="17_DLOCK11"/>
      <sheetName val="18_PSP11"/>
      <sheetName val="19_누수11"/>
      <sheetName val="20_K_S11"/>
      <sheetName val="二_POSITION_XLS11"/>
      <sheetName val="1ဲ_ALT11"/>
      <sheetName val="1ဳ_O_S11"/>
      <sheetName val="15_၄AMPER11"/>
      <sheetName val="GB-IC_Villingen_GG11"/>
      <sheetName val="OPT손익_내수11"/>
      <sheetName val="OPT손익_수출11"/>
      <sheetName val="JT3_0견적-구110"/>
      <sheetName val="BACK_DATA_08_7_1~11"/>
      <sheetName val="E_W11"/>
      <sheetName val="P_W11"/>
      <sheetName val="S_W11"/>
      <sheetName val="BACK_DATA11"/>
      <sheetName val="CASE_ASM10"/>
      <sheetName val="외주현황_wq111"/>
      <sheetName val="5_세운W-A11"/>
      <sheetName val="14_1부10"/>
      <sheetName val="B053_(990701)공정실적PP%계산11"/>
      <sheetName val="2_대외공문11"/>
      <sheetName val="1_변경범위11"/>
      <sheetName val="TEMP_TORQUE11"/>
      <sheetName val="3_일반사상10"/>
      <sheetName val="Evaluation_objects10"/>
      <sheetName val="LAMBDA_자작10"/>
      <sheetName val="설비능력및_종합공정능력산출시_사용10"/>
      <sheetName val="LX3_0_RR10"/>
      <sheetName val="진행_DATA_(2)11"/>
      <sheetName val="126_25510"/>
      <sheetName val="SUB_2월_재검사추이도10"/>
      <sheetName val="c_db10"/>
      <sheetName val="5_WIRE적용LIST10"/>
      <sheetName val="Nego_PV10"/>
      <sheetName val="매출종합_`0910"/>
      <sheetName val="소상_&quot;1&quot;10"/>
      <sheetName val="검사기준서_을_치수10"/>
      <sheetName val="검사기준서_갑10"/>
      <sheetName val="검사기준서_을10"/>
      <sheetName val="검사협정_갑10"/>
      <sheetName val="검사성적서_갑10"/>
      <sheetName val="검사성적서_을10"/>
      <sheetName val="검사성적서_병10"/>
      <sheetName val="팀별_합계10"/>
      <sheetName val="운임_환차손-Y11"/>
      <sheetName val="02년_SUC9"/>
      <sheetName val="내수1_8GL10"/>
      <sheetName val="ALPROFILE_발주실적9"/>
      <sheetName val="PRESS_DATA9"/>
      <sheetName val="MACRO1_XLM9"/>
      <sheetName val="개발_TOOL_집계표9"/>
      <sheetName val="경상_개발비9"/>
      <sheetName val="X-3_ENG9"/>
      <sheetName val="원단위_전후비교9"/>
      <sheetName val="Sheet1_(2)9"/>
      <sheetName val="차체부품_INS_REPORT(갑)10"/>
      <sheetName val="Sheet6_(3)9"/>
      <sheetName val="외주품_감점_유형_기준9"/>
      <sheetName val="FUEL_FILLER10"/>
      <sheetName val="_납촉자10"/>
      <sheetName val="3-2_귀책부서별_DT현황10"/>
      <sheetName val="1_2내수9"/>
      <sheetName val="3__관리점지수실적-1_1생산성9"/>
      <sheetName val="실적_및_계획9"/>
      <sheetName val="Bosch_ADVP&amp;R9"/>
      <sheetName val="CAPA분석_360K6"/>
      <sheetName val="Cost_Reduction9"/>
      <sheetName val="GLOBAL_PT_NEW_FORMAT_OCT_20029"/>
      <sheetName val="계산_DATA_입력9"/>
      <sheetName val="상세_계산_내역9"/>
      <sheetName val="FLOW_PROSES_(A)6"/>
      <sheetName val="Master_Cable9"/>
      <sheetName val="_SR3차원단위_(3)3"/>
      <sheetName val="ERP도입후_시정현황3"/>
      <sheetName val="6_N_m_CCW_전류3"/>
      <sheetName val="Purchasing_Data3"/>
      <sheetName val="포머_비가동_내역4"/>
      <sheetName val="FRONT_HUB견적가4"/>
      <sheetName val="J150_승인진도관리_LIST3"/>
      <sheetName val="TOTAL_LIST3"/>
      <sheetName val="Price_Range3"/>
      <sheetName val="FTR_MACRo3"/>
      <sheetName val="일일_업무_현황_(3)4"/>
      <sheetName val="일일_업무_현황_(5)4"/>
      <sheetName val="MPL_技連4"/>
      <sheetName val="342E_BLOCK4"/>
      <sheetName val="금형_(2)4"/>
      <sheetName val="VS1_Paretto분석4"/>
      <sheetName val="0_절삭조건4"/>
      <sheetName val="DATA_BASE3"/>
      <sheetName val="02_07_27_부품판매가3"/>
      <sheetName val="협력사_일반현황4"/>
      <sheetName val="Sec_1_-_RFQ9"/>
      <sheetName val="1-1_General_Code3"/>
      <sheetName val="VPP(BD-010)_이상보고3"/>
      <sheetName val="공정능력_(2)9"/>
      <sheetName val="Sch7a_(토요일)9"/>
      <sheetName val="c_db14"/>
      <sheetName val="Rate_data9"/>
      <sheetName val="대외공문_3"/>
      <sheetName val="PRO_(참조)9"/>
      <sheetName val="2차_OIL량측정3"/>
      <sheetName val="Actual_In_&amp;_Out2"/>
      <sheetName val="4_3_첨부13"/>
      <sheetName val="업무분장_3"/>
      <sheetName val="GLOBAL_PT_NEW_FORMAT_JULY__2004"/>
      <sheetName val="INVESTMENT_(Hardware)4"/>
      <sheetName val="신고서_전3"/>
      <sheetName val="Basic_assumptions3"/>
      <sheetName val="영업_일13"/>
      <sheetName val="PFMEA_XLS3"/>
      <sheetName val="2008_г3"/>
      <sheetName val="RELAY_FAX양식3"/>
      <sheetName val="상세_견적서_(HMC)3"/>
      <sheetName val="OEM_Plan3"/>
      <sheetName val="제품명_(3)3"/>
      <sheetName val="LINE_운영안2"/>
      <sheetName val="P&amp;L,Bal_Sheet,Cash_Forecast3"/>
      <sheetName val="OEM_이의제기_종합2"/>
      <sheetName val="원가_종합3"/>
      <sheetName val="공정별공법-W_HSE-LH3"/>
      <sheetName val="GM_Master3"/>
      <sheetName val="생산현황_(입력)3"/>
      <sheetName val="MPS_Q3_FY043"/>
      <sheetName val="MPS_Q4_FY043"/>
      <sheetName val="1_ER유체응용3"/>
      <sheetName val="4_시험장비3"/>
      <sheetName val="업체별_단가현황3"/>
      <sheetName val="일일_생산및판매계획_대_실적3"/>
      <sheetName val="임율_&amp;_LOT3"/>
      <sheetName val="생산계획_(2)3"/>
      <sheetName val="CR_CODE3"/>
      <sheetName val="THEME_CODE3"/>
      <sheetName val="비교원가제출_고3"/>
      <sheetName val="1_세부비교원가(내수)3"/>
      <sheetName val="1_종합비교원가(내수_일반_유럽)3"/>
      <sheetName val="10_예산_및_원가_계획(02년)3"/>
      <sheetName val="3_PT개발계획3"/>
      <sheetName val="Interco_&amp;_PVS_Loc_Cur2"/>
      <sheetName val="_5"/>
      <sheetName val="RFQ_18043"/>
      <sheetName val="full_(2)2"/>
      <sheetName val="보강사_소요량2"/>
      <sheetName val="J2(P_MT)2"/>
      <sheetName val="After_sales3"/>
      <sheetName val="고객불만_건3"/>
      <sheetName val="Moulding_data2"/>
      <sheetName val="자동차_종합지표3"/>
      <sheetName val="Production_Plan13"/>
      <sheetName val="Order_status3"/>
      <sheetName val="Order_status22"/>
      <sheetName val="Customer_Master2"/>
      <sheetName val="Common_code2"/>
      <sheetName val="Order_Status_Master2"/>
      <sheetName val="Product_Master2"/>
      <sheetName val="3_3검토국2"/>
      <sheetName val="DV_Flow_Chart_DV-PV1_(PFC)3"/>
      <sheetName val="MATEMST_(2)2"/>
      <sheetName val="Value_Analysis_-_Sheet_13"/>
      <sheetName val="_PPAP_작성중__xlsx3"/>
      <sheetName val="2_중요한회계정책3"/>
      <sheetName val="9_관계기업투자3"/>
      <sheetName val="42_리스3"/>
      <sheetName val="25_법인세3"/>
      <sheetName val="Supplier_QRQC2"/>
      <sheetName val="97계획(96_112"/>
      <sheetName val="S50_2"/>
      <sheetName val="첨부4_기술평가서2"/>
      <sheetName val="1_2_2완제품검사('00_4월)_(가라)2"/>
      <sheetName val="DBL_LPG시험3"/>
      <sheetName val="09년_현황3"/>
      <sheetName val="WTC_BODY一覧原紙3"/>
      <sheetName val="3월말_장기악성(국내)3"/>
      <sheetName val="2월말_장기악성(국내)3"/>
      <sheetName val="Data_Sheet3"/>
      <sheetName val="6_수입검사_3"/>
      <sheetName val="03_PFD-13"/>
      <sheetName val="12_Inv_3"/>
      <sheetName val="97년_재료예산(안)3"/>
      <sheetName val="1_터빈3"/>
      <sheetName val="cost_base_e_dati3"/>
      <sheetName val="2__Definitions3"/>
      <sheetName val="코드_조건표4"/>
      <sheetName val="HMC_사전원가(원혁기준)13%3"/>
      <sheetName val="재품별_단가3"/>
      <sheetName val="장비_전체리스트3"/>
      <sheetName val="_6"/>
      <sheetName val="집중검사_리스트3"/>
      <sheetName val="production_dept3"/>
      <sheetName val="검사협정_보충2"/>
      <sheetName val="Proj_List_00E3"/>
      <sheetName val="2012_Volum3"/>
      <sheetName val="B053_(990701)공정능력PC%계산2"/>
      <sheetName val="P&amp;L_account3"/>
      <sheetName val="국내_2"/>
      <sheetName val="4,5공장_2"/>
      <sheetName val="시트_2"/>
      <sheetName val="VERTICAL_PIPE2"/>
      <sheetName val="TABLE_DB2"/>
      <sheetName val="쌍용_data_base2"/>
      <sheetName val="2과_공수집계2"/>
      <sheetName val="118_세금과공과2"/>
      <sheetName val="경영재무_(입력)2"/>
      <sheetName val="연구개발_(입력)2"/>
      <sheetName val="일반현황_(입력)2"/>
      <sheetName val="품질관리_(입력)2"/>
      <sheetName val="실행내역서_3"/>
      <sheetName val="개발_LIST3"/>
      <sheetName val="PC%계산(WM_COMM단차)3"/>
      <sheetName val="차체_품안표3"/>
      <sheetName val="1_1_2008_OTIF3"/>
      <sheetName val="BAFFLE_HMC_TABLE13"/>
      <sheetName val="1~3월_지시사항3"/>
      <sheetName val="1_POSITIONING3"/>
      <sheetName val="무부하_회전수3"/>
      <sheetName val="진행중_설변3"/>
      <sheetName val="HOLE_9905(1)3"/>
      <sheetName val="Upgrades_pricing2"/>
      <sheetName val="7_3_DY팀2"/>
      <sheetName val="PNL_ASS'Y_CRASH_PAD_UPR_RH2"/>
      <sheetName val="공정능력(마운틴_홀_거리)2"/>
      <sheetName val="Summary_Sheet2"/>
      <sheetName val="Datasheet_for_KPI_Model_12"/>
      <sheetName val="TEAM하반기_계획_(2)2"/>
      <sheetName val="YOKE-H(10_3)2"/>
      <sheetName val="▶R_C_FRM2"/>
      <sheetName val="광주_소요량2"/>
      <sheetName val="5-Why_Root_Cause_Analysis_2"/>
      <sheetName val="초_성2"/>
      <sheetName val="CHECK_성2"/>
      <sheetName val="cpk_data2"/>
      <sheetName val="Drop-down_Lists2"/>
      <sheetName val="Bas_Moteur2"/>
      <sheetName val="1_기안을지2"/>
      <sheetName val="사무용품_신청2"/>
      <sheetName val="Validation_Lists2"/>
      <sheetName val="★금형비_계산서2"/>
      <sheetName val="LOWSIDE_비교2"/>
      <sheetName val="4_Vendor_price2"/>
      <sheetName val="14년_증판안_판촉2"/>
      <sheetName val="PS_SIDE_OTR_INR_공정개선_상세1"/>
      <sheetName val="제품별_매출3"/>
      <sheetName val="Data_Working_Time3"/>
      <sheetName val="Z41,Z42_이외total2"/>
      <sheetName val="원단위_1계_2계1"/>
      <sheetName val="11403-06163_เก่า1"/>
      <sheetName val="FM-HD_(New)1"/>
      <sheetName val="FM-HD_(HKMC)_1"/>
      <sheetName val="FM-HD_(11254-06201)__1"/>
      <sheetName val="FM-HD_(11251-06163)1"/>
      <sheetName val="FM-HD_(11514053)1"/>
      <sheetName val="FM-HD_(11611807)1"/>
      <sheetName val="FM-HD_(94502003)1"/>
      <sheetName val="FM-HD_(94501839)1"/>
      <sheetName val="FM-HD_(PT-GDENG0911-4)1"/>
      <sheetName val="FM-HD_(94520439)1"/>
      <sheetName val="FM-HD_(94500396)1"/>
      <sheetName val="FM-HD_(94500407)1"/>
      <sheetName val="FM-HD_(94500414)1"/>
      <sheetName val="FM-HD_(94500073)1"/>
      <sheetName val="FM-HD_(11588683)1"/>
      <sheetName val="FM-HD_(94500952)1"/>
      <sheetName val="FM-HD_(11569995)1"/>
      <sheetName val="FM-HD_(11254-06201)1"/>
      <sheetName val="FM-HD_(11588685)1"/>
      <sheetName val="FM-HD_(94500793)_1"/>
      <sheetName val="FM-HD_(11588717)1"/>
      <sheetName val="FM-HD_(HD-25198904)1"/>
      <sheetName val="FM-HD_(HD-11570514)_1"/>
      <sheetName val="FM-HD_(11097441)1"/>
      <sheetName val="FM-HD_(11588662)_1"/>
      <sheetName val="FM-HD_(11519387)1"/>
      <sheetName val="FM-HD_(11561969)1"/>
      <sheetName val="FM-HD_(11516580)1"/>
      <sheetName val="FM-HD_(11588712)___1"/>
      <sheetName val="FM-HD_(11519375)1"/>
      <sheetName val="FM-HD_(FAA32071001)__1"/>
      <sheetName val="FM-HD_(11519382)_1"/>
      <sheetName val="FM-HD_(11519383)_1"/>
      <sheetName val="FM-HD_(11561763)__1"/>
      <sheetName val="FM-HD_(11588316)__1"/>
      <sheetName val="1_TM12"/>
      <sheetName val="2_align12"/>
      <sheetName val="3_JUDDER12"/>
      <sheetName val="4_M_S12"/>
      <sheetName val="5_P_W_R12"/>
      <sheetName val="6_F_G12"/>
      <sheetName val="7__SCABLE12"/>
      <sheetName val="8_DIFF12"/>
      <sheetName val="9_A_C12"/>
      <sheetName val="10_GEAR12"/>
      <sheetName val="11_ISC12"/>
      <sheetName val="12_ALT12"/>
      <sheetName val="13_O_S12"/>
      <sheetName val="14_silencer12"/>
      <sheetName val="15_DAMPER12"/>
      <sheetName val="16_HUB12"/>
      <sheetName val="17_DLOCK12"/>
      <sheetName val="18_PSP12"/>
      <sheetName val="19_누수12"/>
      <sheetName val="20_K_S12"/>
      <sheetName val="二_POSITION_XLS12"/>
      <sheetName val="1ဲ_ALT12"/>
      <sheetName val="1ဳ_O_S12"/>
      <sheetName val="15_၄AMPER12"/>
      <sheetName val="GB-IC_Villingen_GG12"/>
      <sheetName val="OPT손익_내수12"/>
      <sheetName val="OPT손익_수출12"/>
      <sheetName val="JT3_0견적-구111"/>
      <sheetName val="BACK_DATA_08_7_1~12"/>
      <sheetName val="E_W12"/>
      <sheetName val="P_W12"/>
      <sheetName val="S_W12"/>
      <sheetName val="BACK_DATA12"/>
      <sheetName val="CASE_ASM11"/>
      <sheetName val="외주현황_wq112"/>
      <sheetName val="5_세운W-A12"/>
      <sheetName val="14_1부11"/>
      <sheetName val="B053_(990701)공정실적PP%계산12"/>
      <sheetName val="2_대외공문12"/>
      <sheetName val="1_변경범위12"/>
      <sheetName val="TEMP_TORQUE12"/>
      <sheetName val="3_일반사상11"/>
      <sheetName val="Evaluation_objects11"/>
      <sheetName val="LAMBDA_자작11"/>
      <sheetName val="설비능력및_종합공정능력산출시_사용11"/>
      <sheetName val="LX3_0_RR11"/>
      <sheetName val="진행_DATA_(2)12"/>
      <sheetName val="126_25511"/>
      <sheetName val="SUB_2월_재검사추이도11"/>
      <sheetName val="c_db15"/>
      <sheetName val="5_WIRE적용LIST11"/>
      <sheetName val="Nego_PV11"/>
      <sheetName val="매출종합_`0911"/>
      <sheetName val="소상_&quot;1&quot;11"/>
      <sheetName val="검사기준서_을_치수11"/>
      <sheetName val="검사기준서_갑11"/>
      <sheetName val="검사기준서_을11"/>
      <sheetName val="검사협정_갑11"/>
      <sheetName val="검사성적서_갑11"/>
      <sheetName val="검사성적서_을11"/>
      <sheetName val="검사성적서_병11"/>
      <sheetName val="팀별_합계11"/>
      <sheetName val="운임_환차손-Y12"/>
      <sheetName val="02년_SUC10"/>
      <sheetName val="내수1_8GL11"/>
      <sheetName val="ALPROFILE_발주실적10"/>
      <sheetName val="PRESS_DATA10"/>
      <sheetName val="MACRO1_XLM10"/>
      <sheetName val="개발_TOOL_집계표10"/>
      <sheetName val="경상_개발비10"/>
      <sheetName val="X-3_ENG10"/>
      <sheetName val="원단위_전후비교10"/>
      <sheetName val="Sheet1_(2)10"/>
      <sheetName val="차체부품_INS_REPORT(갑)11"/>
      <sheetName val="Sheet6_(3)10"/>
      <sheetName val="외주품_감점_유형_기준10"/>
      <sheetName val="FUEL_FILLER11"/>
      <sheetName val="_납촉자11"/>
      <sheetName val="3-2_귀책부서별_DT현황11"/>
      <sheetName val="1_2내수10"/>
      <sheetName val="3__관리점지수실적-1_1생산성10"/>
      <sheetName val="실적_및_계획10"/>
      <sheetName val="Bosch_ADVP&amp;R10"/>
      <sheetName val="CAPA분석_360K7"/>
      <sheetName val="Cost_Reduction10"/>
      <sheetName val="GLOBAL_PT_NEW_FORMAT_OCT_200210"/>
      <sheetName val="계산_DATA_입력10"/>
      <sheetName val="상세_계산_내역10"/>
      <sheetName val="FLOW_PROSES_(A)7"/>
      <sheetName val="Master_Cable10"/>
      <sheetName val="_SR3차원단위_(3)4"/>
      <sheetName val="ERP도입후_시정현황4"/>
      <sheetName val="6_N_m_CCW_전류4"/>
      <sheetName val="Purchasing_Data4"/>
      <sheetName val="포머_비가동_내역5"/>
      <sheetName val="FRONT_HUB견적가5"/>
      <sheetName val="J150_승인진도관리_LIST4"/>
      <sheetName val="TOTAL_LIST4"/>
      <sheetName val="Price_Range4"/>
      <sheetName val="FTR_MACRo4"/>
      <sheetName val="일일_업무_현황_(3)5"/>
      <sheetName val="일일_업무_현황_(5)5"/>
      <sheetName val="MPL_技連5"/>
      <sheetName val="342E_BLOCK5"/>
      <sheetName val="금형_(2)5"/>
      <sheetName val="VS1_Paretto분석5"/>
      <sheetName val="0_절삭조건5"/>
      <sheetName val="DATA_BASE4"/>
      <sheetName val="02_07_27_부품판매가4"/>
      <sheetName val="협력사_일반현황5"/>
      <sheetName val="Sec_1_-_RFQ10"/>
      <sheetName val="1-1_General_Code4"/>
      <sheetName val="VPP(BD-010)_이상보고4"/>
      <sheetName val="공정능력_(2)10"/>
      <sheetName val="Sch7a_(토요일)10"/>
      <sheetName val="c_db16"/>
      <sheetName val="Rate_data10"/>
      <sheetName val="대외공문_4"/>
      <sheetName val="PRO_(참조)10"/>
      <sheetName val="2차_OIL량측정4"/>
      <sheetName val="Actual_In_&amp;_Out3"/>
      <sheetName val="4_3_첨부14"/>
      <sheetName val="업무분장_4"/>
      <sheetName val="GLOBAL_PT_NEW_FORMAT_JULY__2005"/>
      <sheetName val="INVESTMENT_(Hardware)5"/>
      <sheetName val="신고서_전4"/>
      <sheetName val="Basic_assumptions4"/>
      <sheetName val="영업_일14"/>
      <sheetName val="PFMEA_XLS4"/>
      <sheetName val="2008_г4"/>
      <sheetName val="RELAY_FAX양식4"/>
      <sheetName val="상세_견적서_(HMC)4"/>
      <sheetName val="OEM_Plan4"/>
      <sheetName val="제품명_(3)4"/>
      <sheetName val="LINE_운영안3"/>
      <sheetName val="P&amp;L,Bal_Sheet,Cash_Forecast4"/>
      <sheetName val="OEM_이의제기_종합3"/>
      <sheetName val="원가_종합4"/>
      <sheetName val="공정별공법-W_HSE-LH4"/>
      <sheetName val="GM_Master4"/>
      <sheetName val="생산현황_(입력)4"/>
      <sheetName val="MPS_Q3_FY044"/>
      <sheetName val="MPS_Q4_FY044"/>
      <sheetName val="1_ER유체응용4"/>
      <sheetName val="4_시험장비4"/>
      <sheetName val="업체별_단가현황4"/>
      <sheetName val="일일_생산및판매계획_대_실적4"/>
      <sheetName val="임율_&amp;_LOT4"/>
      <sheetName val="생산계획_(2)4"/>
      <sheetName val="CR_CODE4"/>
      <sheetName val="THEME_CODE4"/>
      <sheetName val="비교원가제출_고4"/>
      <sheetName val="1_세부비교원가(내수)4"/>
      <sheetName val="1_종합비교원가(내수_일반_유럽)4"/>
      <sheetName val="10_예산_및_원가_계획(02년)4"/>
      <sheetName val="3_PT개발계획4"/>
      <sheetName val="Interco_&amp;_PVS_Loc_Cur3"/>
      <sheetName val="_7"/>
      <sheetName val="RFQ_18044"/>
      <sheetName val="full_(2)3"/>
      <sheetName val="보강사_소요량3"/>
      <sheetName val="J2(P_MT)3"/>
      <sheetName val="After_sales4"/>
      <sheetName val="고객불만_건4"/>
      <sheetName val="Moulding_data3"/>
      <sheetName val="자동차_종합지표4"/>
      <sheetName val="Production_Plan14"/>
      <sheetName val="Order_status4"/>
      <sheetName val="Order_status23"/>
      <sheetName val="Customer_Master3"/>
      <sheetName val="Common_code3"/>
      <sheetName val="Order_Status_Master3"/>
      <sheetName val="Product_Master3"/>
      <sheetName val="3_3검토국3"/>
      <sheetName val="DV_Flow_Chart_DV-PV1_(PFC)4"/>
      <sheetName val="MATEMST_(2)3"/>
      <sheetName val="Value_Analysis_-_Sheet_14"/>
      <sheetName val="_PPAP_작성중__xlsx4"/>
      <sheetName val="2_중요한회계정책4"/>
      <sheetName val="9_관계기업투자4"/>
      <sheetName val="42_리스4"/>
      <sheetName val="25_법인세4"/>
      <sheetName val="Supplier_QRQC3"/>
      <sheetName val="97계획(96_113"/>
      <sheetName val="S50_3"/>
      <sheetName val="첨부4_기술평가서3"/>
      <sheetName val="1_2_2완제품검사('00_4월)_(가라)3"/>
      <sheetName val="DBL_LPG시험4"/>
      <sheetName val="09년_현황4"/>
      <sheetName val="WTC_BODY一覧原紙4"/>
      <sheetName val="3월말_장기악성(국내)4"/>
      <sheetName val="2월말_장기악성(국내)4"/>
      <sheetName val="Data_Sheet4"/>
      <sheetName val="6_수입검사_4"/>
      <sheetName val="03_PFD-14"/>
      <sheetName val="12_Inv_4"/>
      <sheetName val="97년_재료예산(안)4"/>
      <sheetName val="1_터빈4"/>
      <sheetName val="cost_base_e_dati4"/>
      <sheetName val="2__Definitions4"/>
      <sheetName val="코드_조건표5"/>
      <sheetName val="HMC_사전원가(원혁기준)13%4"/>
      <sheetName val="재품별_단가4"/>
      <sheetName val="장비_전체리스트4"/>
      <sheetName val="_8"/>
      <sheetName val="집중검사_리스트4"/>
      <sheetName val="production_dept4"/>
      <sheetName val="검사협정_보충3"/>
      <sheetName val="Proj_List_00E4"/>
      <sheetName val="2012_Volum4"/>
      <sheetName val="B053_(990701)공정능력PC%계산3"/>
      <sheetName val="P&amp;L_account4"/>
      <sheetName val="국내_3"/>
      <sheetName val="4,5공장_3"/>
      <sheetName val="시트_3"/>
      <sheetName val="VERTICAL_PIPE3"/>
      <sheetName val="TABLE_DB3"/>
      <sheetName val="쌍용_data_base3"/>
      <sheetName val="2과_공수집계3"/>
      <sheetName val="118_세금과공과3"/>
      <sheetName val="경영재무_(입력)3"/>
      <sheetName val="연구개발_(입력)3"/>
      <sheetName val="일반현황_(입력)3"/>
      <sheetName val="품질관리_(입력)3"/>
      <sheetName val="실행내역서_4"/>
      <sheetName val="개발_LIST4"/>
      <sheetName val="PC%계산(WM_COMM단차)4"/>
      <sheetName val="차체_품안표4"/>
      <sheetName val="1_1_2008_OTIF4"/>
      <sheetName val="BAFFLE_HMC_TABLE14"/>
      <sheetName val="1~3월_지시사항4"/>
      <sheetName val="1_POSITIONING4"/>
      <sheetName val="무부하_회전수4"/>
      <sheetName val="진행중_설변4"/>
      <sheetName val="HOLE_9905(1)4"/>
      <sheetName val="Upgrades_pricing3"/>
      <sheetName val="7_3_DY팀3"/>
      <sheetName val="PNL_ASS'Y_CRASH_PAD_UPR_RH3"/>
      <sheetName val="공정능력(마운틴_홀_거리)3"/>
      <sheetName val="Summary_Sheet3"/>
      <sheetName val="Datasheet_for_KPI_Model_13"/>
      <sheetName val="TEAM하반기_계획_(2)3"/>
      <sheetName val="YOKE-H(10_3)3"/>
      <sheetName val="▶R_C_FRM3"/>
      <sheetName val="광주_소요량3"/>
      <sheetName val="5-Why_Root_Cause_Analysis_3"/>
      <sheetName val="초_성3"/>
      <sheetName val="CHECK_성3"/>
      <sheetName val="cpk_data3"/>
      <sheetName val="Drop-down_Lists3"/>
      <sheetName val="Bas_Moteur3"/>
      <sheetName val="1_기안을지3"/>
      <sheetName val="사무용품_신청3"/>
      <sheetName val="Validation_Lists3"/>
      <sheetName val="★금형비_계산서3"/>
      <sheetName val="LOWSIDE_비교3"/>
      <sheetName val="4_Vendor_price3"/>
      <sheetName val="14년_증판안_판촉3"/>
      <sheetName val="PS_SIDE_OTR_INR_공정개선_상세2"/>
      <sheetName val="제품별_매출4"/>
      <sheetName val="Data_Working_Time4"/>
      <sheetName val="Z41,Z42_이외total3"/>
      <sheetName val="원단위_1계_2계2"/>
      <sheetName val="11403-06163_เก่า2"/>
      <sheetName val="FM-HD_(New)2"/>
      <sheetName val="FM-HD_(HKMC)_2"/>
      <sheetName val="FM-HD_(11254-06201)__2"/>
      <sheetName val="FM-HD_(11251-06163)2"/>
      <sheetName val="FM-HD_(11514053)2"/>
      <sheetName val="FM-HD_(11611807)2"/>
      <sheetName val="FM-HD_(94502003)2"/>
      <sheetName val="FM-HD_(94501839)2"/>
      <sheetName val="FM-HD_(PT-GDENG0911-4)2"/>
      <sheetName val="FM-HD_(94520439)2"/>
      <sheetName val="FM-HD_(94500396)2"/>
      <sheetName val="FM-HD_(94500407)2"/>
      <sheetName val="FM-HD_(94500414)2"/>
      <sheetName val="FM-HD_(94500073)2"/>
      <sheetName val="FM-HD_(11588683)2"/>
      <sheetName val="FM-HD_(94500952)2"/>
      <sheetName val="FM-HD_(11569995)2"/>
      <sheetName val="FM-HD_(11254-06201)2"/>
      <sheetName val="FM-HD_(11588685)2"/>
      <sheetName val="FM-HD_(94500793)_2"/>
      <sheetName val="FM-HD_(11588717)2"/>
      <sheetName val="FM-HD_(HD-25198904)2"/>
      <sheetName val="FM-HD_(HD-11570514)_2"/>
      <sheetName val="FM-HD_(11097441)2"/>
      <sheetName val="FM-HD_(11588662)_2"/>
      <sheetName val="FM-HD_(11519387)2"/>
      <sheetName val="FM-HD_(11561969)2"/>
      <sheetName val="FM-HD_(11516580)2"/>
      <sheetName val="FM-HD_(11588712)___2"/>
      <sheetName val="FM-HD_(11519375)2"/>
      <sheetName val="FM-HD_(FAA32071001)__2"/>
      <sheetName val="FM-HD_(11519382)_2"/>
      <sheetName val="FM-HD_(11519383)_2"/>
      <sheetName val="FM-HD_(11561763)__2"/>
      <sheetName val="FM-HD_(11588316)__2"/>
      <sheetName val="1_TM13"/>
      <sheetName val="2_align13"/>
      <sheetName val="3_JUDDER13"/>
      <sheetName val="4_M_S13"/>
      <sheetName val="5_P_W_R13"/>
      <sheetName val="6_F_G13"/>
      <sheetName val="7__SCABLE13"/>
      <sheetName val="8_DIFF13"/>
      <sheetName val="9_A_C13"/>
      <sheetName val="10_GEAR13"/>
      <sheetName val="11_ISC13"/>
      <sheetName val="12_ALT13"/>
      <sheetName val="13_O_S13"/>
      <sheetName val="14_silencer13"/>
      <sheetName val="15_DAMPER13"/>
      <sheetName val="16_HUB13"/>
      <sheetName val="17_DLOCK13"/>
      <sheetName val="18_PSP13"/>
      <sheetName val="19_누수13"/>
      <sheetName val="20_K_S13"/>
      <sheetName val="二_POSITION_XLS13"/>
      <sheetName val="1ဲ_ALT13"/>
      <sheetName val="1ဳ_O_S13"/>
      <sheetName val="15_၄AMPER13"/>
      <sheetName val="GB-IC_Villingen_GG13"/>
      <sheetName val="OPT손익_내수13"/>
      <sheetName val="OPT손익_수출13"/>
      <sheetName val="JT3_0견적-구112"/>
      <sheetName val="BACK_DATA_08_7_1~13"/>
      <sheetName val="E_W13"/>
      <sheetName val="P_W13"/>
      <sheetName val="S_W13"/>
      <sheetName val="BACK_DATA13"/>
      <sheetName val="CASE_ASM12"/>
      <sheetName val="외주현황_wq113"/>
      <sheetName val="5_세운W-A13"/>
      <sheetName val="14_1부12"/>
      <sheetName val="B053_(990701)공정실적PP%계산13"/>
      <sheetName val="2_대외공문13"/>
      <sheetName val="1_변경범위13"/>
      <sheetName val="TEMP_TORQUE13"/>
      <sheetName val="3_일반사상12"/>
      <sheetName val="Evaluation_objects12"/>
      <sheetName val="LAMBDA_자작12"/>
      <sheetName val="설비능력및_종합공정능력산출시_사용12"/>
      <sheetName val="LX3_0_RR12"/>
      <sheetName val="진행_DATA_(2)13"/>
      <sheetName val="126_25512"/>
      <sheetName val="SUB_2월_재검사추이도12"/>
      <sheetName val="c_db17"/>
      <sheetName val="5_WIRE적용LIST12"/>
      <sheetName val="Nego_PV12"/>
      <sheetName val="매출종합_`0912"/>
      <sheetName val="소상_&quot;1&quot;12"/>
      <sheetName val="검사기준서_을_치수12"/>
      <sheetName val="검사기준서_갑12"/>
      <sheetName val="검사기준서_을12"/>
      <sheetName val="검사협정_갑12"/>
      <sheetName val="검사성적서_갑12"/>
      <sheetName val="검사성적서_을12"/>
      <sheetName val="검사성적서_병12"/>
      <sheetName val="팀별_합계12"/>
      <sheetName val="운임_환차손-Y13"/>
      <sheetName val="02년_SUC11"/>
      <sheetName val="내수1_8GL12"/>
      <sheetName val="ALPROFILE_발주실적11"/>
      <sheetName val="PRESS_DATA11"/>
      <sheetName val="MACRO1_XLM11"/>
      <sheetName val="개발_TOOL_집계표11"/>
      <sheetName val="경상_개발비11"/>
      <sheetName val="X-3_ENG11"/>
      <sheetName val="원단위_전후비교11"/>
      <sheetName val="Sheet1_(2)11"/>
      <sheetName val="차체부품_INS_REPORT(갑)12"/>
      <sheetName val="Sheet6_(3)11"/>
      <sheetName val="외주품_감점_유형_기준11"/>
      <sheetName val="FUEL_FILLER12"/>
      <sheetName val="_납촉자12"/>
      <sheetName val="3-2_귀책부서별_DT현황12"/>
      <sheetName val="1_2내수11"/>
      <sheetName val="3__관리점지수실적-1_1생산성11"/>
      <sheetName val="실적_및_계획11"/>
      <sheetName val="Bosch_ADVP&amp;R11"/>
      <sheetName val="CAPA분석_360K8"/>
      <sheetName val="Cost_Reduction11"/>
      <sheetName val="GLOBAL_PT_NEW_FORMAT_OCT_200211"/>
      <sheetName val="계산_DATA_입력11"/>
      <sheetName val="상세_계산_내역11"/>
      <sheetName val="FLOW_PROSES_(A)8"/>
      <sheetName val="Master_Cable11"/>
      <sheetName val="_SR3차원단위_(3)5"/>
      <sheetName val="ERP도입후_시정현황5"/>
      <sheetName val="6_N_m_CCW_전류5"/>
      <sheetName val="Purchasing_Data5"/>
      <sheetName val="포머_비가동_내역6"/>
      <sheetName val="FRONT_HUB견적가6"/>
      <sheetName val="J150_승인진도관리_LIST5"/>
      <sheetName val="TOTAL_LIST5"/>
      <sheetName val="Price_Range5"/>
      <sheetName val="FTR_MACRo5"/>
      <sheetName val="일일_업무_현황_(3)6"/>
      <sheetName val="일일_업무_현황_(5)6"/>
      <sheetName val="MPL_技連6"/>
      <sheetName val="342E_BLOCK6"/>
      <sheetName val="금형_(2)6"/>
      <sheetName val="VS1_Paretto분석6"/>
      <sheetName val="0_절삭조건6"/>
      <sheetName val="DATA_BASE5"/>
      <sheetName val="02_07_27_부품판매가5"/>
      <sheetName val="협력사_일반현황6"/>
      <sheetName val="Sec_1_-_RFQ11"/>
      <sheetName val="1-1_General_Code5"/>
      <sheetName val="VPP(BD-010)_이상보고5"/>
      <sheetName val="공정능력_(2)11"/>
      <sheetName val="Sch7a_(토요일)11"/>
      <sheetName val="c_db18"/>
      <sheetName val="Rate_data11"/>
      <sheetName val="대외공문_5"/>
      <sheetName val="PRO_(참조)11"/>
      <sheetName val="2차_OIL량측정5"/>
      <sheetName val="Actual_In_&amp;_Out4"/>
      <sheetName val="4_3_첨부15"/>
      <sheetName val="업무분장_5"/>
      <sheetName val="GLOBAL_PT_NEW_FORMAT_JULY__2006"/>
      <sheetName val="INVESTMENT_(Hardware)6"/>
      <sheetName val="신고서_전5"/>
      <sheetName val="Basic_assumptions5"/>
      <sheetName val="영업_일15"/>
      <sheetName val="PFMEA_XLS5"/>
      <sheetName val="2008_г5"/>
      <sheetName val="RELAY_FAX양식5"/>
      <sheetName val="상세_견적서_(HMC)5"/>
      <sheetName val="OEM_Plan5"/>
      <sheetName val="제품명_(3)5"/>
      <sheetName val="LINE_운영안4"/>
      <sheetName val="P&amp;L,Bal_Sheet,Cash_Forecast5"/>
      <sheetName val="OEM_이의제기_종합4"/>
      <sheetName val="원가_종합5"/>
      <sheetName val="공정별공법-W_HSE-LH5"/>
      <sheetName val="GM_Master5"/>
      <sheetName val="생산현황_(입력)5"/>
      <sheetName val="MPS_Q3_FY045"/>
      <sheetName val="MPS_Q4_FY045"/>
      <sheetName val="1_ER유체응용5"/>
      <sheetName val="4_시험장비5"/>
      <sheetName val="업체별_단가현황5"/>
      <sheetName val="일일_생산및판매계획_대_실적5"/>
      <sheetName val="임율_&amp;_LOT5"/>
      <sheetName val="생산계획_(2)5"/>
      <sheetName val="CR_CODE5"/>
      <sheetName val="THEME_CODE5"/>
      <sheetName val="비교원가제출_고5"/>
      <sheetName val="1_세부비교원가(내수)5"/>
      <sheetName val="1_종합비교원가(내수_일반_유럽)5"/>
      <sheetName val="10_예산_및_원가_계획(02년)5"/>
      <sheetName val="3_PT개발계획5"/>
      <sheetName val="Interco_&amp;_PVS_Loc_Cur4"/>
      <sheetName val="_9"/>
      <sheetName val="RFQ_18045"/>
      <sheetName val="full_(2)4"/>
      <sheetName val="보강사_소요량4"/>
      <sheetName val="J2(P_MT)4"/>
      <sheetName val="After_sales5"/>
      <sheetName val="고객불만_건5"/>
      <sheetName val="Moulding_data4"/>
      <sheetName val="자동차_종합지표5"/>
      <sheetName val="Production_Plan15"/>
      <sheetName val="Order_status5"/>
      <sheetName val="Order_status24"/>
      <sheetName val="Customer_Master4"/>
      <sheetName val="Common_code4"/>
      <sheetName val="Order_Status_Master4"/>
      <sheetName val="Product_Master4"/>
      <sheetName val="3_3검토국4"/>
      <sheetName val="DV_Flow_Chart_DV-PV1_(PFC)5"/>
      <sheetName val="MATEMST_(2)4"/>
      <sheetName val="Value_Analysis_-_Sheet_15"/>
      <sheetName val="_PPAP_작성중__xlsx5"/>
      <sheetName val="2_중요한회계정책5"/>
      <sheetName val="9_관계기업투자5"/>
      <sheetName val="42_리스5"/>
      <sheetName val="25_법인세5"/>
      <sheetName val="Supplier_QRQC4"/>
      <sheetName val="97계획(96_114"/>
      <sheetName val="S50_4"/>
      <sheetName val="첨부4_기술평가서4"/>
      <sheetName val="1_2_2완제품검사('00_4월)_(가라)4"/>
      <sheetName val="DBL_LPG시험5"/>
      <sheetName val="09년_현황5"/>
      <sheetName val="WTC_BODY一覧原紙5"/>
      <sheetName val="3월말_장기악성(국내)5"/>
      <sheetName val="2월말_장기악성(국내)5"/>
      <sheetName val="Data_Sheet5"/>
      <sheetName val="6_수입검사_5"/>
      <sheetName val="03_PFD-15"/>
      <sheetName val="12_Inv_5"/>
      <sheetName val="97년_재료예산(안)5"/>
      <sheetName val="1_터빈5"/>
      <sheetName val="cost_base_e_dati5"/>
      <sheetName val="2__Definitions5"/>
      <sheetName val="코드_조건표6"/>
      <sheetName val="HMC_사전원가(원혁기준)13%5"/>
      <sheetName val="재품별_단가5"/>
      <sheetName val="장비_전체리스트5"/>
      <sheetName val="_10"/>
      <sheetName val="집중검사_리스트5"/>
      <sheetName val="production_dept5"/>
      <sheetName val="검사협정_보충4"/>
      <sheetName val="Proj_List_00E5"/>
      <sheetName val="2012_Volum5"/>
      <sheetName val="B053_(990701)공정능력PC%계산4"/>
      <sheetName val="P&amp;L_account5"/>
      <sheetName val="국내_4"/>
      <sheetName val="4,5공장_4"/>
      <sheetName val="시트_4"/>
      <sheetName val="VERTICAL_PIPE4"/>
      <sheetName val="TABLE_DB4"/>
      <sheetName val="쌍용_data_base4"/>
      <sheetName val="2과_공수집계4"/>
      <sheetName val="118_세금과공과4"/>
      <sheetName val="경영재무_(입력)4"/>
      <sheetName val="연구개발_(입력)4"/>
      <sheetName val="일반현황_(입력)4"/>
      <sheetName val="품질관리_(입력)4"/>
      <sheetName val="실행내역서_5"/>
      <sheetName val="개발_LIST5"/>
      <sheetName val="PC%계산(WM_COMM단차)5"/>
      <sheetName val="차체_품안표5"/>
      <sheetName val="1_1_2008_OTIF5"/>
      <sheetName val="BAFFLE_HMC_TABLE15"/>
      <sheetName val="1~3월_지시사항5"/>
      <sheetName val="1_POSITIONING5"/>
      <sheetName val="무부하_회전수5"/>
      <sheetName val="진행중_설변5"/>
      <sheetName val="HOLE_9905(1)5"/>
      <sheetName val="Upgrades_pricing4"/>
      <sheetName val="7_3_DY팀4"/>
      <sheetName val="PNL_ASS'Y_CRASH_PAD_UPR_RH4"/>
      <sheetName val="공정능력(마운틴_홀_거리)4"/>
      <sheetName val="Summary_Sheet4"/>
      <sheetName val="Datasheet_for_KPI_Model_14"/>
      <sheetName val="TEAM하반기_계획_(2)4"/>
      <sheetName val="YOKE-H(10_3)4"/>
      <sheetName val="▶R_C_FRM4"/>
      <sheetName val="광주_소요량4"/>
      <sheetName val="5-Why_Root_Cause_Analysis_4"/>
      <sheetName val="초_성4"/>
      <sheetName val="CHECK_성4"/>
      <sheetName val="cpk_data4"/>
      <sheetName val="Drop-down_Lists4"/>
      <sheetName val="Bas_Moteur4"/>
      <sheetName val="1_기안을지4"/>
      <sheetName val="사무용품_신청4"/>
      <sheetName val="Validation_Lists4"/>
      <sheetName val="★금형비_계산서4"/>
      <sheetName val="LOWSIDE_비교4"/>
      <sheetName val="4_Vendor_price4"/>
      <sheetName val="14년_증판안_판촉4"/>
      <sheetName val="PS_SIDE_OTR_INR_공정개선_상세3"/>
      <sheetName val="제품별_매출5"/>
      <sheetName val="Data_Working_Time5"/>
      <sheetName val="Z41,Z42_이외total4"/>
      <sheetName val="원단위_1계_2계3"/>
      <sheetName val="11403-06163_เก่า3"/>
      <sheetName val="FM-HD_(New)3"/>
      <sheetName val="FM-HD_(HKMC)_3"/>
      <sheetName val="FM-HD_(11254-06201)__3"/>
      <sheetName val="FM-HD_(11251-06163)3"/>
      <sheetName val="FM-HD_(11514053)3"/>
      <sheetName val="FM-HD_(11611807)3"/>
      <sheetName val="FM-HD_(94502003)3"/>
      <sheetName val="FM-HD_(94501839)3"/>
      <sheetName val="FM-HD_(PT-GDENG0911-4)3"/>
      <sheetName val="FM-HD_(94520439)3"/>
      <sheetName val="FM-HD_(94500396)3"/>
      <sheetName val="FM-HD_(94500407)3"/>
      <sheetName val="FM-HD_(94500414)3"/>
      <sheetName val="FM-HD_(94500073)3"/>
      <sheetName val="FM-HD_(11588683)3"/>
      <sheetName val="FM-HD_(94500952)3"/>
      <sheetName val="FM-HD_(11569995)3"/>
      <sheetName val="FM-HD_(11254-06201)3"/>
      <sheetName val="FM-HD_(11588685)3"/>
      <sheetName val="FM-HD_(94500793)_3"/>
      <sheetName val="FM-HD_(11588717)3"/>
      <sheetName val="FM-HD_(HD-25198904)3"/>
      <sheetName val="FM-HD_(HD-11570514)_3"/>
      <sheetName val="FM-HD_(11097441)3"/>
      <sheetName val="FM-HD_(11588662)_3"/>
      <sheetName val="FM-HD_(11519387)3"/>
      <sheetName val="FM-HD_(11561969)3"/>
      <sheetName val="FM-HD_(11516580)3"/>
      <sheetName val="FM-HD_(11588712)___3"/>
      <sheetName val="FM-HD_(11519375)3"/>
      <sheetName val="FM-HD_(FAA32071001)__3"/>
      <sheetName val="FM-HD_(11519382)_3"/>
      <sheetName val="FM-HD_(11519383)_3"/>
      <sheetName val="FM-HD_(11561763)__3"/>
      <sheetName val="FM-HD_(11588316)__3"/>
      <sheetName val="97년"/>
      <sheetName val="비주거용"/>
      <sheetName val="누계"/>
      <sheetName val="조선용암면"/>
      <sheetName val="F12_BS"/>
      <sheetName val="F3_PL"/>
      <sheetName val="F4_PAJE"/>
      <sheetName val="모델표준"/>
      <sheetName val="Asset9809CAK"/>
      <sheetName val="업무연락"/>
      <sheetName val="가격품의서"/>
      <sheetName val="베어링하우징"/>
      <sheetName val="급여일반"/>
      <sheetName val="품번별"/>
      <sheetName val="全仕向地"/>
      <sheetName val="FM钢材消耗表"/>
      <sheetName val="9899DISC"/>
      <sheetName val="부서코드표"/>
      <sheetName val="HOU143A"/>
      <sheetName val="Kautex 4WD St.IV P&amp;D"/>
      <sheetName val="Sachs FL WHL"/>
      <sheetName val="지사"/>
      <sheetName val="TRW원가"/>
      <sheetName val="교육훈련절차서"/>
      <sheetName val="OEM "/>
      <sheetName val="August 2003"/>
      <sheetName val="OE UMC"/>
      <sheetName val="Analysis-Others Pg 4"/>
      <sheetName val="SEP 2007"/>
      <sheetName val="OUTSTANDING"/>
      <sheetName val="latest"/>
      <sheetName val="le_data"/>
      <sheetName val="MASTER_OE"/>
      <sheetName val="Fx Rates"/>
      <sheetName val="A6"/>
      <sheetName val="delta impedance(평균)"/>
      <sheetName val="0"/>
      <sheetName val=" 관리계획서_Rev.01.xlsx"/>
      <sheetName val="자료"/>
      <sheetName val="BS-E"/>
      <sheetName val="BS요약"/>
      <sheetName val="????ilencer"/>
      <sheetName val="A9AEDN01"/>
      <sheetName val="Mẫu DMVT"/>
      <sheetName val="Mẫu DMVT (2)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BUS"/>
      <sheetName val="LOAIXE"/>
      <sheetName val="Nguon PT xetai"/>
      <sheetName val="NGUON"/>
      <sheetName val="Nguon PT xe Ben"/>
      <sheetName val="Bien so"/>
      <sheetName val="DM KHAU HA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Mname"/>
      <sheetName val="1_TM14"/>
      <sheetName val="2_align14"/>
      <sheetName val="3_JUDDER14"/>
      <sheetName val="4_M_S14"/>
      <sheetName val="5_P_W_R14"/>
      <sheetName val="6_F_G14"/>
      <sheetName val="7__SCABLE14"/>
      <sheetName val="8_DIFF14"/>
      <sheetName val="9_A_C14"/>
      <sheetName val="10_GEAR14"/>
      <sheetName val="11_ISC14"/>
      <sheetName val="12_ALT14"/>
      <sheetName val="13_O_S14"/>
      <sheetName val="14_silencer14"/>
      <sheetName val="15_DAMPER14"/>
      <sheetName val="16_HUB14"/>
      <sheetName val="17_DLOCK14"/>
      <sheetName val="18_PSP14"/>
      <sheetName val="19_누수14"/>
      <sheetName val="20_K_S14"/>
      <sheetName val="二_POSITION_XLS14"/>
      <sheetName val="1ဲ_ALT14"/>
      <sheetName val="1ဳ_O_S14"/>
      <sheetName val="15_၄AMPER14"/>
      <sheetName val="GB-IC_Villingen_GG14"/>
      <sheetName val="OPT손익_내수14"/>
      <sheetName val="OPT손익_수출14"/>
      <sheetName val="JT3_0견적-구113"/>
      <sheetName val="BACK_DATA_08_7_1~14"/>
      <sheetName val="E_W14"/>
      <sheetName val="P_W14"/>
      <sheetName val="S_W14"/>
      <sheetName val="BACK_DATA14"/>
      <sheetName val="CASE_ASM13"/>
      <sheetName val="외주현황_wq114"/>
      <sheetName val="5_세운W-A14"/>
      <sheetName val="14_1부13"/>
      <sheetName val="B053_(990701)공정실적PP%계산14"/>
      <sheetName val="2_대외공문14"/>
      <sheetName val="1_변경범위14"/>
      <sheetName val="TEMP_TORQUE14"/>
      <sheetName val="3_일반사상13"/>
      <sheetName val="Evaluation_objects13"/>
      <sheetName val="LAMBDA_자작13"/>
      <sheetName val="설비능력및_종합공정능력산출시_사용13"/>
      <sheetName val="LX3_0_RR13"/>
      <sheetName val="진행_DATA_(2)14"/>
      <sheetName val="126_25513"/>
      <sheetName val="SUB_2월_재검사추이도13"/>
      <sheetName val="c_db19"/>
      <sheetName val="5_WIRE적용LIST13"/>
      <sheetName val="Nego_PV13"/>
      <sheetName val="매출종합_`0913"/>
      <sheetName val="소상_&quot;1&quot;13"/>
      <sheetName val="검사기준서_을_치수13"/>
      <sheetName val="검사기준서_갑13"/>
      <sheetName val="검사기준서_을13"/>
      <sheetName val="검사협정_갑13"/>
      <sheetName val="검사성적서_갑13"/>
      <sheetName val="검사성적서_을13"/>
      <sheetName val="검사성적서_병13"/>
      <sheetName val="팀별_합계13"/>
      <sheetName val="운임_환차손-Y14"/>
      <sheetName val="02년_SUC12"/>
      <sheetName val="내수1_8GL13"/>
      <sheetName val="ALPROFILE_발주실적12"/>
      <sheetName val="PRESS_DATA12"/>
      <sheetName val="MACRO1_XLM12"/>
      <sheetName val="개발_TOOL_집계표12"/>
      <sheetName val="경상_개발비12"/>
      <sheetName val="X-3_ENG12"/>
      <sheetName val="원단위_전후비교12"/>
      <sheetName val="Sheet1_(2)12"/>
      <sheetName val="차체부품_INS_REPORT(갑)13"/>
      <sheetName val="Sheet6_(3)12"/>
      <sheetName val="외주품_감점_유형_기준12"/>
      <sheetName val="FUEL_FILLER13"/>
      <sheetName val="_납촉자13"/>
      <sheetName val="3-2_귀책부서별_DT현황13"/>
      <sheetName val="1_2내수12"/>
      <sheetName val="3__관리점지수실적-1_1생산성12"/>
      <sheetName val="실적_및_계획12"/>
      <sheetName val="Bosch_ADVP&amp;R12"/>
      <sheetName val="CAPA분석_360K9"/>
      <sheetName val="Cost_Reduction12"/>
      <sheetName val="GLOBAL_PT_NEW_FORMAT_OCT_200212"/>
      <sheetName val="계산_DATA_입력12"/>
      <sheetName val="상세_계산_내역12"/>
      <sheetName val="FLOW_PROSES_(A)9"/>
      <sheetName val="Master_Cable12"/>
      <sheetName val="_SR3차원단위_(3)6"/>
      <sheetName val="ERP도입후_시정현황6"/>
      <sheetName val="6_N_m_CCW_전류6"/>
      <sheetName val="Purchasing_Data6"/>
      <sheetName val="포머_비가동_내역7"/>
      <sheetName val="FRONT_HUB견적가7"/>
      <sheetName val="J150_승인진도관리_LIST6"/>
      <sheetName val="TOTAL_LIST6"/>
      <sheetName val="Price_Range6"/>
      <sheetName val="FTR_MACRo6"/>
      <sheetName val="일일_업무_현황_(3)7"/>
      <sheetName val="일일_업무_현황_(5)7"/>
      <sheetName val="MPL_技連7"/>
      <sheetName val="342E_BLOCK7"/>
      <sheetName val="금형_(2)7"/>
      <sheetName val="VS1_Paretto분석7"/>
      <sheetName val="0_절삭조건7"/>
      <sheetName val="DATA_BASE6"/>
      <sheetName val="02_07_27_부품판매가6"/>
      <sheetName val="협력사_일반현황7"/>
      <sheetName val="Sec_1_-_RFQ12"/>
      <sheetName val="1-1_General_Code6"/>
      <sheetName val="VPP(BD-010)_이상보고6"/>
      <sheetName val="공정능력_(2)12"/>
      <sheetName val="Sch7a_(토요일)12"/>
      <sheetName val="c_db110"/>
      <sheetName val="Rate_data12"/>
      <sheetName val="대외공문_6"/>
      <sheetName val="PRO_(참조)12"/>
      <sheetName val="2차_OIL량측정6"/>
      <sheetName val="Actual_In_&amp;_Out5"/>
      <sheetName val="4_3_첨부16"/>
      <sheetName val="업무분장_6"/>
      <sheetName val="GLOBAL_PT_NEW_FORMAT_JULY__2007"/>
      <sheetName val="INVESTMENT_(Hardware)7"/>
      <sheetName val="신고서_전6"/>
      <sheetName val="Basic_assumptions6"/>
      <sheetName val="영업_일16"/>
      <sheetName val="PFMEA_XLS6"/>
      <sheetName val="2008_г6"/>
      <sheetName val="RELAY_FAX양식6"/>
      <sheetName val="상세_견적서_(HMC)6"/>
      <sheetName val="OEM_Plan6"/>
      <sheetName val="제품명_(3)6"/>
      <sheetName val="LINE_운영안5"/>
      <sheetName val="P&amp;L,Bal_Sheet,Cash_Forecast6"/>
      <sheetName val="OEM_이의제기_종합5"/>
      <sheetName val="원가_종합6"/>
      <sheetName val="공정별공법-W_HSE-LH6"/>
      <sheetName val="GM_Master6"/>
      <sheetName val="생산현황_(입력)6"/>
      <sheetName val="MPS_Q3_FY046"/>
      <sheetName val="MPS_Q4_FY046"/>
      <sheetName val="1_ER유체응용6"/>
      <sheetName val="4_시험장비6"/>
      <sheetName val="업체별_단가현황6"/>
      <sheetName val="일일_생산및판매계획_대_실적6"/>
      <sheetName val="임율_&amp;_LOT6"/>
      <sheetName val="생산계획_(2)6"/>
      <sheetName val="CR_CODE6"/>
      <sheetName val="THEME_CODE6"/>
      <sheetName val="비교원가제출_고6"/>
      <sheetName val="1_세부비교원가(내수)6"/>
      <sheetName val="1_종합비교원가(내수_일반_유럽)6"/>
      <sheetName val="10_예산_및_원가_계획(02년)6"/>
      <sheetName val="3_PT개발계획6"/>
      <sheetName val="Interco_&amp;_PVS_Loc_Cur5"/>
      <sheetName val="_11"/>
      <sheetName val="RFQ_18046"/>
      <sheetName val="full_(2)5"/>
      <sheetName val="보강사_소요량5"/>
      <sheetName val="J2(P_MT)5"/>
      <sheetName val="After_sales6"/>
      <sheetName val="고객불만_건6"/>
      <sheetName val="Moulding_data5"/>
      <sheetName val="자동차_종합지표6"/>
      <sheetName val="Production_Plan16"/>
      <sheetName val="Order_status6"/>
      <sheetName val="Order_status25"/>
      <sheetName val="Customer_Master5"/>
      <sheetName val="Common_code5"/>
      <sheetName val="Order_Status_Master5"/>
      <sheetName val="Product_Master5"/>
      <sheetName val="3_3검토국5"/>
      <sheetName val="DV_Flow_Chart_DV-PV1_(PFC)6"/>
      <sheetName val="MATEMST_(2)5"/>
      <sheetName val="Value_Analysis_-_Sheet_16"/>
      <sheetName val="_PPAP_작성중__xlsx6"/>
      <sheetName val="2_중요한회계정책6"/>
      <sheetName val="9_관계기업투자6"/>
      <sheetName val="42_리스6"/>
      <sheetName val="25_법인세6"/>
      <sheetName val="Supplier_QRQC5"/>
      <sheetName val="97계획(96_115"/>
      <sheetName val="S50_5"/>
      <sheetName val="첨부4_기술평가서5"/>
      <sheetName val="1_2_2완제품검사('00_4월)_(가라)5"/>
      <sheetName val="DBL_LPG시험6"/>
      <sheetName val="09년_현황6"/>
      <sheetName val="WTC_BODY一覧原紙6"/>
      <sheetName val="3월말_장기악성(국내)6"/>
      <sheetName val="2월말_장기악성(국내)6"/>
      <sheetName val="Data_Sheet6"/>
      <sheetName val="6_수입검사_6"/>
      <sheetName val="03_PFD-16"/>
      <sheetName val="12_Inv_6"/>
      <sheetName val="97년_재료예산(안)6"/>
      <sheetName val="1_터빈6"/>
      <sheetName val="cost_base_e_dati6"/>
      <sheetName val="2__Definitions6"/>
      <sheetName val="코드_조건표7"/>
      <sheetName val="HMC_사전원가(원혁기준)13%6"/>
      <sheetName val="재품별_단가6"/>
      <sheetName val="장비_전체리스트6"/>
      <sheetName val="_12"/>
      <sheetName val="집중검사_리스트6"/>
      <sheetName val="production_dept6"/>
      <sheetName val="검사협정_보충5"/>
      <sheetName val="Proj_List_00E6"/>
      <sheetName val="2012_Volum6"/>
      <sheetName val="B053_(990701)공정능력PC%계산5"/>
      <sheetName val="P&amp;L_account6"/>
      <sheetName val="국내_5"/>
      <sheetName val="4,5공장_5"/>
      <sheetName val="시트_5"/>
      <sheetName val="VERTICAL_PIPE5"/>
      <sheetName val="TABLE_DB5"/>
      <sheetName val="쌍용_data_base5"/>
      <sheetName val="2과_공수집계5"/>
      <sheetName val="118_세금과공과5"/>
      <sheetName val="경영재무_(입력)5"/>
      <sheetName val="연구개발_(입력)5"/>
      <sheetName val="일반현황_(입력)5"/>
      <sheetName val="품질관리_(입력)5"/>
      <sheetName val="실행내역서_6"/>
      <sheetName val="개발_LIST6"/>
      <sheetName val="PC%계산(WM_COMM단차)6"/>
      <sheetName val="차체_품안표6"/>
      <sheetName val="1_1_2008_OTIF6"/>
      <sheetName val="BAFFLE_HMC_TABLE16"/>
      <sheetName val="1~3월_지시사항6"/>
      <sheetName val="1_POSITIONING6"/>
      <sheetName val="무부하_회전수6"/>
      <sheetName val="진행중_설변6"/>
      <sheetName val="HOLE_9905(1)6"/>
      <sheetName val="Upgrades_pricing5"/>
      <sheetName val="7_3_DY팀5"/>
      <sheetName val="PNL_ASS'Y_CRASH_PAD_UPR_RH5"/>
      <sheetName val="공정능력(마운틴_홀_거리)5"/>
      <sheetName val="Summary_Sheet5"/>
      <sheetName val="Datasheet_for_KPI_Model_15"/>
      <sheetName val="TEAM하반기_계획_(2)5"/>
      <sheetName val="YOKE-H(10_3)5"/>
      <sheetName val="▶R_C_FRM5"/>
      <sheetName val="광주_소요량5"/>
      <sheetName val="5-Why_Root_Cause_Analysis_5"/>
      <sheetName val="초_성5"/>
      <sheetName val="CHECK_성5"/>
      <sheetName val="cpk_data5"/>
      <sheetName val="Drop-down_Lists5"/>
      <sheetName val="Bas_Moteur5"/>
      <sheetName val="1_기안을지5"/>
      <sheetName val="사무용품_신청5"/>
      <sheetName val="Validation_Lists5"/>
      <sheetName val="★금형비_계산서5"/>
      <sheetName val="LOWSIDE_비교5"/>
      <sheetName val="4_Vendor_price5"/>
      <sheetName val="14년_증판안_판촉5"/>
      <sheetName val="PS_SIDE_OTR_INR_공정개선_상세4"/>
      <sheetName val="제품별_매출6"/>
      <sheetName val="Data_Working_Time6"/>
      <sheetName val="Z41,Z42_이외total5"/>
      <sheetName val="원단위_1계_2계4"/>
      <sheetName val="11403-06163_เก่า4"/>
      <sheetName val="FM-HD_(New)4"/>
      <sheetName val="FM-HD_(HKMC)_4"/>
      <sheetName val="FM-HD_(11254-06201)__4"/>
      <sheetName val="FM-HD_(11251-06163)4"/>
      <sheetName val="FM-HD_(11514053)4"/>
      <sheetName val="FM-HD_(11611807)4"/>
      <sheetName val="FM-HD_(94502003)4"/>
      <sheetName val="FM-HD_(94501839)4"/>
      <sheetName val="FM-HD_(PT-GDENG0911-4)4"/>
      <sheetName val="FM-HD_(94520439)4"/>
      <sheetName val="FM-HD_(94500396)4"/>
      <sheetName val="FM-HD_(94500407)4"/>
      <sheetName val="FM-HD_(94500414)4"/>
      <sheetName val="FM-HD_(94500073)4"/>
      <sheetName val="FM-HD_(11588683)4"/>
      <sheetName val="FM-HD_(94500952)4"/>
      <sheetName val="FM-HD_(11569995)4"/>
      <sheetName val="FM-HD_(11254-06201)4"/>
      <sheetName val="FM-HD_(11588685)4"/>
      <sheetName val="FM-HD_(94500793)_4"/>
      <sheetName val="FM-HD_(11588717)4"/>
      <sheetName val="FM-HD_(HD-25198904)4"/>
      <sheetName val="FM-HD_(HD-11570514)_4"/>
      <sheetName val="FM-HD_(11097441)4"/>
      <sheetName val="FM-HD_(11588662)_4"/>
      <sheetName val="FM-HD_(11519387)4"/>
      <sheetName val="FM-HD_(11561969)4"/>
      <sheetName val="FM-HD_(11516580)4"/>
      <sheetName val="FM-HD_(11588712)___4"/>
      <sheetName val="FM-HD_(11519375)4"/>
      <sheetName val="FM-HD_(FAA32071001)__4"/>
      <sheetName val="FM-HD_(11519382)_4"/>
      <sheetName val="FM-HD_(11519383)_4"/>
      <sheetName val="FM-HD_(11561763)__4"/>
      <sheetName val="FM-HD_(11588316)__4"/>
      <sheetName val="Net_Revenue"/>
      <sheetName val="기초_데이터"/>
      <sheetName val="중요차종_(090131)"/>
      <sheetName val="99년12월_실적DATA"/>
      <sheetName val="7)_13367734"/>
      <sheetName val="Actual_data"/>
      <sheetName val="_하반기_경비_조정계획_150627(사계_r2_기준)_x"/>
      <sheetName val="표지_(2)"/>
      <sheetName val="220_(2)"/>
      <sheetName val="1_TM15"/>
      <sheetName val="2_align15"/>
      <sheetName val="3_JUDDER15"/>
      <sheetName val="4_M_S15"/>
      <sheetName val="5_P_W_R15"/>
      <sheetName val="6_F_G15"/>
      <sheetName val="7__SCABLE15"/>
      <sheetName val="8_DIFF15"/>
      <sheetName val="9_A_C15"/>
      <sheetName val="10_GEAR15"/>
      <sheetName val="11_ISC15"/>
      <sheetName val="12_ALT15"/>
      <sheetName val="13_O_S15"/>
      <sheetName val="14_silencer15"/>
      <sheetName val="15_DAMPER15"/>
      <sheetName val="16_HUB15"/>
      <sheetName val="17_DLOCK15"/>
      <sheetName val="18_PSP15"/>
      <sheetName val="19_누수15"/>
      <sheetName val="20_K_S15"/>
      <sheetName val="二_POSITION_XLS15"/>
      <sheetName val="1ဲ_ALT15"/>
      <sheetName val="1ဳ_O_S15"/>
      <sheetName val="15_၄AMPER15"/>
      <sheetName val="GB-IC_Villingen_GG15"/>
      <sheetName val="OPT손익_내수15"/>
      <sheetName val="OPT손익_수출15"/>
      <sheetName val="JT3_0견적-구114"/>
      <sheetName val="BACK_DATA_08_7_1~15"/>
      <sheetName val="E_W15"/>
      <sheetName val="P_W15"/>
      <sheetName val="S_W15"/>
      <sheetName val="BACK_DATA15"/>
      <sheetName val="CASE_ASM14"/>
      <sheetName val="외주현황_wq115"/>
      <sheetName val="5_세운W-A15"/>
      <sheetName val="14_1부14"/>
      <sheetName val="B053_(990701)공정실적PP%계산15"/>
      <sheetName val="2_대외공문15"/>
      <sheetName val="1_변경범위15"/>
      <sheetName val="TEMP_TORQUE15"/>
      <sheetName val="3_일반사상14"/>
      <sheetName val="Evaluation_objects14"/>
      <sheetName val="LAMBDA_자작14"/>
      <sheetName val="설비능력및_종합공정능력산출시_사용14"/>
      <sheetName val="LX3_0_RR14"/>
      <sheetName val="진행_DATA_(2)15"/>
      <sheetName val="126_25514"/>
      <sheetName val="SUB_2월_재검사추이도14"/>
      <sheetName val="c_db20"/>
      <sheetName val="5_WIRE적용LIST14"/>
      <sheetName val="Nego_PV14"/>
      <sheetName val="매출종합_`0914"/>
      <sheetName val="소상_&quot;1&quot;14"/>
      <sheetName val="검사기준서_을_치수14"/>
      <sheetName val="검사기준서_갑14"/>
      <sheetName val="검사기준서_을14"/>
      <sheetName val="검사협정_갑14"/>
      <sheetName val="검사성적서_갑14"/>
      <sheetName val="검사성적서_을14"/>
      <sheetName val="검사성적서_병14"/>
      <sheetName val="팀별_합계14"/>
      <sheetName val="운임_환차손-Y15"/>
      <sheetName val="02년_SUC13"/>
      <sheetName val="내수1_8GL14"/>
      <sheetName val="ALPROFILE_발주실적13"/>
      <sheetName val="PRESS_DATA13"/>
      <sheetName val="MACRO1_XLM13"/>
      <sheetName val="개발_TOOL_집계표13"/>
      <sheetName val="경상_개발비13"/>
      <sheetName val="X-3_ENG13"/>
      <sheetName val="원단위_전후비교13"/>
      <sheetName val="Sheet1_(2)13"/>
      <sheetName val="차체부품_INS_REPORT(갑)14"/>
      <sheetName val="Sheet6_(3)13"/>
      <sheetName val="외주품_감점_유형_기준13"/>
      <sheetName val="FUEL_FILLER14"/>
      <sheetName val="_납촉자14"/>
      <sheetName val="3-2_귀책부서별_DT현황14"/>
      <sheetName val="1_2내수13"/>
      <sheetName val="3__관리점지수실적-1_1생산성13"/>
      <sheetName val="실적_및_계획13"/>
      <sheetName val="Bosch_ADVP&amp;R13"/>
      <sheetName val="CAPA분석_360K10"/>
      <sheetName val="Cost_Reduction13"/>
      <sheetName val="GLOBAL_PT_NEW_FORMAT_OCT_200213"/>
      <sheetName val="계산_DATA_입력13"/>
      <sheetName val="상세_계산_내역13"/>
      <sheetName val="FLOW_PROSES_(A)10"/>
      <sheetName val="Master_Cable13"/>
      <sheetName val="_SR3차원단위_(3)7"/>
      <sheetName val="ERP도입후_시정현황7"/>
      <sheetName val="6_N_m_CCW_전류7"/>
      <sheetName val="Purchasing_Data7"/>
      <sheetName val="포머_비가동_내역8"/>
      <sheetName val="FRONT_HUB견적가8"/>
      <sheetName val="J150_승인진도관리_LIST7"/>
      <sheetName val="TOTAL_LIST7"/>
      <sheetName val="Price_Range7"/>
      <sheetName val="FTR_MACRo7"/>
      <sheetName val="일일_업무_현황_(3)8"/>
      <sheetName val="일일_업무_현황_(5)8"/>
      <sheetName val="MPL_技連8"/>
      <sheetName val="342E_BLOCK8"/>
      <sheetName val="금형_(2)8"/>
      <sheetName val="VS1_Paretto분석8"/>
      <sheetName val="0_절삭조건8"/>
      <sheetName val="DATA_BASE7"/>
      <sheetName val="02_07_27_부품판매가7"/>
      <sheetName val="협력사_일반현황8"/>
      <sheetName val="Sec_1_-_RFQ13"/>
      <sheetName val="1-1_General_Code7"/>
      <sheetName val="VPP(BD-010)_이상보고7"/>
      <sheetName val="공정능력_(2)13"/>
      <sheetName val="Sch7a_(토요일)13"/>
      <sheetName val="c_db111"/>
      <sheetName val="Rate_data13"/>
      <sheetName val="대외공문_7"/>
      <sheetName val="PRO_(참조)13"/>
      <sheetName val="2차_OIL량측정7"/>
      <sheetName val="Actual_In_&amp;_Out6"/>
      <sheetName val="4_3_첨부17"/>
      <sheetName val="업무분장_7"/>
      <sheetName val="GLOBAL_PT_NEW_FORMAT_JULY__2008"/>
      <sheetName val="INVESTMENT_(Hardware)8"/>
      <sheetName val="신고서_전7"/>
      <sheetName val="Basic_assumptions7"/>
      <sheetName val="영업_일17"/>
      <sheetName val="PFMEA_XLS7"/>
      <sheetName val="2008_г7"/>
      <sheetName val="RELAY_FAX양식7"/>
      <sheetName val="상세_견적서_(HMC)7"/>
      <sheetName val="OEM_Plan7"/>
      <sheetName val="제품명_(3)7"/>
      <sheetName val="LINE_운영안6"/>
      <sheetName val="P&amp;L,Bal_Sheet,Cash_Forecast7"/>
      <sheetName val="OEM_이의제기_종합6"/>
      <sheetName val="원가_종합7"/>
      <sheetName val="공정별공법-W_HSE-LH7"/>
      <sheetName val="GM_Master7"/>
      <sheetName val="생산현황_(입력)7"/>
      <sheetName val="MPS_Q3_FY047"/>
      <sheetName val="MPS_Q4_FY047"/>
      <sheetName val="1_ER유체응용7"/>
      <sheetName val="4_시험장비7"/>
      <sheetName val="업체별_단가현황7"/>
      <sheetName val="일일_생산및판매계획_대_실적7"/>
      <sheetName val="임율_&amp;_LOT7"/>
      <sheetName val="생산계획_(2)7"/>
      <sheetName val="CR_CODE7"/>
      <sheetName val="THEME_CODE7"/>
      <sheetName val="비교원가제출_고7"/>
      <sheetName val="1_세부비교원가(내수)7"/>
      <sheetName val="1_종합비교원가(내수_일반_유럽)7"/>
      <sheetName val="10_예산_및_원가_계획(02년)7"/>
      <sheetName val="3_PT개발계획7"/>
      <sheetName val="Interco_&amp;_PVS_Loc_Cur6"/>
      <sheetName val="_13"/>
      <sheetName val="RFQ_18047"/>
      <sheetName val="full_(2)6"/>
      <sheetName val="보강사_소요량6"/>
      <sheetName val="J2(P_MT)6"/>
      <sheetName val="After_sales7"/>
      <sheetName val="고객불만_건7"/>
      <sheetName val="Moulding_data6"/>
      <sheetName val="자동차_종합지표7"/>
      <sheetName val="Production_Plan17"/>
      <sheetName val="Order_status7"/>
      <sheetName val="Order_status26"/>
      <sheetName val="Customer_Master6"/>
      <sheetName val="Common_code6"/>
      <sheetName val="Order_Status_Master6"/>
      <sheetName val="Product_Master6"/>
      <sheetName val="3_3검토국6"/>
      <sheetName val="DV_Flow_Chart_DV-PV1_(PFC)7"/>
      <sheetName val="MATEMST_(2)6"/>
      <sheetName val="Value_Analysis_-_Sheet_17"/>
      <sheetName val="_PPAP_작성중__xlsx7"/>
      <sheetName val="2_중요한회계정책7"/>
      <sheetName val="9_관계기업투자7"/>
      <sheetName val="42_리스7"/>
      <sheetName val="25_법인세7"/>
      <sheetName val="Supplier_QRQC6"/>
      <sheetName val="97계획(96_116"/>
      <sheetName val="S50_6"/>
      <sheetName val="첨부4_기술평가서6"/>
      <sheetName val="1_2_2완제품검사('00_4월)_(가라)6"/>
      <sheetName val="DBL_LPG시험7"/>
      <sheetName val="09년_현황7"/>
      <sheetName val="WTC_BODY一覧原紙7"/>
      <sheetName val="3월말_장기악성(국내)7"/>
      <sheetName val="2월말_장기악성(국내)7"/>
      <sheetName val="Data_Sheet7"/>
      <sheetName val="6_수입검사_7"/>
      <sheetName val="03_PFD-17"/>
      <sheetName val="12_Inv_7"/>
      <sheetName val="97년_재료예산(안)7"/>
      <sheetName val="1_터빈7"/>
      <sheetName val="cost_base_e_dati7"/>
      <sheetName val="2__Definitions7"/>
      <sheetName val="코드_조건표8"/>
      <sheetName val="HMC_사전원가(원혁기준)13%7"/>
      <sheetName val="재품별_단가7"/>
      <sheetName val="장비_전체리스트7"/>
      <sheetName val="_14"/>
      <sheetName val="집중검사_리스트7"/>
      <sheetName val="production_dept7"/>
      <sheetName val="검사협정_보충6"/>
      <sheetName val="Proj_List_00E7"/>
      <sheetName val="2012_Volum7"/>
      <sheetName val="B053_(990701)공정능력PC%계산6"/>
      <sheetName val="P&amp;L_account7"/>
      <sheetName val="국내_6"/>
      <sheetName val="4,5공장_6"/>
      <sheetName val="시트_6"/>
      <sheetName val="VERTICAL_PIPE6"/>
      <sheetName val="TABLE_DB6"/>
      <sheetName val="쌍용_data_base6"/>
      <sheetName val="2과_공수집계6"/>
      <sheetName val="118_세금과공과6"/>
      <sheetName val="경영재무_(입력)6"/>
      <sheetName val="연구개발_(입력)6"/>
      <sheetName val="일반현황_(입력)6"/>
      <sheetName val="품질관리_(입력)6"/>
      <sheetName val="실행내역서_7"/>
      <sheetName val="개발_LIST7"/>
      <sheetName val="PC%계산(WM_COMM단차)7"/>
      <sheetName val="차체_품안표7"/>
      <sheetName val="1_1_2008_OTIF7"/>
      <sheetName val="BAFFLE_HMC_TABLE17"/>
      <sheetName val="1~3월_지시사항7"/>
      <sheetName val="1_POSITIONING7"/>
      <sheetName val="무부하_회전수7"/>
      <sheetName val="진행중_설변7"/>
      <sheetName val="HOLE_9905(1)7"/>
      <sheetName val="Upgrades_pricing6"/>
      <sheetName val="7_3_DY팀6"/>
      <sheetName val="PNL_ASS'Y_CRASH_PAD_UPR_RH6"/>
      <sheetName val="공정능력(마운틴_홀_거리)6"/>
      <sheetName val="Summary_Sheet6"/>
      <sheetName val="Datasheet_for_KPI_Model_16"/>
      <sheetName val="TEAM하반기_계획_(2)6"/>
      <sheetName val="YOKE-H(10_3)6"/>
      <sheetName val="▶R_C_FRM6"/>
      <sheetName val="광주_소요량6"/>
      <sheetName val="5-Why_Root_Cause_Analysis_6"/>
      <sheetName val="초_성6"/>
      <sheetName val="CHECK_성6"/>
      <sheetName val="cpk_data6"/>
      <sheetName val="Drop-down_Lists6"/>
      <sheetName val="Bas_Moteur6"/>
      <sheetName val="1_기안을지6"/>
      <sheetName val="사무용품_신청6"/>
      <sheetName val="Validation_Lists6"/>
      <sheetName val="★금형비_계산서6"/>
      <sheetName val="LOWSIDE_비교6"/>
      <sheetName val="4_Vendor_price6"/>
      <sheetName val="14년_증판안_판촉6"/>
      <sheetName val="PS_SIDE_OTR_INR_공정개선_상세5"/>
      <sheetName val="제품별_매출7"/>
      <sheetName val="Data_Working_Time7"/>
      <sheetName val="Z41,Z42_이외total6"/>
      <sheetName val="원단위_1계_2계5"/>
      <sheetName val="11403-06163_เก่า5"/>
      <sheetName val="FM-HD_(New)5"/>
      <sheetName val="FM-HD_(HKMC)_5"/>
      <sheetName val="FM-HD_(11254-06201)__5"/>
      <sheetName val="FM-HD_(11251-06163)5"/>
      <sheetName val="FM-HD_(11514053)5"/>
      <sheetName val="FM-HD_(11611807)5"/>
      <sheetName val="FM-HD_(94502003)5"/>
      <sheetName val="FM-HD_(94501839)5"/>
      <sheetName val="FM-HD_(PT-GDENG0911-4)5"/>
      <sheetName val="FM-HD_(94520439)5"/>
      <sheetName val="FM-HD_(94500396)5"/>
      <sheetName val="FM-HD_(94500407)5"/>
      <sheetName val="FM-HD_(94500414)5"/>
      <sheetName val="FM-HD_(94500073)5"/>
      <sheetName val="FM-HD_(11588683)5"/>
      <sheetName val="FM-HD_(94500952)5"/>
      <sheetName val="FM-HD_(11569995)5"/>
      <sheetName val="FM-HD_(11254-06201)5"/>
      <sheetName val="FM-HD_(11588685)5"/>
      <sheetName val="FM-HD_(94500793)_5"/>
      <sheetName val="FM-HD_(11588717)5"/>
      <sheetName val="FM-HD_(HD-25198904)5"/>
      <sheetName val="FM-HD_(HD-11570514)_5"/>
      <sheetName val="FM-HD_(11097441)5"/>
      <sheetName val="FM-HD_(11588662)_5"/>
      <sheetName val="FM-HD_(11519387)5"/>
      <sheetName val="FM-HD_(11561969)5"/>
      <sheetName val="FM-HD_(11516580)5"/>
      <sheetName val="FM-HD_(11588712)___5"/>
      <sheetName val="FM-HD_(11519375)5"/>
      <sheetName val="FM-HD_(FAA32071001)__5"/>
      <sheetName val="FM-HD_(11519382)_5"/>
      <sheetName val="FM-HD_(11519383)_5"/>
      <sheetName val="FM-HD_(11561763)__5"/>
      <sheetName val="FM-HD_(11588316)__5"/>
      <sheetName val="TL_PROTO_2열1"/>
      <sheetName val="Net_Revenue1"/>
      <sheetName val="기초_데이터1"/>
      <sheetName val="신흥테크_세부내역_LIST1"/>
      <sheetName val="중요차종_(090131)1"/>
      <sheetName val="99년12월_실적DATA1"/>
      <sheetName val="7)_133677341"/>
      <sheetName val="Issues_List1"/>
      <sheetName val="(2)월생산현황_1"/>
      <sheetName val="LINE_PPM-분석1"/>
      <sheetName val="Actual_data1"/>
      <sheetName val="PACKING_LIST1"/>
      <sheetName val="COOLING_UNIT1"/>
      <sheetName val="#1-1_(2)1"/>
      <sheetName val="기초_DATA1"/>
      <sheetName val="_하반기_경비_조정계획_150627(사계_r2_기준)_1"/>
      <sheetName val="표지_(2)1"/>
      <sheetName val="2-2_매출분석1"/>
      <sheetName val="220_(2)1"/>
      <sheetName val="계정등록"/>
      <sheetName val="기타등록"/>
      <sheetName val="FMEA"/>
      <sheetName val="96원가"/>
      <sheetName val="환산"/>
      <sheetName val="인원계획"/>
      <sheetName val="Parm"/>
      <sheetName val="공정능력계산"/>
      <sheetName val="숨기기2-목록"/>
      <sheetName val="Model Synthesis Report"/>
      <sheetName val="◀양식(PAD)"/>
      <sheetName val="전체팛ĭ"/>
      <sheetName val="_x005f_x005f_x005f_x0000__x005f_x005f_x005f_x0000__x005"/>
      <sheetName val="Sheet"/>
      <sheetName val="_x005f_x005f_x005f_x005f_x005f_x005f_x005f_x0000__x005f"/>
      <sheetName val="금형 이력 카드"/>
      <sheetName val="PIVOT"/>
      <sheetName val="KXV01"/>
      <sheetName val="FA-LISTING"/>
      <sheetName val="계산서"/>
      <sheetName val="협력점직원"/>
      <sheetName val="(실사조정)총괄"/>
      <sheetName val="현금및현금등가물1"/>
      <sheetName val="4.경비 5.영업외수지"/>
      <sheetName val="가수금대체"/>
      <sheetName val="운반비"/>
      <sheetName val="Arbeitsfolgeplan"/>
      <sheetName val="Leistungberechnung"/>
      <sheetName val="실적1"/>
      <sheetName val="실적2"/>
      <sheetName val="실적3"/>
      <sheetName val="실적4"/>
      <sheetName val="실적5"/>
      <sheetName val="실적6"/>
      <sheetName val="실적7"/>
      <sheetName val="실적8"/>
      <sheetName val="2019년 생산수량"/>
      <sheetName val="19년 종합 CT"/>
      <sheetName val="승용STEEL"/>
      <sheetName val="Sch1 - P&amp;L Summary"/>
      <sheetName val="Sch2 - BalSht Summary"/>
      <sheetName val="Sch3 - CFlow Summary"/>
      <sheetName val="Setup"/>
      <sheetName val="Tables"/>
      <sheetName val="Pt Rates"/>
      <sheetName val="분담율"/>
      <sheetName val="FY 12_Interiors Volume"/>
      <sheetName val="FY12_PP_Sales"/>
      <sheetName val="INT_Price_FY12 MFC"/>
      <sheetName val="9806-9901"/>
      <sheetName val="seat-sdn only"/>
      <sheetName val="6월"/>
      <sheetName val="국가DATA"/>
      <sheetName val="2.(1설원.첨)"/>
      <sheetName val="일반PAD"/>
      <sheetName val="Kalkulation"/>
      <sheetName val="部品"/>
      <sheetName val="製品別販売予算"/>
      <sheetName val="누TB"/>
      <sheetName val="유형자산대장"/>
      <sheetName val="7월손익"/>
      <sheetName val="5131"/>
      <sheetName val="Schedule_1"/>
      <sheetName val="CAR_Form_Summary"/>
      <sheetName val="FY_12_Interiors_Volume"/>
      <sheetName val="INT_Price_FY12_MFC"/>
      <sheetName val="Europe_PU-1"/>
      <sheetName val="MexiqueVente䋈᮱ꋀ"/>
      <sheetName val="MexiqueVenteȌ_x0000_반"/>
      <sheetName val="금형대장"/>
      <sheetName val="AD원"/>
      <sheetName val="RSDB"/>
      <sheetName val="WSDB"/>
      <sheetName val="ROLL"/>
      <sheetName val="95MAKER"/>
      <sheetName val="GAGE R&amp;R(FRT UPR)"/>
      <sheetName val="중공업 실적"/>
      <sheetName val="16-1531"/>
      <sheetName val="2-1.제품군별계획대비실적(B.A)"/>
      <sheetName val="LINE_VENT"/>
      <sheetName val="노무비"/>
      <sheetName val="신공항A-9(원가수정)"/>
      <sheetName val="감독1130"/>
      <sheetName val="RECIMAKE"/>
      <sheetName val="재(실)"/>
      <sheetName val="매출생산"/>
      <sheetName val="R+N+D+L"/>
      <sheetName val="대구"/>
      <sheetName val="W6"/>
      <sheetName val="QUALITY_CHART"/>
      <sheetName val="Organization chart20191002"/>
      <sheetName val="RESPONSIBILITY MATRIX"/>
      <sheetName val="은행"/>
      <sheetName val="2-row_Opt_table"/>
      <sheetName val="Danh sach"/>
      <sheetName val="THƯ VIỆN"/>
      <sheetName val="PC%계산RH"/>
      <sheetName val="BASE"/>
      <sheetName val="Q302"/>
      <sheetName val="打分表"/>
      <sheetName val="주일현황"/>
      <sheetName val="Costed BOM 2ndR 40%"/>
      <sheetName val="산출기준(파견전산실)"/>
      <sheetName val="출력-생산일보"/>
      <sheetName val="품목표"/>
      <sheetName val="Volumes"/>
      <sheetName val="SCP 4"/>
      <sheetName val="SCP 5 D2UXT"/>
      <sheetName val="SCP 6 D2UX"/>
      <sheetName val="Invest (MAC)"/>
      <sheetName val="SCP Apr2015"/>
      <sheetName val="8월3주"/>
      <sheetName val="6월재고2"/>
      <sheetName val="XMA 12월 8,000대 원,부자재_完"/>
      <sheetName val="YFA 10월분 원자재(10.12)_미납완료_完"/>
      <sheetName val="YFA 10월분 부자재(10.7,9)_FEDEX_完"/>
      <sheetName val="원재료불량"/>
      <sheetName val="sapactivexlhiddensheet"/>
      <sheetName val="선재"/>
      <sheetName val="생산실적입력"/>
      <sheetName val="법인세부담액"/>
      <sheetName val="등록자료"/>
      <sheetName val="입력정보"/>
      <sheetName val="여신보고용"/>
      <sheetName val="서진단가"/>
      <sheetName val="기아계획"/>
      <sheetName val="9609추"/>
      <sheetName val="0.CHMSL LED ASSY"/>
      <sheetName val="변환테이블"/>
      <sheetName val="불량 리스트"/>
      <sheetName val="불량 코드"/>
      <sheetName val="그림목록"/>
      <sheetName val="침탄데이타"/>
      <sheetName val="Team 종합"/>
      <sheetName val="LEGAN"/>
      <sheetName val="品質保証責任者届"/>
      <sheetName val="sheet17"/>
      <sheetName val="PV"/>
      <sheetName val="귀책별TOP"/>
      <sheetName val="RHW"/>
      <sheetName val="부서별1월"/>
      <sheetName val="1.세부비교_x001b__x0000__x0000_㣪洁ᚦ"/>
      <sheetName val="목차"/>
      <sheetName val="82351"/>
      <sheetName val="51700-C2100(이의제기)"/>
      <sheetName val="HeaderInfo"/>
      <sheetName val="J100"/>
      <sheetName val="RFQ Template"/>
      <sheetName val="科目余额表"/>
      <sheetName val="생산계획"/>
      <sheetName val="108.수선비"/>
      <sheetName val="8기전사사업계획"/>
      <sheetName val="36기상반기자금실적"/>
      <sheetName val="X3"/>
      <sheetName val="업체정보"/>
      <sheetName val="07DATA"/>
      <sheetName val="WJ素材費"/>
      <sheetName val="품의서양식 (3)"/>
      <sheetName val="예상투자비"/>
      <sheetName val="원가분석"/>
      <sheetName val="법인(환율지정)"/>
      <sheetName val="1. 보고"/>
      <sheetName val="수지타입(ASSY)"/>
      <sheetName val="Asset98-CAK"/>
      <sheetName val="Input Page"/>
      <sheetName val="Input Sheet"/>
      <sheetName val="Aug01 Status Rpt"/>
      <sheetName val="현금및현금등가물"/>
      <sheetName val="Base Info"/>
      <sheetName val="ISSUE LIST"/>
      <sheetName val="Assumption"/>
      <sheetName val="직원명부"/>
      <sheetName val="ALVXXL01"/>
      <sheetName val="철심금중량"/>
      <sheetName val="구매내역"/>
      <sheetName val="생산실적db"/>
      <sheetName val="데이터"/>
      <sheetName val="철판2"/>
      <sheetName val="년도별"/>
      <sheetName val="원가계산서양식"/>
      <sheetName val="Bang KL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부재료"/>
      <sheetName val="97입고현황(사내)"/>
      <sheetName val="97출고현황(SEC)"/>
      <sheetName val="97출고현황(매출분)"/>
      <sheetName val="첨부3"/>
      <sheetName val="부자입고"/>
      <sheetName val="FELT"/>
      <sheetName val="사업소득자세수추계"/>
      <sheetName val="DATA(1-8)"/>
      <sheetName val="1부생산계획"/>
      <sheetName val="이자수입"/>
      <sheetName val="D300726_1"/>
      <sheetName val="사외외주매출"/>
      <sheetName val="20일시험전표지"/>
      <sheetName val="FRONT"/>
      <sheetName val="REAR "/>
      <sheetName val="FR저항Cp"/>
      <sheetName val="abs dac검사대비분석자료2"/>
      <sheetName val="RFQ Form"/>
      <sheetName val="00년거래처별실적"/>
      <sheetName val="재고품목"/>
      <sheetName val="기간별품목별불량유형집계"/>
      <sheetName val="세무서코드"/>
      <sheetName val="3월판매예상_2주차"/>
      <sheetName val="_0602주-무결점운동 진행현황 보고 (20140610)"/>
      <sheetName val="3M000"/>
      <sheetName val="PMBG12LD 장비및인원소요(D.A기준) "/>
      <sheetName val="basic_info"/>
      <sheetName val="10매출"/>
      <sheetName val="TEMP2"/>
      <sheetName val="기본데이타"/>
      <sheetName val="2WD(KJ5G0662)"/>
      <sheetName val="MAT_N048"/>
      <sheetName val="구분목록"/>
      <sheetName val="사원관리"/>
      <sheetName val="조정"/>
      <sheetName val="NEW TOOL MASTER"/>
      <sheetName val="stockmonthlylist(stock_20190828"/>
      <sheetName val="DWPM분석시트"/>
      <sheetName val="매출(총액)"/>
      <sheetName val="판관비"/>
      <sheetName val="3-2002년 소모공구비"/>
      <sheetName val="数据库不可删除"/>
      <sheetName val="WE'T"/>
      <sheetName val="BREAKDOWN(철거설치)"/>
      <sheetName val="STD_DEVCHARTadd"/>
      <sheetName val="재품명"/>
      <sheetName val="불량명"/>
      <sheetName val="1.TP조립"/>
      <sheetName val="기타 부자재"/>
      <sheetName val="분리막"/>
      <sheetName val="전해액"/>
      <sheetName val="4.20)통계적기법관리절차서"/>
      <sheetName val="주E957㲆"/>
      <sheetName val="주E957㲆"/>
      <sheetName val="설비LIS_x0000_"/>
      <sheetName val="설비LIS_x0001_"/>
      <sheetName val="설비LIS"/>
      <sheetName val="개발원가 종합"/>
      <sheetName val="Raw_data"/>
      <sheetName val="SALE분석"/>
      <sheetName val="5업체"/>
      <sheetName val="１１月"/>
      <sheetName val="MS.SPEC"/>
      <sheetName val="BI-FUEL AIR VENT PIPE"/>
      <sheetName val="차액보증"/>
      <sheetName val="8월 매출현황"/>
      <sheetName val="매출&amp;매입"/>
      <sheetName val="원재료사급"/>
      <sheetName val="서연전자"/>
      <sheetName val="사급"/>
      <sheetName val="삼익산업"/>
      <sheetName val="화인데코"/>
      <sheetName val="시무인텔"/>
      <sheetName val="태동테크"/>
      <sheetName val="원텍"/>
      <sheetName val="부자재"/>
      <sheetName val="삼익전자"/>
      <sheetName val="성우일렉스"/>
      <sheetName val="범상하이테크"/>
      <sheetName val="백광오토텍"/>
      <sheetName val="금화전자(안성전기)"/>
      <sheetName val="도료"/>
      <sheetName val="유일테크"/>
      <sheetName val="3공장 순양전자"/>
      <sheetName val="현진테크 (2)"/>
      <sheetName val="신하테크사"/>
      <sheetName val="보현산업"/>
      <sheetName val="풍기산업"/>
      <sheetName val="다건테크"/>
      <sheetName val="나래산업"/>
      <sheetName val="동신전장"/>
      <sheetName val="성호테크"/>
      <sheetName val="동경cnc 지그"/>
      <sheetName val="성실몰드테크"/>
      <sheetName val="대한테크 집계"/>
      <sheetName val="서연전자 (2)"/>
      <sheetName val="삼익전자 (2)"/>
      <sheetName val="삼익산업 (2)"/>
      <sheetName val="시무인텔 (2)"/>
      <sheetName val="성우일렉스 (2)"/>
      <sheetName val="성호테크 (2)"/>
      <sheetName val="CONSUMO DE RESINA "/>
      <sheetName val="Full PBD"/>
      <sheetName val="NET면적"/>
      <sheetName val="2009년 매출 실적"/>
      <sheetName val="JINKYU"/>
      <sheetName val="OCT"/>
      <sheetName val="변환"/>
      <sheetName val="도장가공비"/>
      <sheetName val="VT-5T"/>
      <sheetName val="월별수입"/>
      <sheetName val="SRC(현재)"/>
      <sheetName val="운영"/>
      <sheetName val="DS_MBR RR Side  - PcA"/>
      <sheetName val="지점분석00"/>
      <sheetName val="Dual PMP수율"/>
      <sheetName val="业体目录"/>
      <sheetName val=" Common Info Page"/>
      <sheetName val="TABLE(터키)"/>
      <sheetName val="권취Simu"/>
      <sheetName val="공문송부업체"/>
      <sheetName val="진천MOBIS"/>
      <sheetName val="외주수입검사 종합(6월)"/>
      <sheetName val="LCAUTO.4"/>
      <sheetName val="LCAT수.조"/>
      <sheetName val="10월"/>
      <sheetName val="곡성"/>
      <sheetName val="소재 이력"/>
      <sheetName val="99 조정금액"/>
      <sheetName val="주간실적상세"/>
      <sheetName val="생산성상세"/>
      <sheetName val="CPK_CHART"/>
      <sheetName val="1.종합평가표"/>
      <sheetName val="99년1월"/>
      <sheetName val="내부품질감사절차서"/>
      <sheetName val="일보_생산"/>
      <sheetName val="2-1_제품군별계획대비실적(B_A)"/>
      <sheetName val="일일판매현황"/>
      <sheetName val="2차 OI_x0010__x0000__xda10_࠱"/>
      <sheetName val="2차 OI_x0000__x0000_젘_x0000_"/>
      <sheetName val="2차 OI䑲⿀_x0000__x0000_"/>
      <sheetName val="LJM"/>
      <sheetName val="단가80%기준(재무)"/>
      <sheetName val="매출집계-RMB"/>
      <sheetName val="PS종합"/>
      <sheetName val="경영계획"/>
      <sheetName val="불량"/>
      <sheetName val="품질보증"/>
      <sheetName val="THS - Key Inputs"/>
      <sheetName val="코드집(수출)"/>
      <sheetName val="2005년 소요량"/>
      <sheetName val="ACCN9909"/>
      <sheetName val="Accn9910"/>
      <sheetName val="ACCN9908"/>
      <sheetName val="공사별5"/>
      <sheetName val="pr00_10_20"/>
      <sheetName val="Sch9"/>
      <sheetName val="_x005f_x0000__x005f_x0000__x005"/>
      <sheetName val="기준정보(A) 15.10.27"/>
      <sheetName val="단중 및 예비길이 SHEET 15.9.5(K)"/>
      <sheetName val="품목실적(KK)"/>
      <sheetName val="15.1.02 15년 1월예시계획"/>
      <sheetName val="15년 12월 시작재공품 15.12.3"/>
      <sheetName val="기준정보(A) 12.02.23"/>
      <sheetName val="2001"/>
      <sheetName val="STD  CAB"/>
      <sheetName val="STD  NCAB"/>
      <sheetName val="원소재 변경 상세"/>
      <sheetName val="직거래가 변경"/>
      <sheetName val="PAN"/>
      <sheetName val="IS(Result)"/>
      <sheetName val="PL By Model(Result)"/>
      <sheetName val="PL_By_Model(Result)"/>
      <sheetName val="200901-수불부"/>
      <sheetName val="상세(독일)"/>
      <sheetName val="Claim이력_수출내자"/>
      <sheetName val="10-2 ED&amp;D EQU"/>
      <sheetName val="1.세부비교_x001b_"/>
      <sheetName val="MexiqueVenteȌ"/>
      <sheetName val="2차 OI"/>
      <sheetName val="Business Plan"/>
      <sheetName val="GK차체EO_CUT전"/>
      <sheetName val="비교원RD_S"/>
      <sheetName val="3-1"/>
      <sheetName val="선급금"/>
      <sheetName val="지성학원"/>
      <sheetName val="조회서"/>
      <sheetName val="repeatative_rejection"/>
      <sheetName val="2차 OI_x0010_"/>
      <sheetName val="KeyData"/>
      <sheetName val=" 쿠첸 CIR-301 제원현황(170317).xlsx"/>
      <sheetName val="통제목록"/>
      <sheetName val="변압94"/>
      <sheetName val="지급융통"/>
      <sheetName val="하수급견적대비"/>
      <sheetName val="수불명세서"/>
      <sheetName val="첨부1"/>
      <sheetName val="시산표12월(수정후)"/>
      <sheetName val="BOM CODE"/>
      <sheetName val="공정일보data"/>
      <sheetName val="한일은행"/>
      <sheetName val="통장출금액"/>
      <sheetName val="계획"/>
      <sheetName val="타이시트"/>
      <sheetName val="발잔"/>
      <sheetName val="입고"/>
      <sheetName val="제품재고"/>
      <sheetName val="차월계획"/>
      <sheetName val="실적집계"/>
      <sheetName val="인원현황"/>
      <sheetName val="DRBFM"/>
      <sheetName val="Master Data"/>
      <sheetName val="경로재분석최종(금한요구소요그룹)"/>
      <sheetName val="alignments"/>
      <sheetName val="6월실적"/>
      <sheetName val="DS-Thuong 6T dau"/>
      <sheetName val="551"/>
      <sheetName val="집계표(VAN)"/>
      <sheetName val="CHI TIẾT"/>
      <sheetName val="Parameter"/>
      <sheetName val="BOM Cost (R-U713MHH)"/>
      <sheetName val="3S010"/>
      <sheetName val="지급어음"/>
      <sheetName val="sal"/>
      <sheetName val="MIP"/>
      <sheetName val="ASSETS_LIST(2)"/>
      <sheetName val="07년계획"/>
      <sheetName val="신규계산서(양식)"/>
      <sheetName val="개조 요청서"/>
      <sheetName val="매출채권"/>
      <sheetName val="A01_FM00"/>
      <sheetName val="Form"/>
      <sheetName val="표지★"/>
      <sheetName val="(삼성)Index"/>
      <sheetName val="CIVIL4"/>
      <sheetName val="96 하반기 전시회 경비"/>
      <sheetName val="choices"/>
      <sheetName val="REQUEST"/>
      <sheetName val="直接材料"/>
      <sheetName val="Summary Capex Info-Cal (master)"/>
      <sheetName val="Corporate"/>
      <sheetName val="LOF"/>
      <sheetName val="1_TM16"/>
      <sheetName val="2_align16"/>
      <sheetName val="3_JUDDER16"/>
      <sheetName val="4_M_S16"/>
      <sheetName val="5_P_W_R16"/>
      <sheetName val="6_F_G16"/>
      <sheetName val="7__SCABLE16"/>
      <sheetName val="8_DIFF16"/>
      <sheetName val="9_A_C16"/>
      <sheetName val="10_GEAR16"/>
      <sheetName val="11_ISC16"/>
      <sheetName val="12_ALT16"/>
      <sheetName val="13_O_S16"/>
      <sheetName val="14_silencer16"/>
      <sheetName val="15_DAMPER16"/>
      <sheetName val="16_HUB16"/>
      <sheetName val="17_DLOCK16"/>
      <sheetName val="18_PSP16"/>
      <sheetName val="19_누수16"/>
      <sheetName val="20_K_S16"/>
      <sheetName val="1ဲ_ALT16"/>
      <sheetName val="1ဳ_O_S16"/>
      <sheetName val="15_၄AMPER16"/>
      <sheetName val="GB-IC_Villingen_GG16"/>
      <sheetName val="二_POSITION_XLS16"/>
      <sheetName val="BACK_DATA_08_7_1~16"/>
      <sheetName val="E_W16"/>
      <sheetName val="P_W16"/>
      <sheetName val="S_W16"/>
      <sheetName val="BACK_DATA16"/>
      <sheetName val="OPT손익_내수16"/>
      <sheetName val="OPT손익_수출16"/>
      <sheetName val="JT3_0견적-구115"/>
      <sheetName val="CASE_ASM15"/>
      <sheetName val="외주현황_wq116"/>
      <sheetName val="5_세운W-A16"/>
      <sheetName val="14_1부15"/>
      <sheetName val="B053_(990701)공정실적PP%계산16"/>
      <sheetName val="2_대외공문16"/>
      <sheetName val="1_변경범위16"/>
      <sheetName val="TEMP_TORQUE16"/>
      <sheetName val="3_일반사상15"/>
      <sheetName val="Evaluation_objects15"/>
      <sheetName val="SUB_2월_재검사추이도15"/>
      <sheetName val="설비능력및_종합공정능력산출시_사용15"/>
      <sheetName val="LX3_0_RR15"/>
      <sheetName val="진행_DATA_(2)16"/>
      <sheetName val="126_25515"/>
      <sheetName val="5_WIRE적용LIST15"/>
      <sheetName val="LAMBDA_자작15"/>
      <sheetName val="운임_환차손-Y16"/>
      <sheetName val="c_db21"/>
      <sheetName val="ALPROFILE_발주실적14"/>
      <sheetName val="팀별_합계15"/>
      <sheetName val="매출종합_`0915"/>
      <sheetName val="소상_&quot;1&quot;15"/>
      <sheetName val="검사기준서_을_치수15"/>
      <sheetName val="검사기준서_갑15"/>
      <sheetName val="검사기준서_을15"/>
      <sheetName val="검사협정_갑15"/>
      <sheetName val="검사성적서_갑15"/>
      <sheetName val="검사성적서_을15"/>
      <sheetName val="검사성적서_병15"/>
      <sheetName val="Nego_PV15"/>
      <sheetName val="PRESS_DATA14"/>
      <sheetName val="내수1_8GL15"/>
      <sheetName val="02년_SUC14"/>
      <sheetName val="MACRO1_XLM14"/>
      <sheetName val="개발_TOOL_집계표14"/>
      <sheetName val="경상_개발비14"/>
      <sheetName val="X-3_ENG14"/>
      <sheetName val="원단위_전후비교14"/>
      <sheetName val="Sheet1_(2)14"/>
      <sheetName val="차체부품_INS_REPORT(갑)15"/>
      <sheetName val="Sheet6_(3)14"/>
      <sheetName val="외주품_감점_유형_기준14"/>
      <sheetName val="FUEL_FILLER15"/>
      <sheetName val="_납촉자15"/>
      <sheetName val="3-2_귀책부서별_DT현황15"/>
      <sheetName val="1_2내수14"/>
      <sheetName val="3__관리점지수실적-1_1생산성14"/>
      <sheetName val="실적_및_계획14"/>
      <sheetName val="Bosch_ADVP&amp;R14"/>
      <sheetName val="CAPA분석_360K11"/>
      <sheetName val="Cost_Reduction14"/>
      <sheetName val="GLOBAL_PT_NEW_FORMAT_OCT_200214"/>
      <sheetName val="계산_DATA_입력14"/>
      <sheetName val="상세_계산_내역14"/>
      <sheetName val="FLOW_PROSES_(A)11"/>
      <sheetName val="Master_Cable14"/>
      <sheetName val="_SR3차원단위_(3)8"/>
      <sheetName val="ERP도입후_시정현황8"/>
      <sheetName val="6_N_m_CCW_전류8"/>
      <sheetName val="Purchasing_Data8"/>
      <sheetName val="포머_비가동_내역9"/>
      <sheetName val="FRONT_HUB견적가9"/>
      <sheetName val="J150_승인진도관리_LIST8"/>
      <sheetName val="TOTAL_LIST8"/>
      <sheetName val="Price_Range8"/>
      <sheetName val="FTR_MACRo8"/>
      <sheetName val="일일_업무_현황_(3)9"/>
      <sheetName val="일일_업무_현황_(5)9"/>
      <sheetName val="MPL_技連9"/>
      <sheetName val="342E_BLOCK9"/>
      <sheetName val="금형_(2)9"/>
      <sheetName val="VS1_Paretto분석9"/>
      <sheetName val="0_절삭조건9"/>
      <sheetName val="DATA_BASE8"/>
      <sheetName val="02_07_27_부품판매가8"/>
      <sheetName val="협력사_일반현황9"/>
      <sheetName val="Sec_1_-_RFQ14"/>
      <sheetName val="1-1_General_Code8"/>
      <sheetName val="VPP(BD-010)_이상보고8"/>
      <sheetName val="공정능력_(2)14"/>
      <sheetName val="Sch7a_(토요일)14"/>
      <sheetName val="c_db112"/>
      <sheetName val="Rate_data14"/>
      <sheetName val="대외공문_8"/>
      <sheetName val="PRO_(참조)14"/>
      <sheetName val="2차_OIL량측정8"/>
      <sheetName val="Actual_In_&amp;_Out7"/>
      <sheetName val="4_3_첨부18"/>
      <sheetName val="업무분장_8"/>
      <sheetName val="GLOBAL_PT_NEW_FORMAT_JULY__2009"/>
      <sheetName val="INVESTMENT_(Hardware)9"/>
      <sheetName val="신고서_전8"/>
      <sheetName val="Basic_assumptions8"/>
      <sheetName val="영업_일18"/>
      <sheetName val="PFMEA_XLS8"/>
      <sheetName val="2008_г8"/>
      <sheetName val="RELAY_FAX양식8"/>
      <sheetName val="상세_견적서_(HMC)8"/>
      <sheetName val="OEM_Plan8"/>
      <sheetName val="제품명_(3)8"/>
      <sheetName val="LINE_운영안7"/>
      <sheetName val="P&amp;L,Bal_Sheet,Cash_Forecast8"/>
      <sheetName val="OEM_이의제기_종합7"/>
      <sheetName val="원가_종합8"/>
      <sheetName val="공정별공법-W_HSE-LH8"/>
      <sheetName val="GM_Master8"/>
      <sheetName val="생산현황_(입력)8"/>
      <sheetName val="MPS_Q3_FY048"/>
      <sheetName val="MPS_Q4_FY048"/>
      <sheetName val="1_ER유체응용8"/>
      <sheetName val="4_시험장비8"/>
      <sheetName val="업체별_단가현황8"/>
      <sheetName val="일일_생산및판매계획_대_실적8"/>
      <sheetName val="임율_&amp;_LOT8"/>
      <sheetName val="생산계획_(2)8"/>
      <sheetName val="CR_CODE8"/>
      <sheetName val="THEME_CODE8"/>
      <sheetName val="비교원가제출_고8"/>
      <sheetName val="1_세부비교원가(내수)8"/>
      <sheetName val="1_종합비교원가(내수_일반_유럽)8"/>
      <sheetName val="10_예산_및_원가_계획(02년)8"/>
      <sheetName val="3_PT개발계획8"/>
      <sheetName val="Interco_&amp;_PVS_Loc_Cur7"/>
      <sheetName val="_15"/>
      <sheetName val="RFQ_18048"/>
      <sheetName val="full_(2)7"/>
      <sheetName val="보강사_소요량7"/>
      <sheetName val="J2(P_MT)7"/>
      <sheetName val="After_sales8"/>
      <sheetName val="고객불만_건8"/>
      <sheetName val="Moulding_data7"/>
      <sheetName val="자동차_종합지표8"/>
      <sheetName val="Production_Plan18"/>
      <sheetName val="Order_status8"/>
      <sheetName val="Order_status27"/>
      <sheetName val="Customer_Master7"/>
      <sheetName val="Common_code7"/>
      <sheetName val="Order_Status_Master7"/>
      <sheetName val="Product_Master7"/>
      <sheetName val="3_3검토국7"/>
      <sheetName val="DV_Flow_Chart_DV-PV1_(PFC)8"/>
      <sheetName val="MATEMST_(2)7"/>
      <sheetName val="Value_Analysis_-_Sheet_18"/>
      <sheetName val="_PPAP_작성중__xlsx8"/>
      <sheetName val="2_중요한회계정책8"/>
      <sheetName val="9_관계기업투자8"/>
      <sheetName val="42_리스8"/>
      <sheetName val="25_법인세8"/>
      <sheetName val="Supplier_QRQC7"/>
      <sheetName val="97계획(96_117"/>
      <sheetName val="S50_7"/>
      <sheetName val="첨부4_기술평가서7"/>
      <sheetName val="1_2_2완제품검사('00_4월)_(가라)7"/>
      <sheetName val="DBL_LPG시험8"/>
      <sheetName val="09년_현황8"/>
      <sheetName val="WTC_BODY一覧原紙8"/>
      <sheetName val="3월말_장기악성(국내)8"/>
      <sheetName val="2월말_장기악성(국내)8"/>
      <sheetName val="Data_Sheet8"/>
      <sheetName val="6_수입검사_8"/>
      <sheetName val="03_PFD-18"/>
      <sheetName val="12_Inv_8"/>
      <sheetName val="97년_재료예산(안)8"/>
      <sheetName val="1_터빈8"/>
      <sheetName val="cost_base_e_dati8"/>
      <sheetName val="2__Definitions8"/>
      <sheetName val="코드_조건표9"/>
      <sheetName val="HMC_사전원가(원혁기준)13%8"/>
      <sheetName val="재품별_단가8"/>
      <sheetName val="장비_전체리스트8"/>
      <sheetName val="_16"/>
      <sheetName val="집중검사_리스트8"/>
      <sheetName val="production_dept8"/>
      <sheetName val="검사협정_보충7"/>
      <sheetName val="Proj_List_00E8"/>
      <sheetName val="2012_Volum8"/>
      <sheetName val="B053_(990701)공정능력PC%계산7"/>
      <sheetName val="P&amp;L_account8"/>
      <sheetName val="국내_7"/>
      <sheetName val="4,5공장_7"/>
      <sheetName val="시트_7"/>
      <sheetName val="VERTICAL_PIPE7"/>
      <sheetName val="TABLE_DB7"/>
      <sheetName val="쌍용_data_base7"/>
      <sheetName val="2과_공수집계7"/>
      <sheetName val="118_세금과공과7"/>
      <sheetName val="경영재무_(입력)7"/>
      <sheetName val="연구개발_(입력)7"/>
      <sheetName val="일반현황_(입력)7"/>
      <sheetName val="품질관리_(입력)7"/>
      <sheetName val="실행내역서_8"/>
      <sheetName val="개발_LIST8"/>
      <sheetName val="PC%계산(WM_COMM단차)8"/>
      <sheetName val="차체_품안표8"/>
      <sheetName val="1_1_2008_OTIF8"/>
      <sheetName val="BAFFLE_HMC_TABLE18"/>
      <sheetName val="1~3월_지시사항8"/>
      <sheetName val="1_POSITIONING8"/>
      <sheetName val="무부하_회전수8"/>
      <sheetName val="진행중_설변8"/>
      <sheetName val="HOLE_9905(1)8"/>
      <sheetName val="Upgrades_pricing7"/>
      <sheetName val="7_3_DY팀7"/>
      <sheetName val="PNL_ASS'Y_CRASH_PAD_UPR_RH7"/>
      <sheetName val="공정능력(마운틴_홀_거리)7"/>
      <sheetName val="Summary_Sheet7"/>
      <sheetName val="Datasheet_for_KPI_Model_17"/>
      <sheetName val="TEAM하반기_계획_(2)7"/>
      <sheetName val="YOKE-H(10_3)7"/>
      <sheetName val="▶R_C_FRM7"/>
      <sheetName val="광주_소요량7"/>
      <sheetName val="5-Why_Root_Cause_Analysis_7"/>
      <sheetName val="초_성7"/>
      <sheetName val="CHECK_성7"/>
      <sheetName val="cpk_data7"/>
      <sheetName val="Drop-down_Lists7"/>
      <sheetName val="Bas_Moteur7"/>
      <sheetName val="1_기안을지7"/>
      <sheetName val="사무용품_신청7"/>
      <sheetName val="Validation_Lists7"/>
      <sheetName val="★금형비_계산서7"/>
      <sheetName val="LOWSIDE_비교7"/>
      <sheetName val="4_Vendor_price7"/>
      <sheetName val="14년_증판안_판촉7"/>
      <sheetName val="PS_SIDE_OTR_INR_공정개선_상세6"/>
      <sheetName val="제품별_매출8"/>
      <sheetName val="Data_Working_Time8"/>
      <sheetName val="Z41,Z42_이외total7"/>
      <sheetName val="원단위_1계_2계6"/>
      <sheetName val="11403-06163_เก่า6"/>
      <sheetName val="FM-HD_(New)6"/>
      <sheetName val="FM-HD_(HKMC)_6"/>
      <sheetName val="FM-HD_(11254-06201)__6"/>
      <sheetName val="FM-HD_(11251-06163)6"/>
      <sheetName val="FM-HD_(11514053)6"/>
      <sheetName val="FM-HD_(11611807)6"/>
      <sheetName val="FM-HD_(94502003)6"/>
      <sheetName val="FM-HD_(94501839)6"/>
      <sheetName val="FM-HD_(PT-GDENG0911-4)6"/>
      <sheetName val="FM-HD_(94520439)6"/>
      <sheetName val="FM-HD_(94500396)6"/>
      <sheetName val="FM-HD_(94500407)6"/>
      <sheetName val="FM-HD_(94500414)6"/>
      <sheetName val="FM-HD_(94500073)6"/>
      <sheetName val="FM-HD_(11588683)6"/>
      <sheetName val="FM-HD_(94500952)6"/>
      <sheetName val="FM-HD_(11569995)6"/>
      <sheetName val="FM-HD_(11254-06201)6"/>
      <sheetName val="FM-HD_(11588685)6"/>
      <sheetName val="FM-HD_(94500793)_6"/>
      <sheetName val="FM-HD_(11588717)6"/>
      <sheetName val="FM-HD_(HD-25198904)6"/>
      <sheetName val="FM-HD_(HD-11570514)_6"/>
      <sheetName val="FM-HD_(11097441)6"/>
      <sheetName val="FM-HD_(11588662)_6"/>
      <sheetName val="FM-HD_(11519387)6"/>
      <sheetName val="FM-HD_(11561969)6"/>
      <sheetName val="FM-HD_(11516580)6"/>
      <sheetName val="FM-HD_(11588712)___6"/>
      <sheetName val="FM-HD_(11519375)6"/>
      <sheetName val="FM-HD_(FAA32071001)__6"/>
      <sheetName val="FM-HD_(11519382)_6"/>
      <sheetName val="FM-HD_(11519383)_6"/>
      <sheetName val="FM-HD_(11561763)__6"/>
      <sheetName val="FM-HD_(11588316)__6"/>
      <sheetName val="TL_PROTO_2열2"/>
      <sheetName val="Net_Revenue2"/>
      <sheetName val="기초_데이터2"/>
      <sheetName val="신흥테크_세부내역_LIST2"/>
      <sheetName val="중요차종_(090131)2"/>
      <sheetName val="99년12월_실적DATA2"/>
      <sheetName val="7)_133677342"/>
      <sheetName val="Issues_List2"/>
      <sheetName val="(2)월생산현황_2"/>
      <sheetName val="LINE_PPM-분석2"/>
      <sheetName val="Actual_data2"/>
      <sheetName val="PACKING_LIST2"/>
      <sheetName val="COOLING_UNIT2"/>
      <sheetName val="#1-1_(2)2"/>
      <sheetName val="기초_DATA2"/>
      <sheetName val="_하반기_경비_조정계획_150627(사계_r2_기준)_2"/>
      <sheetName val="표지_(2)2"/>
      <sheetName val="2-2_매출분석2"/>
      <sheetName val="220_(2)2"/>
      <sheetName val="Data_Input1"/>
      <sheetName val="Personnaliser___"/>
      <sheetName val="Takt_Time"/>
      <sheetName val="2000_(원본)"/>
      <sheetName val="Danh_Mục1"/>
      <sheetName val="Danh_Muc1"/>
      <sheetName val="Danh_sach_Hàn_thùng"/>
      <sheetName val="Rollforward_{bpe}"/>
      <sheetName val="Allow_-_SR&amp;D"/>
      <sheetName val="BOX_ASSY"/>
      <sheetName val="CONN_조립"/>
      <sheetName val="6_Parent_S__Fixed_Prod"/>
      <sheetName val="종합10"/>
      <sheetName val="REPAIR DATA - CONTAINER #5"/>
      <sheetName val="노원열병합  건축공사기성내역서"/>
      <sheetName val="Gia vat tu"/>
      <sheetName val="SUMMARY(S)"/>
      <sheetName val="Dual_PMP수율"/>
      <sheetName val="REPAIR_DATA_-_CONTAINER_#5"/>
      <sheetName val="노원열병합__건축공사기성내역서"/>
      <sheetName val="Gia_vat_tu"/>
      <sheetName val="4_20)통계적기법관리절차서"/>
      <sheetName val="人员信息"/>
      <sheetName val="设备信息编号"/>
      <sheetName val="S26_EK"/>
      <sheetName val="리오비용"/>
      <sheetName val="Report"/>
      <sheetName val="라이온2"/>
      <sheetName val="ACTUAL"/>
      <sheetName val="Data Not Used"/>
      <sheetName val="ScoreCards"/>
      <sheetName val="FTQ Data"/>
      <sheetName val="Int Pulls Data"/>
      <sheetName val="Int Spills Data"/>
      <sheetName val="PPM Data"/>
      <sheetName val="Pulls Data"/>
      <sheetName val="Spills Data"/>
      <sheetName val="조립LINE"/>
      <sheetName val="원본1"/>
      <sheetName val="개선대책 양식"/>
      <sheetName val="626TD(COLOR)"/>
      <sheetName val="보증금"/>
      <sheetName val="공통비"/>
      <sheetName val="입력"/>
      <sheetName val="계산결과"/>
      <sheetName val="입력 List"/>
      <sheetName val="portfolio"/>
      <sheetName val="신청현황"/>
      <sheetName val="기준정보(A)_15_10_27"/>
      <sheetName val="단중_및_예비길이_SHEET_15_9_5(K)"/>
      <sheetName val="15_1_02_15년_1월예시계획"/>
      <sheetName val="15년_12월_시작재공품_15_12_3"/>
      <sheetName val="중공업_실적"/>
      <sheetName val="기준정보(A)_12_02_23"/>
      <sheetName val="재무가정"/>
      <sheetName val="DO NOT DELETE"/>
      <sheetName val="Calculations"/>
      <sheetName val="Export Data"/>
      <sheetName val="Data_Not_Used"/>
      <sheetName val="FTQ_Data"/>
      <sheetName val="Int_Pulls_Data"/>
      <sheetName val="Int_Spills_Data"/>
      <sheetName val="PPM_Data"/>
      <sheetName val="Pulls_Data"/>
      <sheetName val="Spills_Data"/>
      <sheetName val="개선대책_양식"/>
      <sheetName val="STD__CAB"/>
      <sheetName val="STD__NCAB"/>
      <sheetName val="원소재_변경_상세"/>
      <sheetName val="직거래가_변경"/>
      <sheetName val="입력_List"/>
      <sheetName val="Data_Not_Used1"/>
      <sheetName val="FTQ_Data1"/>
      <sheetName val="Int_Pulls_Data1"/>
      <sheetName val="Int_Spills_Data1"/>
      <sheetName val="PPM_Data1"/>
      <sheetName val="Pulls_Data1"/>
      <sheetName val="Spills_Data1"/>
      <sheetName val="기준정보(A)_15_10_271"/>
      <sheetName val="단중_및_예비길이_SHEET_15_9_5(K)1"/>
      <sheetName val="15_1_02_15년_1월예시계획1"/>
      <sheetName val="15년_12월_시작재공품_15_12_31"/>
      <sheetName val="중공업_실적1"/>
      <sheetName val="기준정보(A)_12_02_231"/>
      <sheetName val="노원열병합__건축공사기성내역서1"/>
      <sheetName val="Gia_vat_tu1"/>
      <sheetName val="개선대책_양식1"/>
      <sheetName val="STD__CAB1"/>
      <sheetName val="STD__NCAB1"/>
      <sheetName val="원소재_변경_상세1"/>
      <sheetName val="직거래가_변경1"/>
      <sheetName val="입력_List1"/>
      <sheetName val="DO_NOT_DELETE"/>
      <sheetName val="전산품의"/>
      <sheetName val="BEP"/>
      <sheetName val="냉각실용添1"/>
      <sheetName val="유지류添1"/>
      <sheetName val="제품그룹코드"/>
      <sheetName val="(사)판관비"/>
      <sheetName val="(사)손익"/>
      <sheetName val="Grille Q3P Organe"/>
      <sheetName val="부서관리점-1"/>
      <sheetName val="2P표지"/>
      <sheetName val="교정"/>
      <sheetName val="대리점"/>
      <sheetName val="NC-CODE"/>
      <sheetName val="PART"/>
      <sheetName val="국가"/>
      <sheetName val="9월사후시산"/>
      <sheetName val="누계결산시산"/>
      <sheetName val="대책발표"/>
      <sheetName val="시중유출"/>
      <sheetName val="전표10월"/>
      <sheetName val="AL주단조"/>
      <sheetName val="Eingaben"/>
      <sheetName val="TEMP"/>
      <sheetName val="직수출단가"/>
      <sheetName val="BL계획"/>
      <sheetName val="TOOLING_9143RD"/>
      <sheetName val="Grille_Q3P_Organe"/>
      <sheetName val="Grille_Q3P_Organe1"/>
      <sheetName val="KB_BaseCase"/>
      <sheetName val="거래선 생산계획"/>
      <sheetName val="조회거래처"/>
      <sheetName val="51755-C1150"/>
      <sheetName val="Sheet1 (3)"/>
      <sheetName val="Histogram Chart"/>
      <sheetName val="Freq error DATA"/>
      <sheetName val="Freq HISTOGRAM"/>
      <sheetName val="Home"/>
      <sheetName val="delta_impedance(평균)"/>
      <sheetName val="Histogram_Chart"/>
      <sheetName val="Freq_error_DATA"/>
      <sheetName val="Freq_HISTOGRAM"/>
      <sheetName val="RATING"/>
      <sheetName val="Sheet14"/>
      <sheetName val="(업체)Cover"/>
      <sheetName val="원97"/>
      <sheetName val="의장34반"/>
      <sheetName val="의장2반 "/>
      <sheetName val="Detail Defect COMBO KAISER"/>
      <sheetName val="PRADEEP"/>
      <sheetName val="매입코드"/>
      <sheetName val="Table(APG MF)"/>
      <sheetName val="LIB"/>
      <sheetName val="EF-SONAĀ考"/>
      <sheetName val="Description"/>
      <sheetName val="040915"/>
      <sheetName val="T2"/>
      <sheetName val="Component List"/>
      <sheetName val="Data051409"/>
      <sheetName val="2환율(120량)"/>
      <sheetName val="TextControl"/>
      <sheetName val="Text Control"/>
      <sheetName val="text contl"/>
      <sheetName val="XD 담력저감"/>
      <sheetName val="철탑공사"/>
      <sheetName val="원가검토가 (현양산품)"/>
      <sheetName val="원가검토가 (최초견적가)"/>
      <sheetName val="원가검토가 (최초양산품)"/>
      <sheetName val="VM"/>
      <sheetName val="Anlycs"/>
      <sheetName val="승용스틸자체"/>
      <sheetName val="모델별불량율"/>
      <sheetName val="10월판관"/>
      <sheetName val="Organization_chart20191002"/>
      <sheetName val="RESPONSIBILITY_MATRIX"/>
      <sheetName val="PU_FOAM_가격조정_기준"/>
      <sheetName val="Diaph1_values"/>
      <sheetName val="Diaph2_values"/>
      <sheetName val="Diaph_values"/>
      <sheetName val="Cushion_datas"/>
      <sheetName val="P_O_(LOCAL)"/>
      <sheetName val="U268_4x4_AT(walk)Mitsu"/>
      <sheetName val="UPPER_도면"/>
      <sheetName val="20060624_공조제어1"/>
      <sheetName val="풍량상한치_제한_data1"/>
      <sheetName val="Source_List1"/>
      <sheetName val="공정공수_XLS"/>
      <sheetName val="Kautex_4WD_St_IV_P&amp;D"/>
      <sheetName val="Sachs_FL_WHL"/>
      <sheetName val="Лист1"/>
      <sheetName val="99년하반기"/>
      <sheetName val="2-2매장별매출계획"/>
      <sheetName val="LOB"/>
      <sheetName val="HONGKONG"/>
      <sheetName val="BRACKET"/>
      <sheetName val="CPK样板"/>
      <sheetName val="本番環境"/>
      <sheetName val="B-9-2"/>
      <sheetName val="C(1-2)"/>
      <sheetName val="CPI_MENU"/>
      <sheetName val="数据源"/>
      <sheetName val="推移dat"/>
      <sheetName val="K不良率ALL"/>
      <sheetName val="K責任ALL"/>
      <sheetName val="メニュー"/>
      <sheetName val="FTMTG1"/>
      <sheetName val="ＴＡ２"/>
      <sheetName val="FAX (2)"/>
      <sheetName val="3-ADJ"/>
      <sheetName val="inb"/>
      <sheetName val="손익분석"/>
      <sheetName val="월별계획"/>
      <sheetName val="중국_DATA"/>
      <sheetName val="TLc 개조차(목표원가)"/>
      <sheetName val="RDBODY"/>
      <sheetName val="제품코드"/>
      <sheetName val="9914"/>
      <sheetName val="MASTER_LIST"/>
      <sheetName val="입력 데이타"/>
      <sheetName val="가공UPH"/>
      <sheetName val="MODEL"/>
      <sheetName val="28.8부"/>
      <sheetName val="Constants"/>
      <sheetName val="KQ.1"/>
      <sheetName val="국민연금"/>
      <sheetName val="94열처리"/>
      <sheetName val="3월종합현황"/>
      <sheetName val="XL4Poppy"/>
      <sheetName val="급여대장"/>
      <sheetName val="ab입고수량"/>
      <sheetName val="Tool Type"/>
      <sheetName val="3. Acronyms and abbreviations"/>
      <sheetName val="메탈&amp;환율"/>
      <sheetName val="인건비US"/>
      <sheetName val="소재종류"/>
      <sheetName val="매입자료1"/>
      <sheetName val="93상각비"/>
      <sheetName val="거래선별 매출현황 내역"/>
      <sheetName val="수식파일 (삭제금지)"/>
      <sheetName val="호봉CODE"/>
      <sheetName val="Chart"/>
      <sheetName val="info"/>
      <sheetName val="List Total"/>
      <sheetName val="List(Retired)"/>
      <sheetName val="Attendance"/>
      <sheetName val="Book"/>
      <sheetName val="Person.Cost"/>
      <sheetName val="입퇴사"/>
      <sheetName val="Absent"/>
      <sheetName val="THEO DÕI THAI SẢN (2)"/>
      <sheetName val="Maternity"/>
      <sheetName val="Man"/>
      <sheetName val="TIME"/>
      <sheetName val="Time.Man"/>
      <sheetName val="Salary(Section)"/>
      <sheetName val="Salary(Cus.)"/>
      <sheetName val="OT OVER"/>
      <sheetName val="UPC+EAN"/>
      <sheetName val="物料規格"/>
      <sheetName val="Cfg"/>
      <sheetName val="Segment 4 Bid Sheet"/>
      <sheetName val="Feuil2"/>
      <sheetName val="CPK1"/>
      <sheetName val="可测试性需求基线"/>
      <sheetName val="参数表"/>
      <sheetName val="Hi6810 功能信号表"/>
      <sheetName val="6.FQC检验数据"/>
      <sheetName val="集計２"/>
      <sheetName val="输入清单"/>
      <sheetName val="平衡分析"/>
      <sheetName val="2003 prod2"/>
      <sheetName val="2003 Target"/>
      <sheetName val="通讯录"/>
      <sheetName val="Data_Tim"/>
      <sheetName val="RA Bearer"/>
      <sheetName val="法規課84上半年經營實績"/>
      <sheetName val="Trend Total nguyên nhân"/>
      <sheetName val="zzin"/>
      <sheetName val="Lists"/>
      <sheetName val="Investigation_Note"/>
      <sheetName val="测试计划与结果"/>
      <sheetName val="700-001563-03"/>
      <sheetName val="設備預算總表附件3 "/>
      <sheetName val="FA Definitions"/>
      <sheetName val="C-L"/>
      <sheetName val="자료실"/>
      <sheetName val="접촉온도"/>
      <sheetName val="Hw_0415_TOTAL"/>
      <sheetName val="드롭다운"/>
      <sheetName val="업체데이터"/>
      <sheetName val="5 Why's"/>
      <sheetName val="품질목표"/>
      <sheetName val="03년 체제결과"/>
      <sheetName val="2-1_제품군별계획대비실적(B_A)1"/>
      <sheetName val="GAGE_R&amp;R(FRT_UPR)"/>
      <sheetName val="SCP_4"/>
      <sheetName val="SCP_5_D2UXT"/>
      <sheetName val="SCP_6_D2UX"/>
      <sheetName val="Invest_(MAC)"/>
      <sheetName val="SCP_Apr2015"/>
      <sheetName val="Team_종합"/>
      <sheetName val="불량_리스트"/>
      <sheetName val="불량_코드"/>
      <sheetName val="1_종합평가표"/>
      <sheetName val="ISSUE_LIST"/>
      <sheetName val="BI-FUEL_AIR_VENT_PIPE"/>
      <sheetName val="0_CHMSL_LED_ASSY"/>
      <sheetName val="108_수선비"/>
      <sheetName val="REAR_"/>
      <sheetName val="abs_dac검사대비분석자료2"/>
      <sheetName val="RFQ_Form"/>
      <sheetName val="1_TP조립"/>
      <sheetName val="2차_OI࠱"/>
      <sheetName val="2차_OI젘"/>
      <sheetName val="2차_OI䑲⿀"/>
      <sheetName val="1_세부비교㣪洁ᚦ"/>
      <sheetName val="XMA_12월_8,000대_원,부자재_完"/>
      <sheetName val="YFA_10월분_원자재(10_12)_미납완료_完"/>
      <sheetName val="YFA_10월분_부자재(10_7,9)_FEDEX_完"/>
      <sheetName val="외주수입검사_종합(6월)"/>
      <sheetName val="RFQ_Template"/>
      <sheetName val="품의서양식_(3)"/>
      <sheetName val="1__보고"/>
      <sheetName val="2-1_제품군별계획대비실적(B_A)2"/>
      <sheetName val="2-1_제품군별계획대비실적(B_A)3"/>
      <sheetName val="GAGE_R&amp;R(FRT_UPR)1"/>
      <sheetName val="SCP_41"/>
      <sheetName val="SCP_5_D2UXT1"/>
      <sheetName val="SCP_6_D2UX1"/>
      <sheetName val="Invest_(MAC)1"/>
      <sheetName val="SCP_Apr20151"/>
      <sheetName val="Team_종합1"/>
      <sheetName val="불량_리스트1"/>
      <sheetName val="불량_코드1"/>
      <sheetName val="1_종합평가표1"/>
      <sheetName val="ISSUE_LIST1"/>
      <sheetName val="BI-FUEL_AIR_VENT_PIPE1"/>
      <sheetName val="0_CHMSL_LED_ASSY1"/>
      <sheetName val="108_수선비1"/>
      <sheetName val="REAR_1"/>
      <sheetName val="abs_dac검사대비분석자료21"/>
      <sheetName val="RFQ_Form1"/>
      <sheetName val="1_TP조립1"/>
      <sheetName val="XMA_12월_8,000대_원,부자재_完1"/>
      <sheetName val="YFA_10월분_원자재(10_12)_미납완료_完1"/>
      <sheetName val="YFA_10월분_부자재(10_7,9)_FEDEX_完1"/>
      <sheetName val="1_TAT_Info_1"/>
      <sheetName val="외주수입검사_종합(6월)1"/>
      <sheetName val="RFQ_Template1"/>
      <sheetName val="품의서양식_(3)1"/>
      <sheetName val="1__보고1"/>
      <sheetName val="거래선별_매출현황_내역"/>
      <sheetName val="03년_체제결과"/>
      <sheetName val="_0602주-무결점운동_진행현황_보고_(20140610)"/>
      <sheetName val="기타_부자재"/>
      <sheetName val="Full_PBD"/>
      <sheetName val="DS_MBR_RR_Side__-_PcA"/>
      <sheetName val="CONSUMO_DE_RESINA_"/>
      <sheetName val="금형_(2)10"/>
      <sheetName val="2-1_제품군별계획대비실적(B_A)4"/>
      <sheetName val="GAGE_R&amp;R(FRT_UPR)2"/>
      <sheetName val="중공업_실적2"/>
      <sheetName val="SCP_42"/>
      <sheetName val="SCP_5_D2UXT2"/>
      <sheetName val="SCP_6_D2UX2"/>
      <sheetName val="Invest_(MAC)2"/>
      <sheetName val="SCP_Apr20152"/>
      <sheetName val="Team_종합2"/>
      <sheetName val="불량_리스트2"/>
      <sheetName val="불량_코드2"/>
      <sheetName val="1_종합평가표2"/>
      <sheetName val="ISSUE_LIST2"/>
      <sheetName val="BI-FUEL_AIR_VENT_PIPE2"/>
      <sheetName val="0_CHMSL_LED_ASSY2"/>
      <sheetName val="108_수선비2"/>
      <sheetName val="REAR_2"/>
      <sheetName val="abs_dac검사대비분석자료22"/>
      <sheetName val="RFQ_Form2"/>
      <sheetName val="1_TP조립2"/>
      <sheetName val="XMA_12월_8,000대_원,부자재_完2"/>
      <sheetName val="YFA_10월분_원자재(10_12)_미납완료_完2"/>
      <sheetName val="YFA_10월분_부자재(10_7,9)_FEDEX_完2"/>
      <sheetName val="1_TAT_Info_2"/>
      <sheetName val="외주수입검사_종합(6월)2"/>
      <sheetName val="RFQ_Template2"/>
      <sheetName val="품의서양식_(3)2"/>
      <sheetName val="1__보고2"/>
      <sheetName val="거래선별_매출현황_내역1"/>
      <sheetName val="03년_체제결과1"/>
      <sheetName val="_0602주-무결점운동_진행현황_보고_(201406101"/>
      <sheetName val="기타_부자재1"/>
      <sheetName val="4_20)통계적기법관리절차서1"/>
      <sheetName val="Full_PBD1"/>
      <sheetName val="Europe_PU-11"/>
      <sheetName val="DS_MBR_RR_Side__-_PcA1"/>
      <sheetName val="Dual_PMP수율1"/>
      <sheetName val="CONSUMO_DE_RESINA_1"/>
      <sheetName val="11.Inv."/>
      <sheetName val="철탑"/>
      <sheetName val="VL"/>
      <sheetName val="환산표"/>
      <sheetName val="99사업d"/>
      <sheetName val="05계약내역(新T)"/>
      <sheetName val="05 新Table(간접직)"/>
      <sheetName val="05계약내역(기존T 활용)"/>
      <sheetName val="첨부13. 사출(PAD)_카메라"/>
      <sheetName val="24.냉각실용添1"/>
      <sheetName val="유통망계획"/>
      <sheetName val="이름정의_판매계획정리"/>
      <sheetName val="이름정의_라인운영계획"/>
      <sheetName val="PP%-low RPM"/>
      <sheetName val="After Sales Supplier #'s"/>
      <sheetName val="RD제품개발투자비_매가_"/>
      <sheetName val="부품 LIST"/>
      <sheetName val="Filter"/>
      <sheetName val="1단가변동"/>
      <sheetName val="日程"/>
      <sheetName val="進め方"/>
      <sheetName val="報告書表紙"/>
      <sheetName val="AQL(0.65)"/>
      <sheetName val="InspectionData (2)"/>
      <sheetName val="CTEMCOST"/>
      <sheetName val="Ref_List"/>
      <sheetName val="Evaluation-Bewertung"/>
      <sheetName val="Input Form - EingabeMaske"/>
      <sheetName val="Language-Sprachen"/>
      <sheetName val="1.생산0"/>
      <sheetName val="1.개발개요"/>
      <sheetName val="G-Exchange #667"/>
      <sheetName val="C-Mix Rate &amp; Revenue(calc)"/>
      <sheetName val="TotNA"/>
      <sheetName val="07주洁겦_x0000__x0000_"/>
      <sheetName val="07주᠍䌺㠀邮"/>
      <sheetName val="07주栍ᐵ蠀ꣁ"/>
      <sheetName val="07주_x0000__x0000__x0000_惪"/>
      <sheetName val="07주洁ᾦ_x0000__x0000_"/>
      <sheetName val="07주洂䢦_x0001__x0000_"/>
      <sheetName val="07주_x0000__x0000__x0000_櫪"/>
      <sheetName val="07주洂亦_x0001__x0000_"/>
      <sheetName val="07주_x0000__x0000__x0000_ᛪ"/>
      <sheetName val="07주_x0000__x0000__x0000_ᣪ"/>
      <sheetName val="07주_x0000__x0000__x0000_巪"/>
      <sheetName val="07주_x0000__x0000__x0000_濪"/>
      <sheetName val="General Assumptions"/>
      <sheetName val="종합원가분석 1 "/>
      <sheetName val="BLF"/>
      <sheetName val="설변이력"/>
      <sheetName val="TO"/>
      <sheetName val="SCROLL"/>
      <sheetName val="01년2월현황 "/>
      <sheetName val=" 제9차 회사표준 제개정 공청회 이의제기신청서.XLSX"/>
      <sheetName val="22.보증금(전신전화가입권)"/>
      <sheetName val="39.미지급법인세"/>
      <sheetName val="Condition"/>
      <sheetName val="월할경비"/>
      <sheetName val="의왕F사"/>
      <sheetName val="가공사"/>
      <sheetName val="Value "/>
      <sheetName val="절삭조건"/>
      <sheetName val="FIXED_ASSET"/>
      <sheetName val="Stop"/>
      <sheetName val="금형,검사구"/>
      <sheetName val="S P"/>
      <sheetName val="R FJS CAR (old)"/>
      <sheetName val="RONA_DCF"/>
      <sheetName val="RONA_CHRT"/>
      <sheetName val="절삭가공"/>
      <sheetName val="HYPO"/>
      <sheetName val="Certificate list "/>
      <sheetName val="기본자료(재직자)"/>
      <sheetName val="추가예산LIST"/>
      <sheetName val="Austria"/>
      <sheetName val="Material References"/>
      <sheetName val="PRINT"/>
      <sheetName val="ANNUAL"/>
      <sheetName val="Perunit"/>
      <sheetName val="DATA-1"/>
      <sheetName val="0006_FLT_IR_NAME"/>
      <sheetName val="인력변동"/>
      <sheetName val="22(4)"/>
      <sheetName val="조명시설"/>
      <sheetName val="13역무손익"/>
      <sheetName val="BS(4)"/>
      <sheetName val="JAPAN"/>
      <sheetName val="제조경비"/>
      <sheetName val="2.Underbody DT"/>
      <sheetName val="제품현황"/>
      <sheetName val="ABSENTEEISM"/>
      <sheetName val="제품군분류"/>
      <sheetName val="Macro3"/>
      <sheetName val="HO"/>
      <sheetName val="OUTPUT"/>
      <sheetName val="Q1 &amp; Q2"/>
      <sheetName val="CRA-Detail"/>
      <sheetName val="ING"/>
      <sheetName val="_x005f_x005f_x005f_x0000__x005f"/>
      <sheetName val="박두익"/>
      <sheetName val="개인별 교육현황"/>
      <sheetName val="관리구역도(181010)"/>
      <sheetName val="관리구역 책임자(181010)"/>
      <sheetName val="ACU기청소2018-05-04 (3)"/>
      <sheetName val="SMT구역"/>
      <sheetName val="ASM A동"/>
      <sheetName val="SMT구역 (2)"/>
      <sheetName val="관리구역 체크시트"/>
      <sheetName val="관리구역 평가시트"/>
      <sheetName val="활동대상"/>
      <sheetName val="5S카렌다"/>
      <sheetName val="양식1(사무용)"/>
      <sheetName val="양식2(현장용)"/>
      <sheetName val="문제점개선List"/>
      <sheetName val="개선전후테이블"/>
      <sheetName val="4월진단공지"/>
      <sheetName val="20150403진단"/>
      <sheetName val="책임구역표지"/>
      <sheetName val="관리구역도(140624)"/>
      <sheetName val="담당자편성표 (B)"/>
      <sheetName val="현장체크"/>
      <sheetName val="조립A구역"/>
      <sheetName val="조립A구역 (2)"/>
      <sheetName val="조립B구역"/>
      <sheetName val="구역책임자"/>
      <sheetName val="개선보고서 (2)"/>
      <sheetName val="설치작업개선"/>
      <sheetName val="현장개선"/>
      <sheetName val="02.08생산대상대수"/>
      <sheetName val="상품입고집계"/>
      <sheetName val="D300726-1"/>
      <sheetName val="CPK(Process Capanility)"/>
      <sheetName val="INATAKE SYS"/>
      <sheetName val="AIS"/>
      <sheetName val="COA"/>
      <sheetName val="Cover page"/>
      <sheetName val="Vwalk"/>
      <sheetName val="Adjusted OI"/>
      <sheetName val="Adjusted OI (2)"/>
      <sheetName val="Outlook"/>
      <sheetName val="Income Stmt (USD)"/>
      <sheetName val="Income Stmt (RMB)"/>
      <sheetName val="IS Loc Adj"/>
      <sheetName val="Balance Sht (USD)"/>
      <sheetName val="BS Loc+Adj"/>
      <sheetName val="Balance Sht (RMB)"/>
      <sheetName val="Cash Flow (USD)"/>
      <sheetName val="递延收益"/>
      <sheetName val="FCF"/>
      <sheetName val="Statistics"/>
      <sheetName val="AR&amp;AP&amp;Inventory"/>
      <sheetName val="Cash Forecast"/>
      <sheetName val="IC AP AR"/>
      <sheetName val="付款假设"/>
      <sheetName val="回款假设"/>
      <sheetName val="Cash Cross check"/>
      <sheetName val="TOOL"/>
      <sheetName val="EDD(DV)"/>
      <sheetName val="Volume"/>
      <sheetName val="Unit Price without LTA&amp;Pricing"/>
      <sheetName val="Sales without LTA&amp;Pricing"/>
      <sheetName val="Unit ECN Sales"/>
      <sheetName val="Total ECN Sales"/>
      <sheetName val="LTA Percentage"/>
      <sheetName val="LTA Amount"/>
      <sheetName val="P2P"/>
      <sheetName val="Total P2P"/>
      <sheetName val="Net Sales"/>
      <sheetName val="Cost-Detail"/>
      <sheetName val="Unit Mat Cost Without PS VAVE"/>
      <sheetName val="Material cost without PS VAVE"/>
      <sheetName val="Unit ECN cost"/>
      <sheetName val="ECN cost saving"/>
      <sheetName val="Unit Purchase Saving"/>
      <sheetName val="Total Purchase Saving"/>
      <sheetName val="Unit VAVE Saving"/>
      <sheetName val="Total VAVE"/>
      <sheetName val="Unit Margin Improvement"/>
      <sheetName val="Total Margin Improvement"/>
      <sheetName val="Unit mat. cost after PS VAVE"/>
      <sheetName val="Total Mat.cost after PS VAVE"/>
      <sheetName val="Unit Inb Freight Rate"/>
      <sheetName val="Inboud Freight Amount"/>
      <sheetName val="Unit Inb-Duty"/>
      <sheetName val="Inbound Duty"/>
      <sheetName val="Material cost before Scrap"/>
      <sheetName val="Scrap Rate"/>
      <sheetName val="Scrap Amount"/>
      <sheetName val="Scrap recovery rate"/>
      <sheetName val="Scrap Recovery Amount"/>
      <sheetName val="Unit Production Auxiliary"/>
      <sheetName val="Production Auxiliary"/>
      <sheetName val="Net Material"/>
      <sheetName val="Unit OB freight"/>
      <sheetName val="Total OB freight"/>
      <sheetName val="Total LC&amp;OVH"/>
      <sheetName val="LC&amp;OVH_variable"/>
      <sheetName val="LC&amp;OVH_Fix"/>
      <sheetName val="LC&amp;OVH_Undefined"/>
      <sheetName val="LC&amp;OVH_Undefined_Var."/>
      <sheetName val="LC&amp;OVH_Undefined_Fix."/>
      <sheetName val="Total headcount &amp; labor cost"/>
      <sheetName val="Direct Labor Cost"/>
      <sheetName val="Indirect Labor Cost"/>
      <sheetName val="Salary Cost"/>
      <sheetName val="Expense_Total"/>
      <sheetName val="Expense_Fix"/>
      <sheetName val="Expense_Variable"/>
      <sheetName val="Expense_Undefined"/>
      <sheetName val="Expense-Logistic"/>
      <sheetName val="Expense-HR"/>
      <sheetName val="Expense-Admin"/>
      <sheetName val="Expense-Finance"/>
      <sheetName val="Expense-IT"/>
      <sheetName val="Expense-Purchase"/>
      <sheetName val="Expense-Quality"/>
      <sheetName val="Expense-SD"/>
      <sheetName val="Expense-Engineering"/>
      <sheetName val="Expense-Manufacturing"/>
      <sheetName val="Expense-PM"/>
      <sheetName val="Expense-Production"/>
      <sheetName val="Expense-Mgnt"/>
      <sheetName val="Capex&amp;Depr"/>
      <sheetName val="MSI-Month"/>
      <sheetName val="MSI - FY(RMB)"/>
      <sheetName val="MSI - Comm Sales"/>
      <sheetName val="MSI - IC Sales"/>
      <sheetName val="MSI - Mat Cost"/>
      <sheetName val="MSI - Direct Labor"/>
      <sheetName val="MSI - Variable OH"/>
      <sheetName val="MSI - Fixed OH"/>
      <sheetName val="IC_AP_AR"/>
      <sheetName val="外仓1"/>
      <sheetName val="外仓TEM1"/>
      <sheetName val="세디_율진"/>
      <sheetName val="Data_Umum"/>
      <sheetName val="포라이트"/>
      <sheetName val="____ilencer"/>
      <sheetName val="1_TM17"/>
      <sheetName val="2_align17"/>
      <sheetName val="3_JUDDER17"/>
      <sheetName val="4_M_S17"/>
      <sheetName val="5_P_W_R17"/>
      <sheetName val="6_F_G17"/>
      <sheetName val="7__SCABLE17"/>
      <sheetName val="8_DIFF17"/>
      <sheetName val="9_A_C17"/>
      <sheetName val="10_GEAR17"/>
      <sheetName val="11_ISC17"/>
      <sheetName val="12_ALT17"/>
      <sheetName val="13_O_S17"/>
      <sheetName val="14_silencer17"/>
      <sheetName val="15_DAMPER17"/>
      <sheetName val="16_HUB17"/>
      <sheetName val="17_DLOCK17"/>
      <sheetName val="18_PSP17"/>
      <sheetName val="19_누수17"/>
      <sheetName val="20_K_S17"/>
      <sheetName val="1ဲ_ALT17"/>
      <sheetName val="1ဳ_O_S17"/>
      <sheetName val="15_၄AMPER17"/>
      <sheetName val="GB-IC_Villingen_GG17"/>
      <sheetName val="OPT손익_내수17"/>
      <sheetName val="OPT손익_수출17"/>
      <sheetName val="BACK_DATA_08_7_1~17"/>
      <sheetName val="E_W17"/>
      <sheetName val="P_W17"/>
      <sheetName val="S_W17"/>
      <sheetName val="二_POSITION_XLS17"/>
      <sheetName val="BACK_DATA17"/>
      <sheetName val="외주현황_wq117"/>
      <sheetName val="B053_(990701)공정실적PP%계산17"/>
      <sheetName val="SUB_2월_재검사추이도16"/>
      <sheetName val="TEMP_TORQUE17"/>
      <sheetName val="진행_DATA_(2)17"/>
      <sheetName val="2_대외공문17"/>
      <sheetName val="CASE_ASM16"/>
      <sheetName val="14_1부16"/>
      <sheetName val="1_변경범위17"/>
      <sheetName val="5_세운W-A17"/>
      <sheetName val="LX3_0_RR16"/>
      <sheetName val="126_25516"/>
      <sheetName val="설비능력및_종합공정능력산출시_사용16"/>
      <sheetName val="JT3_0견적-구116"/>
      <sheetName val="3_일반사상16"/>
      <sheetName val="팀별_합계16"/>
      <sheetName val="운임_환차손-Y17"/>
      <sheetName val="c_db22"/>
      <sheetName val="LAMBDA_자작16"/>
      <sheetName val="소상_&quot;1&quot;16"/>
      <sheetName val="5_WIRE적용LIST16"/>
      <sheetName val="내수1_8GL16"/>
      <sheetName val="PRESS_DATA15"/>
      <sheetName val="Nego_PV16"/>
      <sheetName val="매출종합_`0916"/>
      <sheetName val="검사기준서_을_치수16"/>
      <sheetName val="검사기준서_갑16"/>
      <sheetName val="검사기준서_을16"/>
      <sheetName val="검사협정_갑16"/>
      <sheetName val="검사성적서_갑16"/>
      <sheetName val="검사성적서_을16"/>
      <sheetName val="검사성적서_병16"/>
      <sheetName val="ALPROFILE_발주실적15"/>
      <sheetName val="Evaluation_objects16"/>
      <sheetName val="개발_TOOL_집계표15"/>
      <sheetName val="경상_개발비15"/>
      <sheetName val="MACRO1_XLM15"/>
      <sheetName val="X-3_ENG15"/>
      <sheetName val="FUEL_FILLER16"/>
      <sheetName val="차체부품_INS_REPORT(갑)16"/>
      <sheetName val="Sheet1_(2)15"/>
      <sheetName val="계산_DATA_입력15"/>
      <sheetName val="상세_계산_내역15"/>
      <sheetName val="Sheet6_(3)15"/>
      <sheetName val="GLOBAL_PT_NEW_FORMAT_OCT_200215"/>
      <sheetName val="_납촉자16"/>
      <sheetName val="3-2_귀책부서별_DT현황16"/>
      <sheetName val="1_2내수15"/>
      <sheetName val="Cost_Reduction15"/>
      <sheetName val="3__관리점지수실적-1_1생산성15"/>
      <sheetName val="Sec_1_-_RFQ15"/>
      <sheetName val="02년_SUC15"/>
      <sheetName val="Rate_data15"/>
      <sheetName val="_SR3차원단위_(3)9"/>
      <sheetName val="Master_Cable15"/>
      <sheetName val="S50_8"/>
      <sheetName val="ERP도입후_시정현황9"/>
      <sheetName val="포머_비가동_내역10"/>
      <sheetName val="FRONT_HUB견적가10"/>
      <sheetName val="J150_승인진도관리_LIST9"/>
      <sheetName val="TOTAL_LIST9"/>
      <sheetName val="Price_Range9"/>
      <sheetName val="FTR_MACRo9"/>
      <sheetName val="일일_업무_현황_(3)10"/>
      <sheetName val="일일_업무_현황_(5)10"/>
      <sheetName val="MPL_技連10"/>
      <sheetName val="342E_BLOCK10"/>
      <sheetName val="VS1_Paretto분석10"/>
      <sheetName val="0_절삭조건10"/>
      <sheetName val="DATA_BASE9"/>
      <sheetName val="02_07_27_부품판매가9"/>
      <sheetName val="협력사_일반현황10"/>
      <sheetName val="Bosch_ADVP&amp;R15"/>
      <sheetName val="CAPA분석_360K12"/>
      <sheetName val="Purchasing_Data9"/>
      <sheetName val="6_N_m_CCW_전류9"/>
      <sheetName val="VPP(BD-010)_이상보고9"/>
      <sheetName val="Sch7a_(토요일)15"/>
      <sheetName val="제품명_(3)9"/>
      <sheetName val="After_sales9"/>
      <sheetName val="GLOBAL_PT_NEW_FORMAT_JULY__2010"/>
      <sheetName val="실적_및_계획15"/>
      <sheetName val="공정능력_(2)15"/>
      <sheetName val="원단위_전후비교15"/>
      <sheetName val="외주품_감점_유형_기준15"/>
      <sheetName val="첨부4_기술평가서8"/>
      <sheetName val="Production_Plan19"/>
      <sheetName val="PRO_(참조)15"/>
      <sheetName val="97계획(96_118"/>
      <sheetName val="대외공문_9"/>
      <sheetName val="업무분장_9"/>
      <sheetName val="INVESTMENT_(Hardware)10"/>
      <sheetName val="신고서_전9"/>
      <sheetName val="Basic_assumptions9"/>
      <sheetName val="영업_일19"/>
      <sheetName val="PFMEA_XLS9"/>
      <sheetName val="Interco_&amp;_PVS_Loc_Cur8"/>
      <sheetName val="TL_PROTO_2열3"/>
      <sheetName val="OEM_Plan9"/>
      <sheetName val="c_db113"/>
      <sheetName val="2008_г9"/>
      <sheetName val="RELAY_FAX양식9"/>
      <sheetName val="상세_견적서_(HMC)9"/>
      <sheetName val="★금형비_계산서8"/>
      <sheetName val="공정별공법-W_HSE-LH9"/>
      <sheetName val="Supplier_QRQC8"/>
      <sheetName val="FLOW_PROSES_(A)12"/>
      <sheetName val="1-1_General_Code9"/>
      <sheetName val="2차_OIL량측정9"/>
      <sheetName val="4_3_첨부19"/>
      <sheetName val="고객불만_건9"/>
      <sheetName val="자동차_종합지표9"/>
      <sheetName val="1_ER유체응용9"/>
      <sheetName val="4_시험장비9"/>
      <sheetName val="PACKING_LIST3"/>
      <sheetName val="COOLING_UNIT3"/>
      <sheetName val="J2(P_MT)8"/>
      <sheetName val="3_3검토국8"/>
      <sheetName val="LOWSIDE_비교8"/>
      <sheetName val="DBL_LPG시험9"/>
      <sheetName val="MPS_Q3_FY049"/>
      <sheetName val="MPS_Q4_FY049"/>
      <sheetName val="_PPAP_작성중__xlsx9"/>
      <sheetName val="2_중요한회계정책9"/>
      <sheetName val="9_관계기업투자9"/>
      <sheetName val="42_리스9"/>
      <sheetName val="25_법인세9"/>
      <sheetName val="생산현황_(입력)9"/>
      <sheetName val="업체별_단가현황9"/>
      <sheetName val="일일_생산및판매계획_대_실적9"/>
      <sheetName val="임율_&amp;_LOT9"/>
      <sheetName val="생산계획_(2)9"/>
      <sheetName val="CR_CODE9"/>
      <sheetName val="THEME_CODE9"/>
      <sheetName val="P&amp;L,Bal_Sheet,Cash_Forecast9"/>
      <sheetName val="비교원가제출_고9"/>
      <sheetName val="1_세부비교원가(내수)9"/>
      <sheetName val="1_종합비교원가(내수_일반_유럽)9"/>
      <sheetName val="10_예산_및_원가_계획(02년)9"/>
      <sheetName val="3_PT개발계획9"/>
      <sheetName val="GM_Master9"/>
      <sheetName val="OEM_이의제기_종합8"/>
      <sheetName val="#1-1_(2)3"/>
      <sheetName val="Value_Analysis_-_Sheet_19"/>
      <sheetName val="기초_DATA3"/>
      <sheetName val="1_기안을지8"/>
      <sheetName val="검사협정_보충8"/>
      <sheetName val="2-2_매출분석3"/>
      <sheetName val="09년_현황9"/>
      <sheetName val="WTC_BODY一覧原紙9"/>
      <sheetName val="3월말_장기악성(국내)9"/>
      <sheetName val="2월말_장기악성(국내)9"/>
      <sheetName val="Data_Sheet9"/>
      <sheetName val="6_수입검사_9"/>
      <sheetName val="03_PFD-19"/>
      <sheetName val="12_Inv_9"/>
      <sheetName val="97년_재료예산(안)9"/>
      <sheetName val="1_터빈9"/>
      <sheetName val="cost_base_e_dati9"/>
      <sheetName val="2__Definitions9"/>
      <sheetName val="코드_조건표10"/>
      <sheetName val="HMC_사전원가(원혁기준)13%9"/>
      <sheetName val="재품별_단가9"/>
      <sheetName val="장비_전체리스트9"/>
      <sheetName val="_17"/>
      <sheetName val="집중검사_리스트9"/>
      <sheetName val="production_dept9"/>
      <sheetName val="PS_SIDE_OTR_INR_공정개선_상세7"/>
      <sheetName val="Actual_In_&amp;_Out8"/>
      <sheetName val="1_2_2완제품검사('00_4월)_(가라)8"/>
      <sheetName val="4_Vendor_price8"/>
      <sheetName val="14년_증판안_판촉8"/>
      <sheetName val="Proj_List_00E9"/>
      <sheetName val="2012_Volum9"/>
      <sheetName val="B053_(990701)공정능력PC%계산8"/>
      <sheetName val="P&amp;L_account9"/>
      <sheetName val="국내_8"/>
      <sheetName val="4,5공장_8"/>
      <sheetName val="시트_8"/>
      <sheetName val="VERTICAL_PIPE8"/>
      <sheetName val="TABLE_DB8"/>
      <sheetName val="쌍용_data_base8"/>
      <sheetName val="2과_공수집계8"/>
      <sheetName val="118_세금과공과8"/>
      <sheetName val="경영재무_(입력)8"/>
      <sheetName val="연구개발_(입력)8"/>
      <sheetName val="일반현황_(입력)8"/>
      <sheetName val="품질관리_(입력)8"/>
      <sheetName val="실행내역서_9"/>
      <sheetName val="개발_LIST9"/>
      <sheetName val="PC%계산(WM_COMM단차)9"/>
      <sheetName val="차체_품안표9"/>
      <sheetName val="1_1_2008_OTIF9"/>
      <sheetName val="BAFFLE_HMC_TABLE19"/>
      <sheetName val="1~3월_지시사항9"/>
      <sheetName val="1_POSITIONING9"/>
      <sheetName val="무부하_회전수9"/>
      <sheetName val="진행중_설변9"/>
      <sheetName val="HOLE_9905(1)9"/>
      <sheetName val="Upgrades_pricing8"/>
      <sheetName val="7_3_DY팀8"/>
      <sheetName val="PNL_ASS'Y_CRASH_PAD_UPR_RH8"/>
      <sheetName val="공정능력(마운틴_홀_거리)8"/>
      <sheetName val="Summary_Sheet8"/>
      <sheetName val="Datasheet_for_KPI_Model_18"/>
      <sheetName val="Moulding_data8"/>
      <sheetName val="TEAM하반기_계획_(2)8"/>
      <sheetName val="YOKE-H(10_3)8"/>
      <sheetName val="▶R_C_FRM8"/>
      <sheetName val="광주_소요량8"/>
      <sheetName val="5-Why_Root_Cause_Analysis_8"/>
      <sheetName val="full_(2)8"/>
      <sheetName val="초_성8"/>
      <sheetName val="CHECK_성8"/>
      <sheetName val="cpk_data8"/>
      <sheetName val="Drop-down_Lists8"/>
      <sheetName val="Bas_Moteur8"/>
      <sheetName val="신흥테크_세부내역_LIST3"/>
      <sheetName val="repeatative_rejection1"/>
      <sheetName val="Validation_Lists8"/>
      <sheetName val="CAR_Form_Summary1"/>
      <sheetName val="Personnaliser___1"/>
      <sheetName val="Takt_Time1"/>
      <sheetName val="2000_(원본)1"/>
      <sheetName val="Danh_Mục2"/>
      <sheetName val="Danh_Muc2"/>
      <sheetName val="Danh_sach_Hàn_thùng1"/>
      <sheetName val="RFQ_18049"/>
      <sheetName val="보강사_소요량8"/>
      <sheetName val="_하반기_경비_조정계획_150627(사계_r2_기준)_3"/>
      <sheetName val="LINE_운영안8"/>
      <sheetName val="원가_종합9"/>
      <sheetName val="DV_Flow_Chart_DV-PV1_(PFC)9"/>
      <sheetName val="MATEMST_(2)8"/>
      <sheetName val="Order_status9"/>
      <sheetName val="_18"/>
      <sheetName val="Order_status28"/>
      <sheetName val="Customer_Master8"/>
      <sheetName val="Common_code8"/>
      <sheetName val="Order_Status_Master8"/>
      <sheetName val="Product_Master8"/>
      <sheetName val="기초_데이터3"/>
      <sheetName val="Net_Revenue3"/>
      <sheetName val="중요차종_(090131)3"/>
      <sheetName val="사무용품_신청8"/>
      <sheetName val="Z41,Z42_이외total8"/>
      <sheetName val="제품별_매출9"/>
      <sheetName val="표지_(2)3"/>
      <sheetName val="99년12월_실적DATA3"/>
      <sheetName val="7)_133677343"/>
      <sheetName val="6_Parent_S__Fixed_Prod1"/>
      <sheetName val="SUST_DEV_&amp;_OTHER"/>
      <sheetName val="Issues_List3"/>
      <sheetName val="(2)월생산현황_3"/>
      <sheetName val="LINE_PPM-분석3"/>
      <sheetName val="Actual_data3"/>
      <sheetName val="Data_Working_Time9"/>
      <sheetName val="Kautex_4WD_St_IV_P&amp;D1"/>
      <sheetName val="Sachs_FL_WHL1"/>
      <sheetName val="BOX_ASSY1"/>
      <sheetName val="OEM_"/>
      <sheetName val="August_2003"/>
      <sheetName val="OE_UMC"/>
      <sheetName val="Analysis-Others_Pg_4"/>
      <sheetName val="SEP_2007"/>
      <sheetName val="Fx_Rates"/>
      <sheetName val="_관리계획서_Rev_01_xlsx"/>
      <sheetName val="II__CF"/>
      <sheetName val="I__Assumptions"/>
      <sheetName val="Data_Input2"/>
      <sheetName val="원단위_1계_2계7"/>
      <sheetName val="11403-06163_เก่า7"/>
      <sheetName val="FM-HD_(New)7"/>
      <sheetName val="FM-HD_(HKMC)_7"/>
      <sheetName val="FM-HD_(11254-06201)__7"/>
      <sheetName val="FM-HD_(11251-06163)7"/>
      <sheetName val="FM-HD_(11514053)7"/>
      <sheetName val="FM-HD_(11611807)7"/>
      <sheetName val="FM-HD_(94502003)7"/>
      <sheetName val="FM-HD_(94501839)7"/>
      <sheetName val="FM-HD_(PT-GDENG0911-4)7"/>
      <sheetName val="FM-HD_(94520439)7"/>
      <sheetName val="FM-HD_(94500396)7"/>
      <sheetName val="FM-HD_(94500407)7"/>
      <sheetName val="FM-HD_(94500414)7"/>
      <sheetName val="FM-HD_(94500073)7"/>
      <sheetName val="FM-HD_(11588683)7"/>
      <sheetName val="FM-HD_(94500952)7"/>
      <sheetName val="FM-HD_(11569995)7"/>
      <sheetName val="FM-HD_(11254-06201)7"/>
      <sheetName val="FM-HD_(11588685)7"/>
      <sheetName val="FM-HD_(94500793)_7"/>
      <sheetName val="FM-HD_(11588717)7"/>
      <sheetName val="FM-HD_(HD-25198904)7"/>
      <sheetName val="FM-HD_(HD-11570514)_7"/>
      <sheetName val="FM-HD_(11097441)7"/>
      <sheetName val="FM-HD_(11588662)_7"/>
      <sheetName val="FM-HD_(11519387)7"/>
      <sheetName val="FM-HD_(11561969)7"/>
      <sheetName val="FM-HD_(11516580)7"/>
      <sheetName val="FM-HD_(11588712)___7"/>
      <sheetName val="FM-HD_(11519375)7"/>
      <sheetName val="FM-HD_(FAA32071001)__7"/>
      <sheetName val="FM-HD_(11519382)_7"/>
      <sheetName val="FM-HD_(11519383)_7"/>
      <sheetName val="FM-HD_(11561763)__7"/>
      <sheetName val="FM-HD_(11588316)__7"/>
      <sheetName val="Schedule_11"/>
      <sheetName val="Rollforward_{bpe}1"/>
      <sheetName val="Allow_-_SR&amp;D1"/>
      <sheetName val="220_(2)3"/>
      <sheetName val="PU_FOAM_가격조정_기준1"/>
      <sheetName val="Diaph1_values1"/>
      <sheetName val="Diaph2_values1"/>
      <sheetName val="Diaph_values1"/>
      <sheetName val="Cushion_datas1"/>
      <sheetName val="P_O_(LOCAL)1"/>
      <sheetName val="U268_4x4_AT(walk)Mitsu1"/>
      <sheetName val="UPPER_도면1"/>
      <sheetName val="20060624_공조제어2"/>
      <sheetName val="풍량상한치_제한_data2"/>
      <sheetName val="Source_List2"/>
      <sheetName val="공정공수_XLS1"/>
      <sheetName val="04_03월소일정계획"/>
      <sheetName val="FRN_02000"/>
      <sheetName val="Mẫu_DMVT"/>
      <sheetName val="Mẫu_DMVT_(2)"/>
      <sheetName val="DANH_MỤC_NHÓM_ĐỐI_TƯỢNG"/>
      <sheetName val="Nhap_T8"/>
      <sheetName val="Begining_detail-CTIET"/>
      <sheetName val="Summary-TOMLUOC_"/>
      <sheetName val="SO_TONG_HOP_CONG_NO"/>
      <sheetName val="Nguon_PT_xetai"/>
      <sheetName val="Nguon_PT_xe_Ben"/>
      <sheetName val="Bien_so"/>
      <sheetName val="DM_KHAU_HAO"/>
      <sheetName val="MỤC_LỤC"/>
      <sheetName val="Ghi_chú"/>
      <sheetName val="1__Định_hướng_HĐ_CN_năm_2019"/>
      <sheetName val="2_1_Tổng_quan_TT_KD_xe_DL"/>
      <sheetName val="2_2_Tổng_quan_TT_DVPT_DL"/>
      <sheetName val="3_1__ĐKM_xe_DL"/>
      <sheetName val="3_2_1__KH_KD-MKT_&amp;_TCKD_xe_KIA"/>
      <sheetName val="3_2_2_CSBH_KIA"/>
      <sheetName val="3_2_3__KH_KD-MKT&amp;TCKD_DVPT"/>
      <sheetName val="Pv_SL"/>
      <sheetName val="3_3_1_KH_KD-MKT_&amp;_TCKD_Mazda"/>
      <sheetName val="3_3_2_CSBH_MAZDA"/>
      <sheetName val="3_3_3_KH_KD-MKT&amp;TCKD_DVPT_MAZDA"/>
      <sheetName val="3_4__DVPT_SR_KIA_MAZDA"/>
      <sheetName val="3_4_1_KH_KD-MKT&amp;TCKD_PEUGEOT"/>
      <sheetName val="3_4_2_CSBH_PEUGEOT"/>
      <sheetName val="3_4_3_KH_KD-MKT&amp;TC_DVPT_PEUGEOT"/>
      <sheetName val="3_5__TÀI_CHÍNH_KD_XE_KIA_MAZDA"/>
      <sheetName val="4_1_Tổng_quan_TT_KD_Tai,_Bus"/>
      <sheetName val="4_2_Tổng_quan_TT_DVPT_Tai_Bus"/>
      <sheetName val="5_1__ĐKM_xe_Tai,_Bus"/>
      <sheetName val="PTBH_2018"/>
      <sheetName val="SL_-_TVBH"/>
      <sheetName val="5_2a__KD_Xe_Fuso"/>
      <sheetName val="5_2b__KD_Xe_Foton"/>
      <sheetName val="5_2c__KD_Xe_Bus"/>
      <sheetName val="5_2__KH_KD-MKT&amp;TCKD_xe_Tải,_Bus"/>
      <sheetName val="5_3__CSBH_xe_Tải,_Bus"/>
      <sheetName val="5_4_KH_KD-MKT&amp;TC_DVPT_Tải,_Bus"/>
      <sheetName val="Review_note"/>
      <sheetName val="6_1_ĐKĐK"/>
      <sheetName val="6_2__Bảo_hiểm"/>
      <sheetName val="6_3__Tín_dụng"/>
      <sheetName val="6_4__GSHT_&amp;_PH"/>
      <sheetName val="6_5_DVHT"/>
      <sheetName val="7_1_KH_nhân_sự"/>
      <sheetName val="7_2__Định_biên_&amp;_Lương"/>
      <sheetName val="7_3_KH_thưởng_năng_suất"/>
      <sheetName val="Check_TH"/>
      <sheetName val="8__Hành_chính"/>
      <sheetName val="8_1"/>
      <sheetName val="9_1__Duy_tu_bảo_trì"/>
      <sheetName val="9_2__Cải_tạo,_nâng_cấp"/>
      <sheetName val="10__TSCĐ_-_CCDC"/>
      <sheetName val="11D__Tài_chính_KD_XE_TỔNG"/>
      <sheetName val="11E__Tài_chính_KD_DVPT_TỔNG"/>
      <sheetName val="11A__Tài_chính_SR_KIA"/>
      <sheetName val="11B__Tài_chính_SR_MAZDA"/>
      <sheetName val="11D__Tài_chính_SR_Peugout"/>
      <sheetName val="11C__Tài_chính_SR_TẢI_BUS"/>
      <sheetName val="11D__Tài_chính_SR_Du_lịch"/>
      <sheetName val="11__Tài_chính_Chi_nhánh"/>
      <sheetName val="12__SĐTC"/>
      <sheetName val="Model_Synthesis_Report"/>
      <sheetName val="delta_impedance(평균)1"/>
      <sheetName val="금형_이력_카드"/>
      <sheetName val="4_경비_5_영업외수지"/>
      <sheetName val="FY_12_Interiors_Volume1"/>
      <sheetName val="INT_Price_FY12_MFC1"/>
      <sheetName val="Sch1_-_P&amp;L_Summary"/>
      <sheetName val="Sch2_-_BalSht_Summary"/>
      <sheetName val="Sch3_-_CFlow_Summary"/>
      <sheetName val="2019년_생산수량"/>
      <sheetName val="19년_종합_CT"/>
      <sheetName val="CONN_조립1"/>
      <sheetName val="Organization_chart201910021"/>
      <sheetName val="RESPONSIBILITY_MATRIX1"/>
      <sheetName val="seat-sdn_only"/>
      <sheetName val="Danh_sach"/>
      <sheetName val="THƯ_VIỆN"/>
      <sheetName val="거래선_생산계획"/>
      <sheetName val="BOM_Cost_(R-U713MHH)"/>
      <sheetName val="強度_CN_A1_C10H_152H"/>
      <sheetName val="Costed_BOM_2ndR_40%"/>
      <sheetName val="Input_Page"/>
      <sheetName val="Input_Sheet"/>
      <sheetName val="Aug01_Status_Rpt"/>
      <sheetName val="Base_Info"/>
      <sheetName val="Bang_KL"/>
      <sheetName val="Lcau_-_Lxuc"/>
      <sheetName val="PMBG12LD_장비및인원소요(D_A기준)_"/>
      <sheetName val="NEW_TOOL_MASTER"/>
      <sheetName val="3-2002년_소모공구비"/>
      <sheetName val="개발원가_종합"/>
      <sheetName val="MS_SPEC"/>
      <sheetName val="8월_매출현황"/>
      <sheetName val="3공장_순양전자"/>
      <sheetName val="현진테크_(2)"/>
      <sheetName val="동경cnc_지그"/>
      <sheetName val="대한테크_집계"/>
      <sheetName val="서연전자_(2)"/>
      <sheetName val="삼익전자_(2)"/>
      <sheetName val="삼익산업_(2)"/>
      <sheetName val="시무인텔_(2)"/>
      <sheetName val="성우일렉스_(2)"/>
      <sheetName val="성호테크_(2)"/>
      <sheetName val="2009년_매출_실적"/>
      <sheetName val="_Common_Info_Page"/>
      <sheetName val="LCAUTO_4"/>
      <sheetName val="LCAT수_조"/>
      <sheetName val="소재_이력"/>
      <sheetName val="99_조정금액"/>
      <sheetName val="THS_-_Key_Inputs"/>
      <sheetName val="2005년_소요량"/>
      <sheetName val="기준정보(A)_15_10_272"/>
      <sheetName val="단중_및_예비길이_SHEET_15_9_5(K)2"/>
      <sheetName val="15_1_02_15년_1월예시계획2"/>
      <sheetName val="15년_12월_시작재공품_15_12_32"/>
      <sheetName val="기준정보(A)_12_02_232"/>
      <sheetName val="STD__CAB2"/>
      <sheetName val="STD__NCAB2"/>
      <sheetName val="원소재_변경_상세2"/>
      <sheetName val="직거래가_변경2"/>
      <sheetName val="PL_By_Model(Result)1"/>
      <sheetName val="10-2_ED&amp;D_EQU"/>
      <sheetName val="REPAIR_DATA_-_CONTAINER_#51"/>
      <sheetName val="노원열병합__건축공사기성내역서2"/>
      <sheetName val="Gia_vat_tu2"/>
      <sheetName val="1_세부비교"/>
      <sheetName val="2차_OI"/>
      <sheetName val="Business_Plan"/>
      <sheetName val="_쿠첸_CIR-301_제원현황(170317)_xlsx"/>
      <sheetName val="BOM_CODE"/>
      <sheetName val="개조_요청서"/>
      <sheetName val="96_하반기_전시회_경비"/>
      <sheetName val="Summary_Capex_Info-Cal_(master)"/>
      <sheetName val="2_(1설원_첨)"/>
      <sheetName val="DS-Thuong_6T_dau"/>
      <sheetName val="CHI_TIẾT"/>
      <sheetName val="Data_Not_Used2"/>
      <sheetName val="FTQ_Data2"/>
      <sheetName val="Int_Pulls_Data2"/>
      <sheetName val="Int_Spills_Data2"/>
      <sheetName val="PPM_Data2"/>
      <sheetName val="Pulls_Data2"/>
      <sheetName val="Spills_Data2"/>
      <sheetName val="개선대책_양식2"/>
      <sheetName val="입력_List2"/>
      <sheetName val="DO_NOT_DELETE1"/>
      <sheetName val="Export_Data"/>
      <sheetName val="Grille_Q3P_Organe2"/>
      <sheetName val="Pt_Rates"/>
      <sheetName val="Table(APG_MF)"/>
      <sheetName val="Component_List"/>
      <sheetName val="Text_Control"/>
      <sheetName val="text_contl"/>
      <sheetName val="XD_담력저감"/>
      <sheetName val="원가검토가_(현양산품)"/>
      <sheetName val="원가검토가_(최초견적가)"/>
      <sheetName val="원가검토가_(최초양산품)"/>
      <sheetName val="RT_Table"/>
      <sheetName val="Histogram_Chart1"/>
      <sheetName val="Freq_error_DATA1"/>
      <sheetName val="Freq_HISTOGRAM1"/>
      <sheetName val="FAX_(2)"/>
      <sheetName val="입력_데이타"/>
      <sheetName val="TLc_개조차(목표원가)"/>
      <sheetName val="Sheet1_(3)"/>
      <sheetName val="의장2반_"/>
      <sheetName val="Detail_Defect_COMBO_KAISER"/>
      <sheetName val="KQ_1"/>
      <sheetName val="28_8부"/>
      <sheetName val="3rd DESIGN APRD"/>
      <sheetName val="Inputs"/>
      <sheetName val="PL"/>
      <sheetName val="Data-year2001i"/>
      <sheetName val="Tien Thuong"/>
      <sheetName val="NC XL 6T cuoi 01 CTy"/>
      <sheetName val="Data -6T dau"/>
      <sheetName val="Cong 6T"/>
      <sheetName val="(9차)(본드합포)"/>
      <sheetName val="(9차)(화염양면라미)"/>
      <sheetName val="기준DATA"/>
      <sheetName val="Group Consolidated"/>
      <sheetName val="Quantity"/>
      <sheetName val="ORIGN"/>
      <sheetName val="지역개발"/>
      <sheetName val="980731"/>
      <sheetName val="Intercompany Detail"/>
      <sheetName val="plan&amp;section of foundation"/>
      <sheetName val="재료비집계표"/>
      <sheetName val="공정능력외경2OF3"/>
      <sheetName val="生产"/>
      <sheetName val="4. 가격구조"/>
      <sheetName val="판매일보"/>
      <sheetName val="HOSE절단생산"/>
      <sheetName val="PIPE절단생산"/>
      <sheetName val="PIPE성형생산"/>
      <sheetName val="총무"/>
      <sheetName val="연령현황"/>
      <sheetName val="등록양식(가로)"/>
      <sheetName val="CU열교환기 평균생산"/>
      <sheetName val="총괄"/>
      <sheetName val="07주"/>
      <sheetName val="Rate dat÷"/>
      <sheetName val="분류표"/>
      <sheetName val="연계-GPM-BRAND"/>
      <sheetName val="직노"/>
      <sheetName val="Roadmap Target_0627"/>
      <sheetName val="Roadmap Target (2)"/>
      <sheetName val="NX4e CAC INLET"/>
      <sheetName val="세부1-1"/>
      <sheetName val="세부1-2"/>
      <sheetName val="세부1-3"/>
      <sheetName val="세부1-4"/>
      <sheetName val="NX4e CAC OUTLET"/>
      <sheetName val="세부2-1"/>
      <sheetName val="세부2-2"/>
      <sheetName val="세부2-3"/>
      <sheetName val="세부2-4"/>
      <sheetName val="Theta3 FF (기존)"/>
      <sheetName val="Theta3 FF"/>
      <sheetName val="TF_1"/>
      <sheetName val="TF_2"/>
      <sheetName val="TF_3"/>
      <sheetName val="TF_4"/>
      <sheetName val="TF_5"/>
      <sheetName val="TF_6"/>
      <sheetName val="TR_7"/>
      <sheetName val="HZG D-Full Coolant Hose "/>
      <sheetName val="9BQX CAC"/>
      <sheetName val="9BQX CAC INLET_OUTLET(구매)"/>
      <sheetName val="NQ5 RADIATOR HOSE"/>
      <sheetName val="NX4 OIL COOLER HOSE"/>
      <sheetName val="SG2 RADIATOR HOSE(Current반영)"/>
      <sheetName val="NX4 BRAKE HOSE (구매)"/>
      <sheetName val="NX4 Brake Hose(개발)"/>
      <sheetName val="US4 OIL COOLER HOSE"/>
      <sheetName val="KA4 OIL COOLER HOSE"/>
      <sheetName val="Roadmap Target"/>
      <sheetName val="1(A급) (2)"/>
      <sheetName val="(Vendor)Cover"/>
      <sheetName val="M1"/>
      <sheetName val="REV Idle(19)_Output(74_중심거리확정)"/>
      <sheetName val="수정"/>
      <sheetName val="20년 생산확대방안"/>
      <sheetName val="산출데이타(a)"/>
      <sheetName val="Dimension Data"/>
      <sheetName val="Capa(1)"/>
      <sheetName val="변수1"/>
      <sheetName val="2차 OI_x0010__x0000_?࠱"/>
      <sheetName val="P1"/>
      <sheetName val="2014.10"/>
      <sheetName val="1-1.Gene"/>
      <sheetName val="SALE&amp;COST"/>
      <sheetName val="환율반영"/>
      <sheetName val="KPI sheet"/>
      <sheetName val="조정내역(스크랩)"/>
      <sheetName val="FX Table"/>
      <sheetName val="CD&amp;SwapRates"/>
      <sheetName val="첨부3부재료비(차체)"/>
      <sheetName val="진천"/>
      <sheetName val="제품구분"/>
      <sheetName val="FE DPHU报告 "/>
      <sheetName val="TOP 15"/>
      <sheetName val="FE_DPHU报告_"/>
      <sheetName val="詳細資料"/>
      <sheetName val="Qual Approv Test Plan_050322"/>
      <sheetName val="Dashboard (methodologies)"/>
      <sheetName val="BE DPHU报告 "/>
      <sheetName val="Workings"/>
      <sheetName val="Solution"/>
      <sheetName val="1-1. OEM"/>
      <sheetName val="1-2 Code Info"/>
      <sheetName val="전공장2"/>
      <sheetName val="실사LIST-중간가공품(05.12.27현재) (2)"/>
      <sheetName val="4R-G"/>
      <sheetName val="5R-G"/>
      <sheetName val="TRIM-Y3"/>
      <sheetName val="Features"/>
      <sheetName val="기종별 합계"/>
      <sheetName val="CBase"/>
      <sheetName val="학교기부"/>
      <sheetName val="FOB현황"/>
      <sheetName val="제조5과"/>
      <sheetName val="8.공정능력평가(5)"/>
      <sheetName val="수량산출"/>
      <sheetName val="기초자료입력"/>
      <sheetName val="4.Financial"/>
      <sheetName val="3_4). FR 종합"/>
      <sheetName val="3_4). RR 종합"/>
      <sheetName val="Material_References"/>
      <sheetName val="EO 이력관리대장"/>
      <sheetName val="Zuschläge,Tarife"/>
      <sheetName val="18-2"/>
      <sheetName val="Controls"/>
      <sheetName val="IMT-2000"/>
      <sheetName val="천정등기구 실적"/>
      <sheetName val="实行计划书"/>
      <sheetName val="영업 입수계획 "/>
      <sheetName val="내장램프"/>
      <sheetName val="참고1 02 판매계획 (수량)"/>
      <sheetName val="전사 경영계획 수량"/>
      <sheetName val="임율_경비"/>
      <sheetName val="일수"/>
      <sheetName val="창원생산실적(190501~190520)"/>
      <sheetName val="식자재사용량(4월20일)"/>
      <sheetName val="합천내역"/>
      <sheetName val="받을어음"/>
      <sheetName val="***********************00"/>
      <sheetName val="가격작업표"/>
      <sheetName val="車会集約"/>
      <sheetName val="PANEL"/>
      <sheetName val="판매물량CASE"/>
      <sheetName val="생j_x0000_"/>
      <sheetName val="G2설비도급"/>
      <sheetName val="단위"/>
      <sheetName val="devis qcdp2"/>
      <sheetName val="추가예산"/>
      <sheetName val="본사인상전"/>
      <sheetName val="TNC(1안)"/>
      <sheetName val="비용"/>
      <sheetName val="인상효1"/>
      <sheetName val="예산내역서"/>
      <sheetName val="매출이익011h"/>
      <sheetName val="용도01_02년비교"/>
      <sheetName val="용도02년"/>
      <sheetName val="TNC"/>
      <sheetName val="생산량"/>
      <sheetName val="현장경비"/>
      <sheetName val="IN2"/>
      <sheetName val="집계표"/>
      <sheetName val="Duration "/>
      <sheetName val="인건비정보"/>
      <sheetName val="설비비-YV4"/>
      <sheetName val="인건비-YV4"/>
      <sheetName val="재료비-YV4"/>
      <sheetName val="fin5"/>
      <sheetName val="9907협력"/>
      <sheetName val="매각단ᯇ"/>
      <sheetName val="삼익계산"/>
      <sheetName val="COSTING"/>
      <sheetName val="Cover_page"/>
      <sheetName val="Adjusted_OI"/>
      <sheetName val="Adjusted_OI_(2)"/>
      <sheetName val="Income_Stmt_(USD)"/>
      <sheetName val="Income_Stmt_(RMB)"/>
      <sheetName val="IS_Loc_Adj"/>
      <sheetName val="Balance_Sht_(USD)"/>
      <sheetName val="BS_Loc+Adj"/>
      <sheetName val="Balance_Sht_(RMB)"/>
      <sheetName val="Cash_Flow_(USD)"/>
      <sheetName val="Cash_Forecast"/>
      <sheetName val="IC_AP_AR1"/>
      <sheetName val="Cash_Cross_check"/>
      <sheetName val="Unit_Price_without_LTA&amp;Pricing"/>
      <sheetName val="Sales_without_LTA&amp;Pricing"/>
      <sheetName val="Unit_ECN_Sales"/>
      <sheetName val="Total_ECN_Sales"/>
      <sheetName val="LTA_Percentage"/>
      <sheetName val="LTA_Amount"/>
      <sheetName val="Total_P2P"/>
      <sheetName val="Net_Sales"/>
      <sheetName val="Unit_Mat_Cost_Without_PS_VAVE"/>
      <sheetName val="Material_cost_without_PS_VAVE"/>
      <sheetName val="Unit_ECN_cost"/>
      <sheetName val="ECN_cost_saving"/>
      <sheetName val="Unit_Purchase_Saving"/>
      <sheetName val="Total_Purchase_Saving"/>
      <sheetName val="Unit_VAVE_Saving"/>
      <sheetName val="Total_VAVE"/>
      <sheetName val="Unit_Margin_Improvement"/>
      <sheetName val="Total_Margin_Improvement"/>
      <sheetName val="Unit_mat__cost_after_PS_VAVE"/>
      <sheetName val="Total_Mat_cost_after_PS_VAVE"/>
      <sheetName val="Unit_Inb_Freight_Rate"/>
      <sheetName val="Inboud_Freight_Amount"/>
      <sheetName val="Unit_Inb-Duty"/>
      <sheetName val="Inbound_Duty"/>
      <sheetName val="Material_cost_before_Scrap"/>
      <sheetName val="Scrap_Rate"/>
      <sheetName val="Scrap_Amount"/>
      <sheetName val="Scrap_recovery_rate"/>
      <sheetName val="Scrap_Recovery_Amount"/>
      <sheetName val="Unit_Production_Auxiliary"/>
      <sheetName val="Production_Auxiliary"/>
      <sheetName val="Net_Material"/>
      <sheetName val="Unit_OB_freight"/>
      <sheetName val="Total_OB_freight"/>
      <sheetName val="Total_LC&amp;OVH"/>
      <sheetName val="LC&amp;OVH_Undefined_Var_"/>
      <sheetName val="LC&amp;OVH_Undefined_Fix_"/>
      <sheetName val="Total_headcount_&amp;_labor_cost"/>
      <sheetName val="Direct_Labor_Cost"/>
      <sheetName val="Indirect_Labor_Cost"/>
      <sheetName val="Salary_Cost"/>
      <sheetName val="MSI_-_FY(RMB)"/>
      <sheetName val="MSI_-_Comm_Sales"/>
      <sheetName val="MSI_-_IC_Sales"/>
      <sheetName val="MSI_-_Mat_Cost"/>
      <sheetName val="MSI_-_Direct_Labor"/>
      <sheetName val="MSI_-_Variable_OH"/>
      <sheetName val="MSI_-_Fixed_OH"/>
      <sheetName val="Cty+XN(KT 2005)"/>
      <sheetName val="환산table"/>
      <sheetName val="하자DB"/>
      <sheetName val="W3000재료비비교Table(송부용)"/>
      <sheetName val="K㘘Ï"/>
      <sheetName val="한일자야(감액손실) (2)"/>
      <sheetName val="Hoja1"/>
      <sheetName val="NUEVO MODELOS 2018"/>
      <sheetName val="2차 OI׃⼪_x0000__x0000_"/>
      <sheetName val="ADJTBL 3100"/>
      <sheetName val="400H 가공,금형비"/>
      <sheetName val="5-3"/>
      <sheetName val="AOP Summary-2"/>
      <sheetName val="금형_(2)11"/>
      <sheetName val="2-1_제품군별계획대비실적(B_A)5"/>
      <sheetName val="GAGE_R&amp;R(FRT_UPR)3"/>
      <sheetName val="중공업_실적3"/>
      <sheetName val="Team_종합3"/>
      <sheetName val="SCP_43"/>
      <sheetName val="SCP_5_D2UXT3"/>
      <sheetName val="SCP_6_D2UX3"/>
      <sheetName val="Invest_(MAC)3"/>
      <sheetName val="SCP_Apr20153"/>
      <sheetName val="불량_리스트3"/>
      <sheetName val="불량_코드3"/>
      <sheetName val="1_종합평가표3"/>
      <sheetName val="ISSUE_LIST3"/>
      <sheetName val="BI-FUEL_AIR_VENT_PIPE3"/>
      <sheetName val="0_CHMSL_LED_ASSY3"/>
      <sheetName val="108_수선비3"/>
      <sheetName val="REAR_3"/>
      <sheetName val="abs_dac검사대비분석자료23"/>
      <sheetName val="RFQ_Form3"/>
      <sheetName val="1_TP조립3"/>
      <sheetName val="XMA_12월_8,000대_원,부자재_完3"/>
      <sheetName val="YFA_10월분_원자재(10_12)_미납완료_完3"/>
      <sheetName val="YFA_10월분_부자재(10_7,9)_FEDEX_完3"/>
      <sheetName val="1_TAT_Info_3"/>
      <sheetName val="외주수입검사_종합(6월)3"/>
      <sheetName val="RFQ_Template3"/>
      <sheetName val="품의서양식_(3)3"/>
      <sheetName val="1__보고3"/>
      <sheetName val="거래선별_매출현황_내역2"/>
      <sheetName val="03년_체제결과2"/>
      <sheetName val="_0602주-무결점운동_진행현황_보고_(201406102"/>
      <sheetName val="기타_부자재2"/>
      <sheetName val="4_20)통계적기법관리절차서2"/>
      <sheetName val="Full_PBD2"/>
      <sheetName val="Europe_PU-12"/>
      <sheetName val="DS_MBR_RR_Side__-_PcA2"/>
      <sheetName val="Dual_PMP수율2"/>
      <sheetName val="CONSUMO_DE_RESINA_2"/>
      <sheetName val="사출계산서"/>
      <sheetName val="Prm"/>
      <sheetName val="Budget Imt mensuel (CFO)"/>
      <sheetName val="Imt"/>
      <sheetName val="CDV Pte mensuel"/>
      <sheetName val="Evol Prod (Eqpt)"/>
      <sheetName val="CAPVR Pte mensuel"/>
      <sheetName val="발신정보"/>
      <sheetName val="제품별"/>
      <sheetName val="Input_Page1"/>
      <sheetName val="Input_Sheet1"/>
      <sheetName val="Aug01_Status_Rpt1"/>
      <sheetName val="Base_Info1"/>
      <sheetName val="Cover_page1"/>
      <sheetName val="Adjusted_OI1"/>
      <sheetName val="Adjusted_OI_(2)1"/>
      <sheetName val="Income_Stmt_(USD)1"/>
      <sheetName val="Income_Stmt_(RMB)1"/>
      <sheetName val="IS_Loc_Adj1"/>
      <sheetName val="Balance_Sht_(USD)1"/>
      <sheetName val="BS_Loc+Adj1"/>
      <sheetName val="Balance_Sht_(RMB)1"/>
      <sheetName val="Cash_Flow_(USD)1"/>
      <sheetName val="Cash_Forecast1"/>
      <sheetName val="IC_AP_AR2"/>
      <sheetName val="Cash_Cross_check1"/>
      <sheetName val="Unit_Price_without_LTA&amp;Pricing1"/>
      <sheetName val="Sales_without_LTA&amp;Pricing1"/>
      <sheetName val="Unit_ECN_Sales1"/>
      <sheetName val="Total_ECN_Sales1"/>
      <sheetName val="LTA_Percentage1"/>
      <sheetName val="LTA_Amount1"/>
      <sheetName val="Total_P2P1"/>
      <sheetName val="Net_Sales1"/>
      <sheetName val="Unit_Mat_Cost_Without_PS_VAVE1"/>
      <sheetName val="Material_cost_without_PS_VAVE1"/>
      <sheetName val="Unit_ECN_cost1"/>
      <sheetName val="ECN_cost_saving1"/>
      <sheetName val="Unit_Purchase_Saving1"/>
      <sheetName val="Total_Purchase_Saving1"/>
      <sheetName val="Unit_VAVE_Saving1"/>
      <sheetName val="Total_VAVE1"/>
      <sheetName val="Unit_Margin_Improvement1"/>
      <sheetName val="Total_Margin_Improvement1"/>
      <sheetName val="Unit_mat__cost_after_PS_VAVE1"/>
      <sheetName val="Total_Mat_cost_after_PS_VAVE1"/>
      <sheetName val="Unit_Inb_Freight_Rate1"/>
      <sheetName val="Inboud_Freight_Amount1"/>
      <sheetName val="Unit_Inb-Duty1"/>
      <sheetName val="Inbound_Duty1"/>
      <sheetName val="Material_cost_before_Scrap1"/>
      <sheetName val="Scrap_Rate1"/>
      <sheetName val="Scrap_Amount1"/>
      <sheetName val="Scrap_recovery_rate1"/>
      <sheetName val="Scrap_Recovery_Amount1"/>
      <sheetName val="Unit_Production_Auxiliary1"/>
      <sheetName val="Production_Auxiliary1"/>
      <sheetName val="Net_Material1"/>
      <sheetName val="Unit_OB_freight1"/>
      <sheetName val="Total_OB_freight1"/>
      <sheetName val="Total_LC&amp;OVH1"/>
      <sheetName val="LC&amp;OVH_Undefined_Var_1"/>
      <sheetName val="LC&amp;OVH_Undefined_Fix_1"/>
      <sheetName val="Total_headcount_&amp;_labor_cost1"/>
      <sheetName val="Direct_Labor_Cost1"/>
      <sheetName val="Indirect_Labor_Cost1"/>
      <sheetName val="Salary_Cost1"/>
      <sheetName val="MSI_-_FY(RMB)1"/>
      <sheetName val="MSI_-_Comm_Sales1"/>
      <sheetName val="MSI_-_IC_Sales1"/>
      <sheetName val="MSI_-_Mat_Cost1"/>
      <sheetName val="MSI_-_Direct_Labor1"/>
      <sheetName val="MSI_-_Variable_OH1"/>
      <sheetName val="MSI_-_Fixed_OH1"/>
      <sheetName val="금형_이력_카드1"/>
      <sheetName val="Cty+XN(KT_2005)"/>
      <sheetName val="첨부13__사출(PAD)_카메라"/>
      <sheetName val="수식파일_(삭제금지)"/>
      <sheetName val="5_Why's"/>
      <sheetName val="Tool_Type"/>
      <sheetName val="3__Acronyms_and_abbreviations"/>
      <sheetName val="05_新Table(간접직)"/>
      <sheetName val="05계약내역(기존T_활용)"/>
      <sheetName val="InspectionData_(2)"/>
      <sheetName val="_제9차_회사표준_제개정_공청회_이의제기신청서_XLSX"/>
      <sheetName val="부품_LIST"/>
      <sheetName val="07주洂䢦"/>
      <sheetName val="07주洂亦"/>
      <sheetName val="AQL(0_65)"/>
      <sheetName val="천정등기구_실적"/>
      <sheetName val="List_Total"/>
      <sheetName val="Person_Cost"/>
      <sheetName val="THEO_DÕI_THAI_SẢN_(2)"/>
      <sheetName val="Time_Man"/>
      <sheetName val="Salary(Cus_)"/>
      <sheetName val="OT_OVER"/>
      <sheetName val="Segment_4_Bid_Sheet"/>
      <sheetName val="Hi6810_功能信号表"/>
      <sheetName val="6_FQC检验数据"/>
      <sheetName val="2003_prod2"/>
      <sheetName val="2003_Target"/>
      <sheetName val="RA_Bearer"/>
      <sheetName val="Trend_Total_nguyên_nhân"/>
      <sheetName val="設備預算總表附件3_"/>
      <sheetName val="FA_Definitions"/>
      <sheetName val="11_Inv_"/>
      <sheetName val="기준비교표"/>
      <sheetName val="매매기준"/>
      <sheetName val="서열정보"/>
      <sheetName val="견적서_detail Main_1"/>
      <sheetName val="대환취급"/>
      <sheetName val="단가MST⁒"/>
      <sheetName val="금형견적서(PRESS)"/>
      <sheetName val="Arkusz1"/>
      <sheetName val="HAL(STD)"/>
      <sheetName val="PDS"/>
      <sheetName val="PROGRESSIVE_150727"/>
      <sheetName val="9월실적"/>
      <sheetName val="케이스 재공 재고"/>
      <sheetName val="차량운반구"/>
      <sheetName val="건물"/>
      <sheetName val="비품-0450"/>
      <sheetName val="ECU原価"/>
      <sheetName val="通玻"/>
      <sheetName val="4호기"/>
      <sheetName val="3호기"/>
      <sheetName val="8호기"/>
      <sheetName val="발주내역"/>
      <sheetName val="▶선택항목"/>
      <sheetName val="정규분포"/>
      <sheetName val="관리도"/>
      <sheetName val="히스토그램"/>
      <sheetName val="금형_(2)12"/>
      <sheetName val="2-1_제품군별계획대비실적(B_A)6"/>
      <sheetName val="GAGE_R&amp;R(FRT_UPR)4"/>
      <sheetName val="중공업_실적4"/>
      <sheetName val="_하반기_경비_조정계획_150627(사계_r2_기준)_4"/>
      <sheetName val="Team_종합4"/>
      <sheetName val="SCP_44"/>
      <sheetName val="SCP_5_D2UXT4"/>
      <sheetName val="SCP_6_D2UX4"/>
      <sheetName val="Invest_(MAC)4"/>
      <sheetName val="SCP_Apr20154"/>
      <sheetName val="불량_리스트4"/>
      <sheetName val="불량_코드4"/>
      <sheetName val="1_종합평가표4"/>
      <sheetName val="ISSUE_LIST4"/>
      <sheetName val="BI-FUEL_AIR_VENT_PIPE4"/>
      <sheetName val="0_CHMSL_LED_ASSY4"/>
      <sheetName val="108_수선비4"/>
      <sheetName val="REAR_4"/>
      <sheetName val="abs_dac검사대비분석자료24"/>
      <sheetName val="RFQ_Form4"/>
      <sheetName val="1_TP조립4"/>
      <sheetName val="XMA_12월_8,000대_원,부자재_完4"/>
      <sheetName val="YFA_10월분_원자재(10_12)_미납완료_完4"/>
      <sheetName val="YFA_10월분_부자재(10_7,9)_FEDEX_完4"/>
      <sheetName val="1_TAT_Info_4"/>
      <sheetName val="외주수입검사_종합(6월)4"/>
      <sheetName val="RFQ_Template4"/>
      <sheetName val="품의서양식_(3)4"/>
      <sheetName val="1__보고4"/>
      <sheetName val="거래선별_매출현황_내역3"/>
      <sheetName val="03년_체제결과3"/>
      <sheetName val="_0602주-무결점운동_진행현황_보고_(201406103"/>
      <sheetName val="기타_부자재3"/>
      <sheetName val="4_20)통계적기법관리절차서3"/>
      <sheetName val="Full_PBD3"/>
      <sheetName val="Europe_PU-13"/>
      <sheetName val="DS_MBR_RR_Side__-_PcA3"/>
      <sheetName val="Dual_PMP수율3"/>
      <sheetName val="CONSUMO_DE_RESINA_3"/>
      <sheetName val="3-2002년_소모공구비1"/>
      <sheetName val="FCST"/>
      <sheetName val="스틸금형"/>
      <sheetName val="Input_Form_-_EingabeMaske"/>
      <sheetName val="1_생산0"/>
      <sheetName val="LINE1"/>
      <sheetName val="BAT1 "/>
      <sheetName val="슬림형변경"/>
      <sheetName val="출자한도"/>
      <sheetName val="대차(종합,입력금지)"/>
      <sheetName val="95신규호표"/>
      <sheetName val="매출손익"/>
      <sheetName val="MEMO"/>
      <sheetName val="수급"/>
      <sheetName val="코드별"/>
      <sheetName val="민감도"/>
      <sheetName val="(Maker)Cover"/>
      <sheetName val="Linearity"/>
      <sheetName val="(业体)Cover"/>
      <sheetName val="입찰안"/>
      <sheetName val="_x005f_x005f_x005f_x005f_x005f_x005f_x005f_x005f_x005f_x005f_"/>
      <sheetName val="Definitions"/>
      <sheetName val="분리멀티형"/>
      <sheetName val="반도체요약"/>
      <sheetName val="JANG_DOM"/>
      <sheetName val="자재목록"/>
      <sheetName val="Tax"/>
      <sheetName val="공구비"/>
      <sheetName val="Note"/>
      <sheetName val="304"/>
      <sheetName val="업체손실공수.xls"/>
      <sheetName val="업체손실공수_xls"/>
      <sheetName val="01과제현황"/>
      <sheetName val="项目"/>
      <sheetName val="FRT 재료비"/>
      <sheetName val="금형원가"/>
      <sheetName val="LCAUTO_41"/>
      <sheetName val="LCAT수_조1"/>
      <sheetName val="개발원가_종합1"/>
      <sheetName val="CPK(Process_Capanility)"/>
      <sheetName val="_Common_Info_Page1"/>
      <sheetName val="NEW_TOOL_MASTER1"/>
      <sheetName val="소재_이력1"/>
      <sheetName val="99_조정금액1"/>
      <sheetName val="THS_-_Key_Inputs1"/>
      <sheetName val="8월_매출현황1"/>
      <sheetName val="3공장_순양전자1"/>
      <sheetName val="현진테크_(2)1"/>
      <sheetName val="동경cnc_지그1"/>
      <sheetName val="대한테크_집계1"/>
      <sheetName val="서연전자_(2)1"/>
      <sheetName val="삼익전자_(2)1"/>
      <sheetName val="삼익산업_(2)1"/>
      <sheetName val="시무인텔_(2)1"/>
      <sheetName val="성우일렉스_(2)1"/>
      <sheetName val="성호테크_(2)1"/>
      <sheetName val="General_Assumptions"/>
      <sheetName val="Value_"/>
      <sheetName val="종합원가분석_1_"/>
      <sheetName val="1_개발개요"/>
      <sheetName val="G-Exchange_#667"/>
      <sheetName val="C-Mix_Rate_&amp;_Revenue(calc)"/>
      <sheetName val="01년2월현황_"/>
      <sheetName val="Q1_&amp;_Q2"/>
      <sheetName val="devis_qcdp2"/>
      <sheetName val="22_보증금(전신전화가입권)"/>
      <sheetName val="39_미지급법인세"/>
      <sheetName val="개인별_교육현황"/>
      <sheetName val="관리구역_책임자(181010)"/>
      <sheetName val="ACU기청소2018-05-04_(3)"/>
      <sheetName val="ASM_A동"/>
      <sheetName val="SMT구역_(2)"/>
      <sheetName val="관리구역_체크시트"/>
      <sheetName val="관리구역_평가시트"/>
      <sheetName val="담당자편성표_(B)"/>
      <sheetName val="조립A구역_(2)"/>
      <sheetName val="개선보고서_(2)"/>
      <sheetName val="INATAKE_SYS"/>
      <sheetName val="영업_입수계획_"/>
      <sheetName val="참고1_02_판매계획_(수량)"/>
      <sheetName val="전사_경영계획_수량"/>
      <sheetName val="Duration_"/>
      <sheetName val="02_08생산대상대수"/>
      <sheetName val="24_냉각실용添1"/>
      <sheetName val="PP%-low_RPM"/>
      <sheetName val="After_Sales_Supplier_#'s"/>
      <sheetName val="NUEVO_MODELOS_2018"/>
      <sheetName val="한일자야(감액손실)_(2)"/>
      <sheetName val="2차_OI׃⼪"/>
      <sheetName val="ADJTBL_3100"/>
      <sheetName val="400H_가공,금형비"/>
      <sheetName val="AOP_Summary-2"/>
      <sheetName val="Budget_Imt_mensuel_(CFO)"/>
      <sheetName val="CDV_Pte_mensuel"/>
      <sheetName val="Evol_Prod_(Eqpt)"/>
      <sheetName val="CAPVR_Pte_mensuel"/>
      <sheetName val="극판사양"/>
      <sheetName val="기타부품"/>
      <sheetName val="계산기"/>
      <sheetName val="카탈로그"/>
      <sheetName val="혼합사양"/>
      <sheetName val="1-1"/>
      <sheetName val="検査状況"/>
      <sheetName val="8월발주분석"/>
      <sheetName val="2차 OI_x0000__x0000__x0005__x0000_"/>
      <sheetName val="매출정리"/>
      <sheetName val="2차_OI1"/>
      <sheetName val="北米3in1"/>
      <sheetName val="北米標準ｺﾝﾋﾞ"/>
      <sheetName val="11月"/>
      <sheetName val="改善対策1"/>
      <sheetName val="連絡書"/>
      <sheetName val="評価表1"/>
      <sheetName val="評価表2"/>
      <sheetName val="ﾘｽﾄ"/>
      <sheetName val="66"/>
      <sheetName val="５"/>
      <sheetName val="人员报表"/>
      <sheetName val="993IN1MT"/>
      <sheetName val="初期入力"/>
      <sheetName val="总结"/>
      <sheetName val="改善対策2"/>
      <sheetName val="報告書2"/>
      <sheetName val="総括表"/>
      <sheetName val="XL4Test5"/>
      <sheetName val="メカ部品長期在庫"/>
      <sheetName val="99･00"/>
      <sheetName val="製品版"/>
      <sheetName val="部品版"/>
      <sheetName val="部品リスト"/>
      <sheetName val="_REF_"/>
      <sheetName val="作業)投資資金"/>
      <sheetName val="NMB"/>
      <sheetName val="TFT Attendace"/>
      <sheetName val="0.주광원 LED ASSY"/>
      <sheetName val="maccp04"/>
      <sheetName val="차입금현황(2)"/>
      <sheetName val="품의양식"/>
      <sheetName val="9.초기공정능력조사(을)"/>
      <sheetName val="1-1.연월차 개인별 보전수당"/>
      <sheetName val="제조매출"/>
      <sheetName val="기계"/>
      <sheetName val="PI"/>
      <sheetName val="요인분석"/>
      <sheetName val="월별생산"/>
      <sheetName val="CAL"/>
      <sheetName val="사업계획선가"/>
      <sheetName val="gr_val"/>
      <sheetName val="gr_sum"/>
      <sheetName val="00-Input Values"/>
      <sheetName val="Input Values"/>
      <sheetName val="소급정산"/>
      <sheetName val="WM제어"/>
      <sheetName val="내부비용"/>
      <sheetName val="다솔"/>
      <sheetName val="양지"/>
      <sheetName val="Corp acronym"/>
      <sheetName val="经费预算表02(人事处)"/>
      <sheetName val="손익(기존단가"/>
      <sheetName val="4.销售计划"/>
      <sheetName val="Output 1 (2)"/>
      <sheetName val="telco_p"/>
      <sheetName val="OP세부내역"/>
      <sheetName val="수식기준"/>
      <sheetName val="Validation"/>
      <sheetName val=";_x0000_"/>
      <sheetName val="明细账"/>
      <sheetName val="RFQ Cover Sheeet"/>
      <sheetName val="드롭"/>
      <sheetName val="2_분임조활동"/>
      <sheetName val="3_학점이수(세미나)"/>
      <sheetName val="3_학점이수(사내.사외교육)"/>
      <sheetName val="업무절차"/>
      <sheetName val="협력업체현황서"/>
      <sheetName val="원단가"/>
      <sheetName val="선택박스"/>
      <sheetName val="Sens"/>
      <sheetName val="FR80"/>
      <sheetName val="29134B2000-사"/>
      <sheetName val="B-ICT"/>
      <sheetName val="열간단조자동원가계산서"/>
      <sheetName val="415T原"/>
      <sheetName val="05-2W"/>
      <sheetName val="3. 트림별_내수"/>
      <sheetName val="3. 트림별_북미"/>
      <sheetName val="3. 트림별_유럽"/>
      <sheetName val="재정"/>
      <sheetName val="추진전략"/>
      <sheetName val="배치1"/>
      <sheetName val="제안서입력"/>
      <sheetName val="97(US,EP,PCT,KR)"/>
      <sheetName val="23.보증금(전신전화가입권)"/>
      <sheetName val="SGH-M100"/>
      <sheetName val="불재"/>
      <sheetName val="재고"/>
      <sheetName val="B-3"/>
      <sheetName val="(1)"/>
      <sheetName val="Main-Yield report"/>
      <sheetName val="Cosmetic Description"/>
      <sheetName val="Bom(P1)"/>
      <sheetName val="EMS厂工时库"/>
      <sheetName val="HW工时数据库"/>
      <sheetName val="配置"/>
      <sheetName val="非機種"/>
      <sheetName val="Modules_List"/>
      <sheetName val="数据源勿删"/>
      <sheetName val="整理良率情况"/>
      <sheetName val="①FABII"/>
      <sheetName val="갑지(추정)"/>
      <sheetName val="2.´ë?Ü°o1®"/>
      <sheetName val="facto炠"/>
      <sheetName val="실DATA "/>
      <sheetName val="계DATA"/>
      <sheetName val="9월1주"/>
      <sheetName val="_______________________00"/>
      <sheetName val="금형_(2)13"/>
      <sheetName val="Basic_assumptions10"/>
      <sheetName val="XMA_12월_8,000대_원,부자재_完5"/>
      <sheetName val="YFA_10월분_원자재(10_12)_미납완료_完5"/>
      <sheetName val="YFA_10월분_부자재(10_7,9)_FEDEX_完5"/>
      <sheetName val="DBL_LPG시험10"/>
      <sheetName val="INVESTMENT_(Hardware)11"/>
      <sheetName val="GAGE_R&amp;R(FRT_UPR)5"/>
      <sheetName val="중공업_실적5"/>
      <sheetName val="_하반기_경비_조정계획_150627(사계_r2_기준)_5"/>
      <sheetName val="0_CHMSL_LED_ASSY5"/>
      <sheetName val="SCP_45"/>
      <sheetName val="SCP_5_D2UXT5"/>
      <sheetName val="SCP_6_D2UX5"/>
      <sheetName val="Invest_(MAC)5"/>
      <sheetName val="SCP_Apr20155"/>
      <sheetName val="CONSUMO_DE_RESINA_4"/>
      <sheetName val="RFQ_Template5"/>
      <sheetName val="108_수선비5"/>
      <sheetName val="2-1_제품군별계획대비실적(B_A)7"/>
      <sheetName val="품의서양식_(3)5"/>
      <sheetName val="4_20)통계적기법관리절차서4"/>
      <sheetName val="불량_리스트5"/>
      <sheetName val="불량_코드5"/>
      <sheetName val="Team_종합5"/>
      <sheetName val="PFMEA_XLS10"/>
      <sheetName val="신고서_전10"/>
      <sheetName val="REAR_5"/>
      <sheetName val="abs_dac검사대비분석자료25"/>
      <sheetName val="MS_SPEC1"/>
      <sheetName val="1__보고5"/>
      <sheetName val="영업_일110"/>
      <sheetName val="(2)월생산현황_4"/>
      <sheetName val="DS_MBR_RR_Side__-_PcA4"/>
      <sheetName val="Europe_PU-14"/>
      <sheetName val="1_TAT_Info_5"/>
      <sheetName val="Dual_PMP수율4"/>
      <sheetName val="_PPAP_작성중__xlsx10"/>
      <sheetName val="기타_부자재4"/>
      <sheetName val="1_TP조립5"/>
      <sheetName val="Full_PBD4"/>
      <sheetName val="_Common_Info_Page2"/>
      <sheetName val="RFQ_Form5"/>
      <sheetName val="Aug01_Status_Rpt2"/>
      <sheetName val="ISSUE_LIST5"/>
      <sheetName val="Input_Page2"/>
      <sheetName val="Input_Sheet2"/>
      <sheetName val="Base_Info2"/>
      <sheetName val="_0602주-무결점운동_진행현황_보고_(201406104"/>
      <sheetName val="PMBG12LD_장비및인원소요(D_A기준)_1"/>
      <sheetName val="NEW_TOOL_MASTER2"/>
      <sheetName val="3-2002년_소모공구비2"/>
      <sheetName val="개발원가_종합2"/>
      <sheetName val="RELAY_FAX양식10"/>
      <sheetName val="2008_г10"/>
      <sheetName val="상세_견적서_(HMC)10"/>
      <sheetName val="2_중요한회계정책10"/>
      <sheetName val="9_관계기업투자10"/>
      <sheetName val="42_리스10"/>
      <sheetName val="25_법인세10"/>
      <sheetName val="Proj_List_00E10"/>
      <sheetName val="BI-FUEL_AIR_VENT_PIPE5"/>
      <sheetName val="8월_매출현황2"/>
      <sheetName val="3공장_순양전자2"/>
      <sheetName val="현진테크_(2)2"/>
      <sheetName val="동경cnc_지그2"/>
      <sheetName val="대한테크_집계2"/>
      <sheetName val="서연전자_(2)2"/>
      <sheetName val="삼익전자_(2)2"/>
      <sheetName val="삼익산업_(2)2"/>
      <sheetName val="시무인텔_(2)2"/>
      <sheetName val="성우일렉스_(2)2"/>
      <sheetName val="성호테크_(2)2"/>
      <sheetName val="2009년_매출_실적1"/>
      <sheetName val="LCAUTO_42"/>
      <sheetName val="LCAT수_조2"/>
      <sheetName val="외주수입검사_종합(6월)5"/>
      <sheetName val="금형_이력_카드2"/>
      <sheetName val="소재_이력2"/>
      <sheetName val="99_조정금액2"/>
      <sheetName val="THS_-_Key_Inputs2"/>
      <sheetName val="2005년_소요량1"/>
      <sheetName val="1_종합평가표5"/>
      <sheetName val="Tool_Type1"/>
      <sheetName val="3__Acronyms_and_abbreviations1"/>
      <sheetName val="Input_Form_-_EingabeMaske1"/>
      <sheetName val="첨부13__사출(PAD)_카메라1"/>
      <sheetName val="거래선별_매출현황_내역4"/>
      <sheetName val="수식파일_(삭제금지)1"/>
      <sheetName val="03년_체제결과4"/>
      <sheetName val="5_Why's1"/>
      <sheetName val="부품_LIST1"/>
      <sheetName val="종합원가분석_1_1"/>
      <sheetName val="11_Inv_1"/>
      <sheetName val="1_생산01"/>
      <sheetName val="1_개발개요1"/>
      <sheetName val="G-Exchange_#6671"/>
      <sheetName val="C-Mix_Rate_&amp;_Revenue(calc)1"/>
      <sheetName val="InspectionData_(2)1"/>
      <sheetName val="01년2월현황_1"/>
      <sheetName val="Cover_page2"/>
      <sheetName val="Adjusted_OI2"/>
      <sheetName val="Adjusted_OI_(2)2"/>
      <sheetName val="Income_Stmt_(USD)2"/>
      <sheetName val="Income_Stmt_(RMB)2"/>
      <sheetName val="IS_Loc_Adj2"/>
      <sheetName val="Balance_Sht_(USD)2"/>
      <sheetName val="BS_Loc+Adj2"/>
      <sheetName val="Balance_Sht_(RMB)2"/>
      <sheetName val="Cash_Flow_(USD)2"/>
      <sheetName val="Cash_Forecast2"/>
      <sheetName val="IC_AP_AR3"/>
      <sheetName val="Cash_Cross_check2"/>
      <sheetName val="Unit_Price_without_LTA&amp;Pricing2"/>
      <sheetName val="Sales_without_LTA&amp;Pricing2"/>
      <sheetName val="Unit_ECN_Sales2"/>
      <sheetName val="Total_ECN_Sales2"/>
      <sheetName val="LTA_Percentage2"/>
      <sheetName val="LTA_Amount2"/>
      <sheetName val="Total_P2P2"/>
      <sheetName val="Net_Sales2"/>
      <sheetName val="Unit_Mat_Cost_Without_PS_VAVE2"/>
      <sheetName val="Material_cost_without_PS_VAVE2"/>
      <sheetName val="Unit_ECN_cost2"/>
      <sheetName val="ECN_cost_saving2"/>
      <sheetName val="Unit_Purchase_Saving2"/>
      <sheetName val="Total_Purchase_Saving2"/>
      <sheetName val="Unit_VAVE_Saving2"/>
      <sheetName val="Total_VAVE2"/>
      <sheetName val="Unit_Margin_Improvement2"/>
      <sheetName val="Total_Margin_Improvement2"/>
      <sheetName val="Unit_mat__cost_after_PS_VAVE2"/>
      <sheetName val="Total_Mat_cost_after_PS_VAVE2"/>
      <sheetName val="Unit_Inb_Freight_Rate2"/>
      <sheetName val="Inboud_Freight_Amount2"/>
      <sheetName val="Unit_Inb-Duty2"/>
      <sheetName val="Inbound_Duty2"/>
      <sheetName val="Material_cost_before_Scrap2"/>
      <sheetName val="Scrap_Rate2"/>
      <sheetName val="Scrap_Amount2"/>
      <sheetName val="Scrap_recovery_rate2"/>
      <sheetName val="Scrap_Recovery_Amount2"/>
      <sheetName val="Unit_Production_Auxiliary2"/>
      <sheetName val="Production_Auxiliary2"/>
      <sheetName val="Net_Material2"/>
      <sheetName val="Unit_OB_freight2"/>
      <sheetName val="Total_OB_freight2"/>
      <sheetName val="Total_LC&amp;OVH2"/>
      <sheetName val="LC&amp;OVH_Undefined_Var_2"/>
      <sheetName val="LC&amp;OVH_Undefined_Fix_2"/>
      <sheetName val="Total_headcount_&amp;_labor_cost2"/>
      <sheetName val="Direct_Labor_Cost2"/>
      <sheetName val="Indirect_Labor_Cost2"/>
      <sheetName val="Salary_Cost2"/>
      <sheetName val="MSI_-_FY(RMB)2"/>
      <sheetName val="MSI_-_Comm_Sales2"/>
      <sheetName val="MSI_-_IC_Sales2"/>
      <sheetName val="MSI_-_Mat_Cost2"/>
      <sheetName val="MSI_-_Direct_Labor2"/>
      <sheetName val="MSI_-_Variable_OH2"/>
      <sheetName val="MSI_-_Fixed_OH2"/>
      <sheetName val="05_新Table(간접직)1"/>
      <sheetName val="05계약내역(기존T_활용)1"/>
      <sheetName val="General_Assumptions1"/>
      <sheetName val="_제9차_회사표준_제개정_공청회_이의제기신청서_XLSX1"/>
      <sheetName val="AQL(0_65)1"/>
      <sheetName val="Value_1"/>
      <sheetName val="400H_가공,금형비1"/>
      <sheetName val="List_Total1"/>
      <sheetName val="Person_Cost1"/>
      <sheetName val="THEO_DÕI_THAI_SẢN_(2)1"/>
      <sheetName val="Time_Man1"/>
      <sheetName val="Salary(Cus_)1"/>
      <sheetName val="OT_OVER1"/>
      <sheetName val="Segment_4_Bid_Sheet1"/>
      <sheetName val="Hi6810_功能信号表1"/>
      <sheetName val="6_FQC检验数据1"/>
      <sheetName val="2003_prod21"/>
      <sheetName val="2003_Target1"/>
      <sheetName val="RA_Bearer1"/>
      <sheetName val="Trend_Total_nguyên_nhân1"/>
      <sheetName val="設備預算總表附件3_1"/>
      <sheetName val="FA_Definitions1"/>
      <sheetName val="CPK(Process_Capanility)1"/>
      <sheetName val="2차_OI2"/>
      <sheetName val="SEP_20071"/>
      <sheetName val="Q1_&amp;_Q21"/>
      <sheetName val="devis_qcdp21"/>
      <sheetName val="22_보증금(전신전화가입권)1"/>
      <sheetName val="39_미지급법인세1"/>
      <sheetName val="개인별_교육현황1"/>
      <sheetName val="관리구역_책임자(181010)1"/>
      <sheetName val="ACU기청소2018-05-04_(3)1"/>
      <sheetName val="ASM_A동1"/>
      <sheetName val="SMT구역_(2)1"/>
      <sheetName val="관리구역_체크시트1"/>
      <sheetName val="관리구역_평가시트1"/>
      <sheetName val="담당자편성표_(B)1"/>
      <sheetName val="조립A구역_(2)1"/>
      <sheetName val="개선보고서_(2)1"/>
      <sheetName val="천정등기구_실적1"/>
      <sheetName val="02_08생산대상대수1"/>
      <sheetName val="한일자야(감액손실)_(2)1"/>
      <sheetName val="NUEVO_MODELOS_20181"/>
      <sheetName val="Budget_Imt_mensuel_(CFO)1"/>
      <sheetName val="CDV_Pte_mensuel1"/>
      <sheetName val="Evol_Prod_(Eqpt)1"/>
      <sheetName val="CAPVR_Pte_mensuel1"/>
      <sheetName val="Mẫu_DMVT1"/>
      <sheetName val="Mẫu_DMVT_(2)1"/>
      <sheetName val="DANH_MỤC_NHÓM_ĐỐI_TƯỢNG1"/>
      <sheetName val="Nhap_T81"/>
      <sheetName val="Begining_detail-CTIET1"/>
      <sheetName val="Summary-TOMLUOC_1"/>
      <sheetName val="SO_TONG_HOP_CONG_NO1"/>
      <sheetName val="DM_KHAU_HAO1"/>
      <sheetName val="THƯ_VIỆN1"/>
      <sheetName val="Nguon_PT_xetai1"/>
      <sheetName val="Nguon_PT_xe_Ben1"/>
      <sheetName val="Bien_so1"/>
      <sheetName val="MỤC_LỤC1"/>
      <sheetName val="Ghi_chú1"/>
      <sheetName val="1__Định_hướng_HĐ_CN_năm_20191"/>
      <sheetName val="2_1_Tổng_quan_TT_KD_xe_DL1"/>
      <sheetName val="2_2_Tổng_quan_TT_DVPT_DL1"/>
      <sheetName val="3_1__ĐKM_xe_DL1"/>
      <sheetName val="3_2_1__KH_KD-MKT_&amp;_TCKD_xe_KIA1"/>
      <sheetName val="3_2_2_CSBH_KIA1"/>
      <sheetName val="3_2_3__KH_KD-MKT&amp;TCKD_DVPT1"/>
      <sheetName val="Pv_SL1"/>
      <sheetName val="3_3_1_KH_KD-MKT_&amp;_TCKD_Mazda1"/>
      <sheetName val="3_3_2_CSBH_MAZDA1"/>
      <sheetName val="3_3_3_KH_KD-MKT&amp;TCKD_DVPT_MAZD1"/>
      <sheetName val="3_4__DVPT_SR_KIA_MAZDA1"/>
      <sheetName val="3_4_1_KH_KD-MKT&amp;TCKD_PEUGEOT1"/>
      <sheetName val="3_4_2_CSBH_PEUGEOT1"/>
      <sheetName val="3_4_3_KH_KD-MKT&amp;TC_DVPT_PEUGEO1"/>
      <sheetName val="3_5__TÀI_CHÍNH_KD_XE_KIA_MAZDA1"/>
      <sheetName val="4_1_Tổng_quan_TT_KD_Tai,_Bus1"/>
      <sheetName val="4_2_Tổng_quan_TT_DVPT_Tai_Bus1"/>
      <sheetName val="5_1__ĐKM_xe_Tai,_Bus1"/>
      <sheetName val="PTBH_20181"/>
      <sheetName val="SL_-_TVBH1"/>
      <sheetName val="5_2a__KD_Xe_Fuso1"/>
      <sheetName val="5_2b__KD_Xe_Foton1"/>
      <sheetName val="5_2c__KD_Xe_Bus1"/>
      <sheetName val="5_2__KH_KD-MKT&amp;TCKD_xe_Tải,_Bu1"/>
      <sheetName val="5_3__CSBH_xe_Tải,_Bus1"/>
      <sheetName val="5_4_KH_KD-MKT&amp;TC_DVPT_Tải,_Bus1"/>
      <sheetName val="Review_note1"/>
      <sheetName val="6_1_ĐKĐK1"/>
      <sheetName val="6_2__Bảo_hiểm1"/>
      <sheetName val="6_3__Tín_dụng1"/>
      <sheetName val="6_4__GSHT_&amp;_PH1"/>
      <sheetName val="6_5_DVHT1"/>
      <sheetName val="7_1_KH_nhân_sự1"/>
      <sheetName val="7_2__Định_biên_&amp;_Lương1"/>
      <sheetName val="7_3_KH_thưởng_năng_suất1"/>
      <sheetName val="Check_TH1"/>
      <sheetName val="8__Hành_chính1"/>
      <sheetName val="8_11"/>
      <sheetName val="9_1__Duy_tu_bảo_trì1"/>
      <sheetName val="9_2__Cải_tạo,_nâng_cấp1"/>
      <sheetName val="10__TSCĐ_-_CCDC1"/>
      <sheetName val="11D__Tài_chính_KD_XE_TỔNG1"/>
      <sheetName val="11E__Tài_chính_KD_DVPT_TỔNG1"/>
      <sheetName val="11A__Tài_chính_SR_KIA1"/>
      <sheetName val="11B__Tài_chính_SR_MAZDA1"/>
      <sheetName val="11D__Tài_chính_SR_Peugout1"/>
      <sheetName val="11C__Tài_chính_SR_TẢI_BUS1"/>
      <sheetName val="11D__Tài_chính_SR_Du_lịch1"/>
      <sheetName val="11__Tài_chính_Chi_nhánh1"/>
      <sheetName val="12__SĐTC1"/>
      <sheetName val="INATAKE_SYS1"/>
      <sheetName val="영업_입수계획_1"/>
      <sheetName val="참고1_02_판매계획_(수량)1"/>
      <sheetName val="전사_경영계획_수량1"/>
      <sheetName val="MASTER_DATA"/>
      <sheetName val="Duration_1"/>
      <sheetName val="견적서_detail_Main_1"/>
      <sheetName val="기준정보(A)_15_10_273"/>
      <sheetName val="단중_및_예비길이_SHEET_15_9_5(K)3"/>
      <sheetName val="15_1_02_15년_1월예시계획3"/>
      <sheetName val="15년_12월_시작재공품_15_12_33"/>
      <sheetName val="기준정보(A)_12_02_233"/>
      <sheetName val="STD__CAB3"/>
      <sheetName val="STD__NCAB3"/>
      <sheetName val="원소재_변경_상세3"/>
      <sheetName val="직거래가_변경3"/>
      <sheetName val="PL_By_Model(Result)2"/>
      <sheetName val="Cty+XN(KT_2005)1"/>
      <sheetName val="24_냉각실용添11"/>
      <sheetName val="노원열병합__건축공사기성내역서3"/>
      <sheetName val="Gia_vat_tu3"/>
      <sheetName val="Data_Not_Used3"/>
      <sheetName val="FTQ_Data3"/>
      <sheetName val="Int_Pulls_Data3"/>
      <sheetName val="Int_Spills_Data3"/>
      <sheetName val="PPM_Data3"/>
      <sheetName val="Pulls_Data3"/>
      <sheetName val="Spills_Data3"/>
      <sheetName val="PP%-low_RPM1"/>
      <sheetName val="After_Sales_Supplier_#'s1"/>
      <sheetName val="개선대책_양식3"/>
      <sheetName val="S_P"/>
      <sheetName val="R_FJS_CAR_(old)"/>
      <sheetName val="Certificate_list_"/>
      <sheetName val="REPAIR_DATA_-_CONTAINER_#52"/>
      <sheetName val="Material_References1"/>
      <sheetName val="ADJTBL_31001"/>
      <sheetName val="AOP_Summary-21"/>
      <sheetName val="BAT1_"/>
      <sheetName val="케이스_재공_재고"/>
      <sheetName val="업체손실공수_xls1"/>
      <sheetName val="2_Underbody_DT"/>
      <sheetName val="8_공정능력평가(5)"/>
      <sheetName val="FRT_재료비"/>
      <sheetName val="2차_OI?࠱"/>
      <sheetName val="TFT_Attendace"/>
      <sheetName val="0_주광원_LED_ASSY"/>
      <sheetName val="9_초기공정능력조사(을)"/>
      <sheetName val="1-1_연월차_개인별_보전수당"/>
      <sheetName val="00-Input_Values"/>
      <sheetName val="Input_Values"/>
      <sheetName val="Corp_acronym"/>
      <sheetName val="4_销售计划"/>
      <sheetName val="Output_1_(2)"/>
      <sheetName val="입력_List3"/>
      <sheetName val="DO_NOT_DELETE2"/>
      <sheetName val="기종별_합계"/>
      <sheetName val="실사LIST-중간가공품(05_12_27현재)_(2)"/>
      <sheetName val="4_Financial"/>
      <sheetName val="3_4)__FR_종합"/>
      <sheetName val="3_4)__RR_종합"/>
      <sheetName val="RFQ_Cover_Sheeet"/>
      <sheetName val="3_학점이수(사내_사외교육)"/>
      <sheetName val="3__트림별_내수"/>
      <sheetName val="3__트림별_북미"/>
      <sheetName val="3__트림별_유럽"/>
      <sheetName val="23_보증금(전신전화가입권)"/>
      <sheetName val="해외) MASTER DATA"/>
      <sheetName val="국내) 마스터 데이터"/>
      <sheetName val="사양변경통보서"/>
      <sheetName val="Interest"/>
      <sheetName val="원가table"/>
      <sheetName val="연결조정"/>
      <sheetName val="반제품코드"/>
      <sheetName val="생산코드"/>
      <sheetName val="产品成本计算表(短裤)"/>
      <sheetName val="COA-17"/>
      <sheetName val="C-18"/>
      <sheetName val="DG"/>
      <sheetName val="Gauge R&amp;R"/>
      <sheetName val="설정"/>
      <sheetName val="Bia TQT"/>
      <sheetName val="dtxl"/>
      <sheetName val="share year=5"/>
      <sheetName val="첨#3. PCB"/>
      <sheetName val="Detail report"/>
      <sheetName val="_REF"/>
      <sheetName val="Questions for Wuhan Lear"/>
      <sheetName val="ﾁｪｯｸﾘｽﾄ(個別)"/>
      <sheetName val="_x005f_x005f_x005f_x005f_"/>
      <sheetName val="ﾋﾟﾆｵﾝｾﾝｻ1万"/>
      <sheetName val="Request template"/>
      <sheetName val="MASTER_IPL"/>
      <sheetName val="부정형평가"/>
      <sheetName val="재공품평가"/>
      <sheetName val="99판매"/>
      <sheetName val="13-1_x0000__x0000_"/>
      <sheetName val="13-1쀀珢"/>
      <sheetName val="1 page"/>
      <sheetName val="Language"/>
      <sheetName val="Tabelle1"/>
      <sheetName val="대외"/>
      <sheetName val="CC Down load 0716"/>
      <sheetName val="CAUZA DEFECTE"/>
      <sheetName val="DEFECTE"/>
      <sheetName val="DEFECTS"/>
      <sheetName val="CAUSES OF DEFECTS"/>
      <sheetName val="Detail_SX"/>
      <sheetName val="Detail_KTTB"/>
      <sheetName val="두께"/>
      <sheetName val="Sheet7"/>
      <sheetName val="C-301E~305E"/>
      <sheetName val="1)101-E"/>
      <sheetName val="UTMBPL"/>
      <sheetName val=" FURNACE현설"/>
      <sheetName val="원가차이(공장별2)"/>
      <sheetName val="프로필렌 이송라인"/>
      <sheetName val="여과지동"/>
      <sheetName val="마스터"/>
      <sheetName val="수익율분석"/>
      <sheetName val="Special rack (Packaging Input)"/>
      <sheetName val="FIX"/>
      <sheetName val="EX rate"/>
      <sheetName val="ﾃﾞｰﾀﾌﾛｰ一覧"/>
      <sheetName val="3~4.》在库计划SABC样式"/>
      <sheetName val="FPD"/>
      <sheetName val="Executive Summary"/>
      <sheetName val="TFT_Attendace1"/>
      <sheetName val="share_year=5"/>
      <sheetName val="일일붙여라"/>
      <sheetName val="소특"/>
      <sheetName val="95TOTREV"/>
      <sheetName val="9609Aß"/>
      <sheetName val="Stand off"/>
      <sheetName val="투자검토_191011"/>
      <sheetName val="pre-PFD"/>
      <sheetName val="Volume Sensitivity"/>
      <sheetName val="(6) CBA Exec Summary"/>
      <sheetName val="12월 기타"/>
      <sheetName val="ESTI."/>
      <sheetName val="DI-ESTI"/>
      <sheetName val="ns chung"/>
      <sheetName val="dongia (2)"/>
      <sheetName val="98비정기소모"/>
      <sheetName val="EG제"/>
      <sheetName val="NCC제"/>
      <sheetName val="UT"/>
      <sheetName val="NCC"/>
      <sheetName val="HMBPROD"/>
      <sheetName val="FC-101"/>
      <sheetName val="Header"/>
      <sheetName val="kich thuoc"/>
      <sheetName val="DTHH"/>
      <sheetName val="수주추정"/>
      <sheetName val="1_TM18"/>
      <sheetName val="2_align18"/>
      <sheetName val="3_JUDDER18"/>
      <sheetName val="4_M_S18"/>
      <sheetName val="5_P_W_R18"/>
      <sheetName val="6_F_G18"/>
      <sheetName val="7__SCABLE18"/>
      <sheetName val="8_DIFF18"/>
      <sheetName val="9_A_C18"/>
      <sheetName val="10_GEAR18"/>
      <sheetName val="11_ISC18"/>
      <sheetName val="12_ALT18"/>
      <sheetName val="13_O_S18"/>
      <sheetName val="14_silencer18"/>
      <sheetName val="15_DAMPER18"/>
      <sheetName val="16_HUB18"/>
      <sheetName val="17_DLOCK18"/>
      <sheetName val="18_PSP18"/>
      <sheetName val="19_누수18"/>
      <sheetName val="20_K_S18"/>
      <sheetName val="1ဲ_ALT18"/>
      <sheetName val="1ဳ_O_S18"/>
      <sheetName val="15_၄AMPER18"/>
      <sheetName val="GB-IC_Villingen_GG18"/>
      <sheetName val="OPT손익_내수18"/>
      <sheetName val="OPT손익_수출18"/>
      <sheetName val="二_POSITION_XLS18"/>
      <sheetName val="BACK_DATA_08_7_1~18"/>
      <sheetName val="E_W18"/>
      <sheetName val="P_W18"/>
      <sheetName val="S_W18"/>
      <sheetName val="BACK_DATA18"/>
      <sheetName val="외주현황_wq118"/>
      <sheetName val="B053_(990701)공정실적PP%계산18"/>
      <sheetName val="1_변경범위18"/>
      <sheetName val="CASE_ASM17"/>
      <sheetName val="2_대외공문18"/>
      <sheetName val="14_1부17"/>
      <sheetName val="TEMP_TORQUE18"/>
      <sheetName val="진행_DATA_(2)18"/>
      <sheetName val="5_세운W-A18"/>
      <sheetName val="SUB_2월_재검사추이도17"/>
      <sheetName val="c_db23"/>
      <sheetName val="3_일반사상17"/>
      <sheetName val="126_25517"/>
      <sheetName val="팀별_합계17"/>
      <sheetName val="JT3_0견적-구117"/>
      <sheetName val="LX3_0_RR17"/>
      <sheetName val="설비능력및_종합공정능력산출시_사용17"/>
      <sheetName val="운임_환차손-Y18"/>
      <sheetName val="LAMBDA_자작17"/>
      <sheetName val="매출종합_`0917"/>
      <sheetName val="소상_&quot;1&quot;17"/>
      <sheetName val="검사기준서_을_치수17"/>
      <sheetName val="검사기준서_갑17"/>
      <sheetName val="검사기준서_을17"/>
      <sheetName val="검사협정_갑17"/>
      <sheetName val="검사성적서_갑17"/>
      <sheetName val="검사성적서_을17"/>
      <sheetName val="검사성적서_병17"/>
      <sheetName val="Nego_PV17"/>
      <sheetName val="5_WIRE적용LIST17"/>
      <sheetName val="PRESS_DATA16"/>
      <sheetName val="내수1_8GL17"/>
      <sheetName val="ALPROFILE_발주실적16"/>
      <sheetName val="Evaluation_objects17"/>
      <sheetName val="개발_TOOL_집계표16"/>
      <sheetName val="경상_개발비16"/>
      <sheetName val="Master_Cable16"/>
      <sheetName val="S50_9"/>
      <sheetName val="X-3_ENG16"/>
      <sheetName val="FUEL_FILLER17"/>
      <sheetName val="차체부품_INS_REPORT(갑)17"/>
      <sheetName val="Sheet1_(2)16"/>
      <sheetName val="계산_DATA_입력16"/>
      <sheetName val="상세_계산_내역16"/>
      <sheetName val="MACRO1_XLM16"/>
      <sheetName val="CAPA분석_360K13"/>
      <sheetName val="Sch7a_(토요일)16"/>
      <sheetName val="Sheet6_(3)16"/>
      <sheetName val="_납촉자17"/>
      <sheetName val="3-2_귀책부서별_DT현황17"/>
      <sheetName val="1_2내수16"/>
      <sheetName val="GLOBAL_PT_NEW_FORMAT_OCT_200216"/>
      <sheetName val="_SR3차원단위_(3)10"/>
      <sheetName val="Rate_data16"/>
      <sheetName val="Cost_Reduction16"/>
      <sheetName val="3__관리점지수실적-1_1생산성16"/>
      <sheetName val="Sec_1_-_RFQ16"/>
      <sheetName val="02년_SUC16"/>
      <sheetName val="97계획(96_119"/>
      <sheetName val="ERP도입후_시정현황10"/>
      <sheetName val="실적_및_계획16"/>
      <sheetName val="공정능력_(2)16"/>
      <sheetName val="PRO_(참조)16"/>
      <sheetName val="6_N_m_CCW_전류10"/>
      <sheetName val="원단위_전후비교16"/>
      <sheetName val="외주품_감점_유형_기준16"/>
      <sheetName val="Bosch_ADVP&amp;R16"/>
      <sheetName val="Purchasing_Data10"/>
      <sheetName val="업무분장_10"/>
      <sheetName val="GLOBAL_PT_NEW_FORMAT_JULY__2011"/>
      <sheetName val="0_절삭조건11"/>
      <sheetName val="VS1_Paretto분석11"/>
      <sheetName val="포머_비가동_내역11"/>
      <sheetName val="일일_업무_현황_(3)11"/>
      <sheetName val="일일_업무_현황_(5)11"/>
      <sheetName val="1-1_General_Code10"/>
      <sheetName val="FRONT_HUB견적가11"/>
      <sheetName val="MPL_技連11"/>
      <sheetName val="342E_BLOCK11"/>
      <sheetName val="J150_승인진도관리_LIST10"/>
      <sheetName val="TOTAL_LIST10"/>
      <sheetName val="Price_Range10"/>
      <sheetName val="FTR_MACRo10"/>
      <sheetName val="생산현황_(입력)10"/>
      <sheetName val="MPS_Q3_FY0410"/>
      <sheetName val="MPS_Q4_FY0410"/>
      <sheetName val="1_ER유체응용10"/>
      <sheetName val="4_시험장비10"/>
      <sheetName val="협력사_일반현황11"/>
      <sheetName val="DATA_BASE10"/>
      <sheetName val="업체별_단가현황10"/>
      <sheetName val="FLOW_PROSES_(A)13"/>
      <sheetName val="VPP(BD-010)_이상보고10"/>
      <sheetName val="일일_생산및판매계획_대_실적10"/>
      <sheetName val="02_07_27_부품판매가10"/>
      <sheetName val="임율_&amp;_LOT10"/>
      <sheetName val="생산계획_(2)10"/>
      <sheetName val="CR_CODE10"/>
      <sheetName val="THEME_CODE10"/>
      <sheetName val="P&amp;L,Bal_Sheet,Cash_Forecast10"/>
      <sheetName val="비교원가제출_고10"/>
      <sheetName val="1_세부비교원가(내수)10"/>
      <sheetName val="1_종합비교원가(내수_일반_유럽)10"/>
      <sheetName val="10_예산_및_원가_계획(02년)10"/>
      <sheetName val="2차_OIL량측정10"/>
      <sheetName val="3_PT개발계획10"/>
      <sheetName val="대외공문_10"/>
      <sheetName val="공정별공법-W_HSE-LH10"/>
      <sheetName val="II__CF1"/>
      <sheetName val="I__Assumptions1"/>
      <sheetName val="Supplier_QRQC9"/>
      <sheetName val="4_3_첨부110"/>
      <sheetName val="검사협정_보충9"/>
      <sheetName val="GM_Master10"/>
      <sheetName val="1_기안을지9"/>
      <sheetName val="c_db114"/>
      <sheetName val="PS_SIDE_OTR_INR_공정개선_상세8"/>
      <sheetName val="OEM_Plan10"/>
      <sheetName val="고객불만_건10"/>
      <sheetName val="After_sales10"/>
      <sheetName val="Value_Analysis_-_Sheet_110"/>
      <sheetName val="★금형비_계산서9"/>
      <sheetName val="Interco_&amp;_PVS_Loc_Cur9"/>
      <sheetName val="LOWSIDE_비교9"/>
      <sheetName val="첨부4_기술평가서9"/>
      <sheetName val="Production_Plan110"/>
      <sheetName val="J2(P_MT)9"/>
      <sheetName val="제품명_(3)10"/>
      <sheetName val="09년_현황10"/>
      <sheetName val="WTC_BODY一覧原紙10"/>
      <sheetName val="3월말_장기악성(국내)10"/>
      <sheetName val="2월말_장기악성(국내)10"/>
      <sheetName val="Data_Sheet10"/>
      <sheetName val="6_수입검사_10"/>
      <sheetName val="03_PFD-110"/>
      <sheetName val="12_Inv_10"/>
      <sheetName val="97년_재료예산(안)10"/>
      <sheetName val="1_터빈10"/>
      <sheetName val="cost_base_e_dati10"/>
      <sheetName val="2__Definitions10"/>
      <sheetName val="코드_조건표11"/>
      <sheetName val="HMC_사전원가(원혁기준)13%10"/>
      <sheetName val="재품별_단가10"/>
      <sheetName val="장비_전체리스트10"/>
      <sheetName val="_19"/>
      <sheetName val="집중검사_리스트10"/>
      <sheetName val="production_dept10"/>
      <sheetName val="TL_PROTO_2열4"/>
      <sheetName val="OEM_이의제기_종합9"/>
      <sheetName val="3_3검토국9"/>
      <sheetName val="PACKING_LIST4"/>
      <sheetName val="COOLING_UNIT4"/>
      <sheetName val="#1-1_(2)4"/>
      <sheetName val="자동차_종합지표10"/>
      <sheetName val="1_2_2완제품검사('00_4월)_(가라)9"/>
      <sheetName val="기초_DATA4"/>
      <sheetName val="RFQ_180410"/>
      <sheetName val="full_(2)9"/>
      <sheetName val="보강사_소요량9"/>
      <sheetName val="4_Vendor_price9"/>
      <sheetName val="신흥테크_세부내역_LIST4"/>
      <sheetName val="Issues_List4"/>
      <sheetName val="LINE_PPM-분석4"/>
      <sheetName val="Actual_data4"/>
      <sheetName val="2012_Volum10"/>
      <sheetName val="B053_(990701)공정능력PC%계산9"/>
      <sheetName val="P&amp;L_account10"/>
      <sheetName val="국내_9"/>
      <sheetName val="4,5공장_9"/>
      <sheetName val="시트_9"/>
      <sheetName val="VERTICAL_PIPE9"/>
      <sheetName val="TABLE_DB9"/>
      <sheetName val="쌍용_data_base9"/>
      <sheetName val="2과_공수집계9"/>
      <sheetName val="118_세금과공과9"/>
      <sheetName val="경영재무_(입력)9"/>
      <sheetName val="연구개발_(입력)9"/>
      <sheetName val="일반현황_(입력)9"/>
      <sheetName val="품질관리_(입력)9"/>
      <sheetName val="실행내역서_10"/>
      <sheetName val="개발_LIST10"/>
      <sheetName val="PC%계산(WM_COMM단차)10"/>
      <sheetName val="차체_품안표10"/>
      <sheetName val="1_1_2008_OTIF10"/>
      <sheetName val="BAFFLE_HMC_TABLE110"/>
      <sheetName val="1~3월_지시사항10"/>
      <sheetName val="1_POSITIONING10"/>
      <sheetName val="무부하_회전수10"/>
      <sheetName val="진행중_설변10"/>
      <sheetName val="HOLE_9905(1)10"/>
      <sheetName val="Upgrades_pricing9"/>
      <sheetName val="7_3_DY팀9"/>
      <sheetName val="PNL_ASS'Y_CRASH_PAD_UPR_RH9"/>
      <sheetName val="공정능력(마운틴_홀_거리)9"/>
      <sheetName val="Summary_Sheet9"/>
      <sheetName val="Datasheet_for_KPI_Model_19"/>
      <sheetName val="Moulding_data9"/>
      <sheetName val="TEAM하반기_계획_(2)9"/>
      <sheetName val="YOKE-H(10_3)9"/>
      <sheetName val="▶R_C_FRM9"/>
      <sheetName val="광주_소요량9"/>
      <sheetName val="5-Why_Root_Cause_Analysis_9"/>
      <sheetName val="초_성9"/>
      <sheetName val="CHECK_성9"/>
      <sheetName val="cpk_data9"/>
      <sheetName val="Drop-down_Lists9"/>
      <sheetName val="Bas_Moteur9"/>
      <sheetName val="Validation_Lists9"/>
      <sheetName val="제품별_매출10"/>
      <sheetName val="Data_Working_Time10"/>
      <sheetName val="Actual_In_&amp;_Out9"/>
      <sheetName val="LINE_운영안9"/>
      <sheetName val="원가_종합10"/>
      <sheetName val="DV_Flow_Chart_DV-PV1_(PFC)10"/>
      <sheetName val="MATEMST_(2)9"/>
      <sheetName val="2-2_매출분석4"/>
      <sheetName val="_20"/>
      <sheetName val="14년_증판안_판촉9"/>
      <sheetName val="Order_status10"/>
      <sheetName val="Order_status29"/>
      <sheetName val="Customer_Master9"/>
      <sheetName val="Common_code9"/>
      <sheetName val="Order_Status_Master9"/>
      <sheetName val="Product_Master9"/>
      <sheetName val="사무용품_신청9"/>
      <sheetName val="표지_(2)4"/>
      <sheetName val="원단위_1계_2계8"/>
      <sheetName val="99년12월_실적DATA4"/>
      <sheetName val="7)_133677344"/>
      <sheetName val="Net_Revenue4"/>
      <sheetName val="기초_데이터4"/>
      <sheetName val="Schedule_12"/>
      <sheetName val="CAR_Form_Summary2"/>
      <sheetName val="중요차종_(090131)4"/>
      <sheetName val="repeatative_rejection2"/>
      <sheetName val="Z41,Z42_이외total9"/>
      <sheetName val="FRN_020001"/>
      <sheetName val="FY_12_Interiors_Volume2"/>
      <sheetName val="INT_Price_FY12_MFC2"/>
      <sheetName val="Data_Input3"/>
      <sheetName val="PU_FOAM_가격조정_기준2"/>
      <sheetName val="BOX_ASSY2"/>
      <sheetName val="Diaph1_values2"/>
      <sheetName val="Diaph2_values2"/>
      <sheetName val="Diaph_values2"/>
      <sheetName val="Cushion_datas2"/>
      <sheetName val="220_(2)4"/>
      <sheetName val="Personnaliser___2"/>
      <sheetName val="Takt_Time2"/>
      <sheetName val="2000_(원본)2"/>
      <sheetName val="Danh_Mục3"/>
      <sheetName val="Danh_Muc3"/>
      <sheetName val="Danh_sach_Hàn_thùng2"/>
      <sheetName val="6_Parent_S__Fixed_Prod2"/>
      <sheetName val="SUST_DEV_&amp;_OTHER1"/>
      <sheetName val="OEM_1"/>
      <sheetName val="August_20031"/>
      <sheetName val="OE_UMC1"/>
      <sheetName val="Analysis-Others_Pg_41"/>
      <sheetName val="Fx_Rates1"/>
      <sheetName val="Kautex_4WD_St_IV_P&amp;D2"/>
      <sheetName val="Sachs_FL_WHL2"/>
      <sheetName val="Rollforward_{bpe}2"/>
      <sheetName val="Allow_-_SR&amp;D2"/>
      <sheetName val="P_O_(LOCAL)2"/>
      <sheetName val="U268_4x4_AT(walk)Mitsu2"/>
      <sheetName val="UPPER_도면2"/>
      <sheetName val="20060624_공조제어3"/>
      <sheetName val="풍량상한치_제한_data3"/>
      <sheetName val="Source_List3"/>
      <sheetName val="공정공수_XLS2"/>
      <sheetName val="11403-06163_เก่า8"/>
      <sheetName val="FM-HD_(New)8"/>
      <sheetName val="FM-HD_(HKMC)_8"/>
      <sheetName val="FM-HD_(11254-06201)__8"/>
      <sheetName val="FM-HD_(11251-06163)8"/>
      <sheetName val="FM-HD_(11514053)8"/>
      <sheetName val="FM-HD_(11611807)8"/>
      <sheetName val="FM-HD_(94502003)8"/>
      <sheetName val="FM-HD_(94501839)8"/>
      <sheetName val="FM-HD_(PT-GDENG0911-4)8"/>
      <sheetName val="FM-HD_(94520439)8"/>
      <sheetName val="FM-HD_(94500396)8"/>
      <sheetName val="FM-HD_(94500407)8"/>
      <sheetName val="FM-HD_(94500414)8"/>
      <sheetName val="FM-HD_(94500073)8"/>
      <sheetName val="FM-HD_(11588683)8"/>
      <sheetName val="FM-HD_(94500952)8"/>
      <sheetName val="FM-HD_(11569995)8"/>
      <sheetName val="FM-HD_(11254-06201)8"/>
      <sheetName val="FM-HD_(11588685)8"/>
      <sheetName val="FM-HD_(94500793)_8"/>
      <sheetName val="FM-HD_(11588717)8"/>
      <sheetName val="FM-HD_(HD-25198904)8"/>
      <sheetName val="FM-HD_(HD-11570514)_8"/>
      <sheetName val="FM-HD_(11097441)8"/>
      <sheetName val="FM-HD_(11588662)_8"/>
      <sheetName val="FM-HD_(11519387)8"/>
      <sheetName val="FM-HD_(11561969)8"/>
      <sheetName val="FM-HD_(11516580)8"/>
      <sheetName val="FM-HD_(11588712)___8"/>
      <sheetName val="FM-HD_(11519375)8"/>
      <sheetName val="FM-HD_(FAA32071001)__8"/>
      <sheetName val="FM-HD_(11519382)_8"/>
      <sheetName val="FM-HD_(11519383)_8"/>
      <sheetName val="FM-HD_(11561763)__8"/>
      <sheetName val="FM-HD_(11588316)__8"/>
      <sheetName val="seat-sdn_only1"/>
      <sheetName val="Danh_sach1"/>
      <sheetName val="Costed_BOM_2ndR_40%1"/>
      <sheetName val="Bang_KL1"/>
      <sheetName val="Lcau_-_Lxuc1"/>
      <sheetName val="4_경비_5_영업외수지1"/>
      <sheetName val="2019년_생산수량1"/>
      <sheetName val="19년_종합_CT1"/>
      <sheetName val="Model_Synthesis_Report1"/>
      <sheetName val="Sch1_-_P&amp;L_Summary1"/>
      <sheetName val="Sch2_-_BalSht_Summary1"/>
      <sheetName val="Sch3_-_CFlow_Summary1"/>
      <sheetName val="delta_impedance(평균)2"/>
      <sheetName val="強度_CN_A1_C10H_152H1"/>
      <sheetName val="CONN_조립2"/>
      <sheetName val="04_03월소일정계획1"/>
      <sheetName val="_관리계획서_Rev_01_xlsx1"/>
      <sheetName val="10-2_ED&amp;D_EQU1"/>
      <sheetName val="Business_Plan1"/>
      <sheetName val="Organization_chart201910022"/>
      <sheetName val="RESPONSIBILITY_MATRIX2"/>
      <sheetName val="DS-Thuong_6T_dau1"/>
      <sheetName val="CHI_TIẾT1"/>
      <sheetName val="BOM_Cost_(R-U713MHH)1"/>
      <sheetName val="거래선_생산계획1"/>
      <sheetName val="Component_List1"/>
      <sheetName val="개조_요청서1"/>
      <sheetName val="_쿠첸_CIR-301_제원현황(170317)_xlsx1"/>
      <sheetName val="BOM_CODE1"/>
      <sheetName val="96_하반기_전시회_경비1"/>
      <sheetName val="Summary_Capex_Info-Cal_(master1"/>
      <sheetName val="2_(1설원_첨)1"/>
      <sheetName val="XD_담력저감1"/>
      <sheetName val="Export_Data1"/>
      <sheetName val="Grille_Q3P_Organe3"/>
      <sheetName val="Table(APG_MF)1"/>
      <sheetName val="Pt_Rates1"/>
      <sheetName val="Text_Control1"/>
      <sheetName val="text_contl1"/>
      <sheetName val="원가검토가_(현양산품)1"/>
      <sheetName val="원가검토가_(최초견적가)1"/>
      <sheetName val="원가검토가_(최초양산품)1"/>
      <sheetName val="RT_Table1"/>
      <sheetName val="Histogram_Chart2"/>
      <sheetName val="Freq_error_DATA2"/>
      <sheetName val="Freq_HISTOGRAM2"/>
      <sheetName val="TLc_개조차(목표원가)1"/>
      <sheetName val="FAX_(2)1"/>
      <sheetName val="KQ_11"/>
      <sheetName val="의장2반_1"/>
      <sheetName val="Detail_Defect_COMBO_KAISER1"/>
      <sheetName val="Intercompany_Detail1"/>
      <sheetName val="1(A급)_(2)1"/>
      <sheetName val="Sheet1_(3)1"/>
      <sheetName val="Intercompany_Detail"/>
      <sheetName val="1(A급)_(2)"/>
      <sheetName val="System NPV"/>
      <sheetName val="모비스경비표준"/>
      <sheetName val="BEZEL L외주"/>
      <sheetName val="NOZZLE ASSY-SIDE DEF LH"/>
      <sheetName val="PLFM01"/>
      <sheetName val="평균환율"/>
      <sheetName val="Jan-30-99"/>
      <sheetName val="0.주광원 LDM"/>
      <sheetName val="FAB"/>
      <sheetName val="급여 예상 (2017)인상후"/>
      <sheetName val="판매 계획 대 실적"/>
      <sheetName val="하나로통신"/>
      <sheetName val="Standar"/>
      <sheetName val="작업일"/>
      <sheetName val="HD추이"/>
      <sheetName val="유화"/>
      <sheetName val="R-01"/>
      <sheetName val="CASTING CONDITION"/>
      <sheetName val="고객등록현황"/>
      <sheetName val="Gauge_R&amp;R"/>
      <sheetName val="Bia_TQT"/>
      <sheetName val="정의"/>
      <sheetName val="IS"/>
      <sheetName val="도움말"/>
      <sheetName val="copy of control valve"/>
      <sheetName val="기초부품"/>
      <sheetName val="발사관"/>
      <sheetName val="견적LIST"/>
      <sheetName val="EXP P1(PART)"/>
      <sheetName val="과거실적"/>
      <sheetName val="85725-D7500"/>
      <sheetName val="供方"/>
      <sheetName val="?PRDW30.XL"/>
      <sheetName val="AAVR-IL"/>
      <sheetName val="99월별경비계획"/>
      <sheetName val="서열표"/>
      <sheetName val="THĐH E4"/>
      <sheetName val="THĐH E3"/>
      <sheetName val="Tien_Thuong"/>
      <sheetName val="NC_XL_6T_cuoi_01_CTy"/>
      <sheetName val="Data_-6T_dau"/>
      <sheetName val="Cong_6T"/>
      <sheetName val="Group_Consolidated"/>
      <sheetName val="납입주기"/>
      <sheetName val="MPST01V"/>
      <sheetName val="Packing수불"/>
      <sheetName val="Scrap"/>
      <sheetName val="CELL"/>
      <sheetName val="월간total"/>
      <sheetName val="실적입력"/>
      <sheetName val="CELL 생산일보 "/>
      <sheetName val="OT"/>
      <sheetName val="Apr"/>
      <sheetName val="T7"/>
      <sheetName val="Feb"/>
      <sheetName val="Jan"/>
      <sheetName val="Mar"/>
      <sheetName val="May"/>
      <sheetName val="T1"/>
      <sheetName val="T6"/>
      <sheetName val="T3"/>
      <sheetName val="T4"/>
      <sheetName val="2B1U-F-4"/>
      <sheetName val="200"/>
      <sheetName val="그림"/>
      <sheetName val="DG 285"/>
      <sheetName val="DG  286"/>
      <sheetName val="DG 85"/>
      <sheetName val="DG 89"/>
      <sheetName val="DG THIET BI"/>
      <sheetName val="DGVCTC 285"/>
      <sheetName val="DG vat lieu"/>
      <sheetName val="Basic_assumptins6"/>
      <sheetName val="THVT"/>
      <sheetName val="CP khau hao"/>
      <sheetName val="Cước VC + ĐM CP Tư vấn"/>
      <sheetName val="OperBal"/>
      <sheetName val="Takt - 1 Shift"/>
      <sheetName val="Workshop Summary"/>
      <sheetName val="D"/>
      <sheetName val="ExterneTBGListeDeroulante"/>
      <sheetName val="재활용분류정보"/>
      <sheetName val="구성비"/>
      <sheetName val="PDmaster"/>
      <sheetName val="Sales Plan"/>
      <sheetName val="제품별_수량"/>
      <sheetName val="RCL MY2"/>
      <sheetName val="Income Statement"/>
      <sheetName val="2 - SALCPA Tracker - pg. 1"/>
      <sheetName val="Chart of Accounts"/>
      <sheetName val="検索条件"/>
      <sheetName val="rpt03"/>
      <sheetName val="rpt01"/>
      <sheetName val="rpt05"/>
      <sheetName val="Simulate"/>
      <sheetName val="손익비교 Data"/>
      <sheetName val="조직도_99"/>
      <sheetName val="V"/>
      <sheetName val="CustomerPlan"/>
      <sheetName val="Vol &amp; Assumpt"/>
      <sheetName val="①評価項目_メーカー"/>
      <sheetName val=" 启 东"/>
      <sheetName val="product lines"/>
      <sheetName val="09년 1월이후 완료신작"/>
      <sheetName val="DATOS1"/>
      <sheetName val="TABLA"/>
      <sheetName val="ecr blank"/>
      <sheetName val="Material Import Rate"/>
      <sheetName val="Arrivals"/>
      <sheetName val="Courier 4x2"/>
      <sheetName val="month"/>
      <sheetName val="Retail Spider"/>
      <sheetName val="Lists (Hide)"/>
      <sheetName val="GRP"/>
      <sheetName val="WKS"/>
      <sheetName val="FIN6 input Front F&amp;G"/>
      <sheetName val="Plant"/>
      <sheetName val="Old Consoles"/>
      <sheetName val="OEM-Engr-Product Data"/>
      <sheetName val="Material Expense Rate"/>
      <sheetName val="POP Forecast"/>
      <sheetName val="2월생산성현황"/>
      <sheetName val="hidden"/>
      <sheetName val="翻译总表"/>
      <sheetName val="9808"/>
      <sheetName val="월별발행건수및금액(2011)"/>
      <sheetName val="출하현황"/>
      <sheetName val="세부손익목표"/>
      <sheetName val="9810"/>
      <sheetName val="9807"/>
      <sheetName val="9811"/>
      <sheetName val="INPUT DATA(입찰)"/>
      <sheetName val="어퍼금형"/>
      <sheetName val="일위대가표(DEEP)"/>
      <sheetName val="오산"/>
      <sheetName val="기술료현황"/>
      <sheetName val="1-2"/>
      <sheetName val="잠시"/>
      <sheetName val="SUB자료01 - 드롭 항목"/>
      <sheetName val="FILL-A"/>
      <sheetName val="Y3_LIST"/>
      <sheetName val="6. FTA특혜관세적용달성율"/>
      <sheetName val="원계-JOINT"/>
      <sheetName val="Volume &amp; Assumptions"/>
      <sheetName val="7407"/>
      <sheetName val="Settings"/>
      <sheetName val="재고현황"/>
      <sheetName val="Prob. Res. Index"/>
      <sheetName val="0.견적보고"/>
      <sheetName val="H11"/>
      <sheetName val="0.LED ASSY"/>
      <sheetName val="스크랩(99→120)"/>
      <sheetName val="스크랩(120→220)"/>
      <sheetName val="태광"/>
      <sheetName val="Reference"/>
      <sheetName val="Disclaimer"/>
      <sheetName val="4(2)"/>
      <sheetName val="Year"/>
      <sheetName val="Characteristic"/>
      <sheetName val="1차 시산표"/>
      <sheetName val="CAPVC"/>
      <sheetName val="교육생등록"/>
      <sheetName val="INVESTMENT_(Hardware)12"/>
      <sheetName val="신고서_전11"/>
      <sheetName val="Basic_assumptions11"/>
      <sheetName val="영업_일111"/>
      <sheetName val="PFMEA_XLS11"/>
      <sheetName val="_PPAP_작성중__xlsx11"/>
      <sheetName val="RELAY_FAX양식11"/>
      <sheetName val="상세_견적서_(HMC)11"/>
      <sheetName val="2008_г11"/>
      <sheetName val="2_중요한회계정책11"/>
      <sheetName val="9_관계기업투자11"/>
      <sheetName val="42_리스11"/>
      <sheetName val="25_법인세11"/>
      <sheetName val="DBL_LPG시험11"/>
      <sheetName val="Proj_List_00E11"/>
      <sheetName val="Data_Not_Used4"/>
      <sheetName val="FTQ_Data4"/>
      <sheetName val="Int_Pulls_Data4"/>
      <sheetName val="Int_Spills_Data4"/>
      <sheetName val="PPM_Data4"/>
      <sheetName val="Pulls_Data4"/>
      <sheetName val="Spills_Data4"/>
      <sheetName val="노원열병합__건축공사기성내역서4"/>
      <sheetName val="Gia_vat_tu4"/>
      <sheetName val="기준정보(A)_15_10_274"/>
      <sheetName val="단중_및_예비길이_SHEET_15_9_5(K)4"/>
      <sheetName val="15_1_02_15년_1월예시계획4"/>
      <sheetName val="15년_12월_시작재공품_15_12_34"/>
      <sheetName val="기준정보(A)_12_02_234"/>
      <sheetName val="개선대책_양식4"/>
      <sheetName val="STD__CAB4"/>
      <sheetName val="STD__NCAB4"/>
      <sheetName val="원소재_변경_상세4"/>
      <sheetName val="직거래가_변경4"/>
      <sheetName val="입력_List4"/>
      <sheetName val="DO_NOT_DELETE3"/>
      <sheetName val="EscLP"/>
      <sheetName val="자재 입고(K1E1)"/>
      <sheetName val="6차량_원단위"/>
      <sheetName val="첨부(인조가죽신규계산)"/>
      <sheetName val="김경원"/>
      <sheetName val="KPI실적"/>
      <sheetName val="GG"/>
      <sheetName val="C2"/>
      <sheetName val="Mov‘2008"/>
      <sheetName val="Mov‘2007"/>
      <sheetName val="Mov‘2005"/>
      <sheetName val="Mov‘2006"/>
      <sheetName val="기초_DATA5"/>
      <sheetName val="종합판"/>
      <sheetName val="07년 ECU RAW DATA"/>
      <sheetName val="RATES"/>
      <sheetName val="(2) CT&amp;CAPA"/>
      <sheetName val="경수97.02"/>
      <sheetName val="Analysts"/>
      <sheetName val="Income Statement Input"/>
      <sheetName val="Depreciation"/>
      <sheetName val="RG손익자료"/>
      <sheetName val="C"/>
      <sheetName val="Constantes"/>
      <sheetName val="Performance"/>
      <sheetName val="Reference Lists"/>
      <sheetName val="Ramp-up Prod KLf pro Woche "/>
      <sheetName val="Cork"/>
      <sheetName val="Equipment Info assumptions"/>
      <sheetName val="试制准入检查"/>
      <sheetName val="Manufacturers And Names Lists"/>
      <sheetName val="BE_DPHU报告_"/>
      <sheetName val="封面"/>
      <sheetName val="说明"/>
      <sheetName val="リリースファイル一覧"/>
      <sheetName val="設能力3"/>
      <sheetName val="51755-B1100(1CVT)"/>
      <sheetName val="입력SHT"/>
      <sheetName val="C_O내역(FB)"/>
      <sheetName val="개별(LEAD WIRE)"/>
      <sheetName val="LF내역"/>
      <sheetName val="M96현황_동아"/>
      <sheetName val="FE_DPHU报告_1"/>
      <sheetName val="TOP_15"/>
      <sheetName val="Qual_Approv_Test_Plan_050322"/>
      <sheetName val="Dashboard_(methodologies)"/>
      <sheetName val="BE_DPHU报告_1"/>
      <sheetName val="Reference_Lists"/>
      <sheetName val="Ramp-up_Prod_KLf_pro_Woche_"/>
      <sheetName val="Equipment_Info_assumptions"/>
      <sheetName val="Manufacturers_And_Names_Lists"/>
      <sheetName val="DICTIONARY"/>
      <sheetName val="ACC-01-01"/>
      <sheetName val="5차-폭"/>
      <sheetName val="월"/>
      <sheetName val="설비사양서B(L,O)"/>
      <sheetName val="2. 트림별_중국"/>
      <sheetName val="비품"/>
      <sheetName val="Org Level_221001"/>
      <sheetName val="도장DATA"/>
      <sheetName val="손익합산"/>
      <sheetName val="일반물자(한국통신)"/>
      <sheetName val="Look up"/>
      <sheetName val="요약PL"/>
      <sheetName val="Active 1,4 MT"/>
      <sheetName val="TABLE(한국)"/>
      <sheetName val="HW 종합"/>
      <sheetName val="표면적"/>
      <sheetName val="Sheet56"/>
      <sheetName val="ME BOM for scheme two"/>
      <sheetName val="bal_sheet"/>
      <sheetName val="生產計劃"/>
      <sheetName val="__"/>
      <sheetName val="____"/>
      <sheetName val="清冊"/>
      <sheetName val="Owner List"/>
      <sheetName val="OT Project Report"/>
      <sheetName val="E Goal"/>
      <sheetName val="E_KSR"/>
      <sheetName val="All_KSR"/>
      <sheetName val="P Goal"/>
      <sheetName val="P_KSR"/>
      <sheetName val="說明"/>
      <sheetName val="Perishable Tooling"/>
      <sheetName val="ELEC_QUAL"/>
      <sheetName val="311910-032"/>
      <sheetName val="311910-063"/>
      <sheetName val="311910-023"/>
      <sheetName val="311910-022"/>
      <sheetName val="311910-033"/>
      <sheetName val="311910-013"/>
      <sheetName val="311910-012"/>
      <sheetName val="311910-004"/>
      <sheetName val="311910-006"/>
      <sheetName val="311910-003"/>
      <sheetName val="311910-005"/>
      <sheetName val="311910-043"/>
      <sheetName val="311910-042"/>
      <sheetName val="311910-053"/>
      <sheetName val="311910-052"/>
      <sheetName val="311910-062"/>
      <sheetName val="311910-073"/>
      <sheetName val="311910-072"/>
      <sheetName val="311910-166"/>
      <sheetName val="311910-164"/>
      <sheetName val="311910-293"/>
      <sheetName val="311910-292"/>
      <sheetName val="GR&amp;R"/>
      <sheetName val="Keyword"/>
      <sheetName val="21030511盘点票"/>
      <sheetName val="Year Graph"/>
      <sheetName val="Future Qtr MPS"/>
      <sheetName val="41922000"/>
      <sheetName val="SP-H700PartsList"/>
      <sheetName val="X-R CHART"/>
      <sheetName val="Tri-mode BOM"/>
      <sheetName val="Country List"/>
      <sheetName val="country"/>
      <sheetName val="Debug check list"/>
      <sheetName val="PP1142-2"/>
      <sheetName val="철판가,장비임율기준"/>
      <sheetName val="A-Presale Payment Schedule"/>
      <sheetName val="Result Sep-Nov 2009"/>
      <sheetName val="China"/>
      <sheetName val="CRITERIA1"/>
      <sheetName val="당일"/>
      <sheetName val="부품표"/>
      <sheetName val="BASIC_DATA"/>
      <sheetName val="spot不良管理记录表(扫码版)"/>
      <sheetName val="정율표"/>
      <sheetName val="facto顨"/>
      <sheetName val="13.Inv."/>
      <sheetName val="小时工标准"/>
      <sheetName val="TECHNICAL DATA"/>
      <sheetName val="경영비율 "/>
      <sheetName val="수익분배율"/>
      <sheetName val="TRANSLQT"/>
      <sheetName val="대헾⾎"/>
      <sheetName val="99퇴직"/>
      <sheetName val="99年度原単位"/>
      <sheetName val="interchange"/>
      <sheetName val="세로표지"/>
      <sheetName val="1.사고건수"/>
      <sheetName val="3.사고 요인별"/>
      <sheetName val="피막예상"/>
      <sheetName val="LWR(TND특근 협의x)_덕.알"/>
      <sheetName val="I. Balance Sheet"/>
      <sheetName val="2020년도 교육 참석 현황_Raw Data"/>
      <sheetName val="전기"/>
      <sheetName val="Customer Grouping"/>
      <sheetName val="외화"/>
      <sheetName val="미결업무"/>
      <sheetName val="의왕"/>
      <sheetName val="6월수주출고"/>
      <sheetName val="timesheet"/>
      <sheetName val="DATA3"/>
      <sheetName val="DATA2"/>
      <sheetName val="DATA4"/>
      <sheetName val="Mix A"/>
      <sheetName val="5)운반비(현재)"/>
      <sheetName val="첨부2)부재료비"/>
      <sheetName val="제품_x0000_"/>
      <sheetName val="기본죭⊲"/>
      <sheetName val="기본ჭɼ"/>
      <sheetName val="Suppl_x0000__x0000__x0005__x0000_Àࣷ"/>
      <sheetName val="JP_GP_UP통합"/>
      <sheetName val="영업계획"/>
      <sheetName val="★외출12"/>
      <sheetName val="기본 정보"/>
      <sheetName val="Sheet52"/>
      <sheetName val="배합가(설원)"/>
      <sheetName val="1xls"/>
      <sheetName val="A4 BS"/>
      <sheetName val="unitq3"/>
      <sheetName val="참고1. 기계경비율"/>
      <sheetName val="자산대장"/>
      <sheetName val="기계Ĩ1998~2003년)작업본"/>
      <sheetName val="Dữ liệu"/>
      <sheetName val="Cpk 1"/>
      <sheetName val="仕掛"/>
      <sheetName val="Part_DATA"/>
      <sheetName val="Explaination"/>
      <sheetName val="CKV_60TM1"/>
      <sheetName val="거래업체명단"/>
      <sheetName val="Aus.Current Mth Var. to Fcst "/>
      <sheetName val="금형_(2)14"/>
      <sheetName val="_하반기_경비_조정계획_150627(사계_r2_기준)_6"/>
      <sheetName val="(2)월생산현황_5"/>
      <sheetName val="1_TAT_Info_6"/>
      <sheetName val="Europe_PU-15"/>
      <sheetName val="금형_이력_카드3"/>
      <sheetName val="GAGE_R&amp;R(FRT_UPR)6"/>
      <sheetName val="중공업_실적6"/>
      <sheetName val="2-1_제품군별계획대비실적(B_A)8"/>
      <sheetName val="0_CHMSL_LED_ASSY6"/>
      <sheetName val="RFQ_Template6"/>
      <sheetName val="XMA_12월_8,000대_원,부자재_完6"/>
      <sheetName val="YFA_10월분_원자재(10_12)_미납완료_完6"/>
      <sheetName val="YFA_10월분_부자재(10_7,9)_FEDEX_完6"/>
      <sheetName val="SCP_46"/>
      <sheetName val="SCP_5_D2UXT6"/>
      <sheetName val="SCP_6_D2UX6"/>
      <sheetName val="Invest_(MAC)6"/>
      <sheetName val="SCP_Apr20156"/>
      <sheetName val="108_수선비6"/>
      <sheetName val="Team_종합6"/>
      <sheetName val="REAR_6"/>
      <sheetName val="abs_dac검사대비분석자료26"/>
      <sheetName val="RFQ_Form6"/>
      <sheetName val="Aug01_Status_Rpt3"/>
      <sheetName val="품의서양식_(3)6"/>
      <sheetName val="ISSUE_LIST6"/>
      <sheetName val="1__보고6"/>
      <sheetName val="Input_Page3"/>
      <sheetName val="Input_Sheet3"/>
      <sheetName val="Base_Info3"/>
      <sheetName val="_0602주-무결점운동_진행현황_보고_(201406105"/>
      <sheetName val="불량_리스트6"/>
      <sheetName val="불량_코드6"/>
      <sheetName val="PMBG12LD_장비및인원소요(D_A기준)_2"/>
      <sheetName val="NEW_TOOL_MASTER3"/>
      <sheetName val="3-2002년_소모공구비3"/>
      <sheetName val="1_TP조립6"/>
      <sheetName val="기타_부자재5"/>
      <sheetName val="4_20)통계적기법관리절차서5"/>
      <sheetName val="개발원가_종합3"/>
      <sheetName val="MS_SPEC2"/>
      <sheetName val="BI-FUEL_AIR_VENT_PIPE6"/>
      <sheetName val="8월_매출현황3"/>
      <sheetName val="3공장_순양전자3"/>
      <sheetName val="현진테크_(2)3"/>
      <sheetName val="동경cnc_지그3"/>
      <sheetName val="대한테크_집계3"/>
      <sheetName val="서연전자_(2)3"/>
      <sheetName val="삼익전자_(2)3"/>
      <sheetName val="삼익산업_(2)3"/>
      <sheetName val="시무인텔_(2)3"/>
      <sheetName val="성우일렉스_(2)3"/>
      <sheetName val="성호테크_(2)3"/>
      <sheetName val="CONSUMO_DE_RESINA_5"/>
      <sheetName val="Full_PBD5"/>
      <sheetName val="2009년_매출_실적2"/>
      <sheetName val="DS_MBR_RR_Side__-_PcA5"/>
      <sheetName val="Dual_PMP수율5"/>
      <sheetName val="_Common_Info_Page3"/>
      <sheetName val="외주수입검사_종합(6월)6"/>
      <sheetName val="LCAUTO_43"/>
      <sheetName val="LCAT수_조3"/>
      <sheetName val="소재_이력3"/>
      <sheetName val="99_조정금액3"/>
      <sheetName val="1_종합평가표6"/>
      <sheetName val="THS_-_Key_Inputs3"/>
      <sheetName val="2005년_소요량2"/>
      <sheetName val="PL_By_Model(Result)3"/>
      <sheetName val="2차_OI3"/>
      <sheetName val="Mẫu_DMVT2"/>
      <sheetName val="Mẫu_DMVT_(2)2"/>
      <sheetName val="DANH_MỤC_NHÓM_ĐỐI_TƯỢNG2"/>
      <sheetName val="Nhap_T82"/>
      <sheetName val="Begining_detail-CTIET2"/>
      <sheetName val="Summary-TOMLUOC_2"/>
      <sheetName val="SO_TONG_HOP_CONG_NO2"/>
      <sheetName val="Nguon_PT_xetai2"/>
      <sheetName val="Nguon_PT_xe_Ben2"/>
      <sheetName val="Bien_so2"/>
      <sheetName val="DM_KHAU_HAO2"/>
      <sheetName val="MỤC_LỤC2"/>
      <sheetName val="Ghi_chú2"/>
      <sheetName val="1__Định_hướng_HĐ_CN_năm_20192"/>
      <sheetName val="2_1_Tổng_quan_TT_KD_xe_DL2"/>
      <sheetName val="2_2_Tổng_quan_TT_DVPT_DL2"/>
      <sheetName val="3_1__ĐKM_xe_DL2"/>
      <sheetName val="3_2_1__KH_KD-MKT_&amp;_TCKD_xe_KIA2"/>
      <sheetName val="3_2_2_CSBH_KIA2"/>
      <sheetName val="3_2_3__KH_KD-MKT&amp;TCKD_DVPT2"/>
      <sheetName val="Pv_SL2"/>
      <sheetName val="3_3_1_KH_KD-MKT_&amp;_TCKD_Mazda2"/>
      <sheetName val="3_3_2_CSBH_MAZDA2"/>
      <sheetName val="3_3_3_KH_KD-MKT&amp;TCKD_DVPT_MAZD2"/>
      <sheetName val="3_4__DVPT_SR_KIA_MAZDA2"/>
      <sheetName val="3_4_1_KH_KD-MKT&amp;TCKD_PEUGEOT2"/>
      <sheetName val="3_4_2_CSBH_PEUGEOT2"/>
      <sheetName val="3_4_3_KH_KD-MKT&amp;TC_DVPT_PEUGEO2"/>
      <sheetName val="3_5__TÀI_CHÍNH_KD_XE_KIA_MAZDA2"/>
      <sheetName val="4_1_Tổng_quan_TT_KD_Tai,_Bus2"/>
      <sheetName val="4_2_Tổng_quan_TT_DVPT_Tai_Bus2"/>
      <sheetName val="5_1__ĐKM_xe_Tai,_Bus2"/>
      <sheetName val="PTBH_20182"/>
      <sheetName val="SL_-_TVBH2"/>
      <sheetName val="5_2a__KD_Xe_Fuso2"/>
      <sheetName val="5_2b__KD_Xe_Foton2"/>
      <sheetName val="5_2c__KD_Xe_Bus2"/>
      <sheetName val="5_2__KH_KD-MKT&amp;TCKD_xe_Tải,_Bu2"/>
      <sheetName val="5_3__CSBH_xe_Tải,_Bus2"/>
      <sheetName val="5_4_KH_KD-MKT&amp;TC_DVPT_Tải,_Bus2"/>
      <sheetName val="Review_note2"/>
      <sheetName val="6_1_ĐKĐK2"/>
      <sheetName val="6_2__Bảo_hiểm2"/>
      <sheetName val="6_3__Tín_dụng2"/>
      <sheetName val="6_4__GSHT_&amp;_PH2"/>
      <sheetName val="6_5_DVHT2"/>
      <sheetName val="7_1_KH_nhân_sự2"/>
      <sheetName val="7_2__Định_biên_&amp;_Lương2"/>
      <sheetName val="7_3_KH_thưởng_năng_suất2"/>
      <sheetName val="Check_TH2"/>
      <sheetName val="8__Hành_chính2"/>
      <sheetName val="8_12"/>
      <sheetName val="9_1__Duy_tu_bảo_trì2"/>
      <sheetName val="9_2__Cải_tạo,_nâng_cấp2"/>
      <sheetName val="10__TSCĐ_-_CCDC2"/>
      <sheetName val="11D__Tài_chính_KD_XE_TỔNG2"/>
      <sheetName val="11E__Tài_chính_KD_DVPT_TỔNG2"/>
      <sheetName val="11A__Tài_chính_SR_KIA2"/>
      <sheetName val="11B__Tài_chính_SR_MAZDA2"/>
      <sheetName val="11D__Tài_chính_SR_Peugout2"/>
      <sheetName val="11C__Tài_chính_SR_TẢI_BUS2"/>
      <sheetName val="11D__Tài_chính_SR_Du_lịch2"/>
      <sheetName val="11__Tài_chính_Chi_nhánh2"/>
      <sheetName val="12__SĐTC2"/>
      <sheetName val="SEP_20072"/>
      <sheetName val="THƯ_VIỆN2"/>
      <sheetName val="REPAIR_DATA_-_CONTAINER_#53"/>
      <sheetName val="입력_데이타1"/>
      <sheetName val="28_8부1"/>
      <sheetName val="Tool_Type2"/>
      <sheetName val="3__Acronyms_and_abbreviations2"/>
      <sheetName val="거래선별_매출현황_내역5"/>
      <sheetName val="수식파일_(삭제금지)2"/>
      <sheetName val="List_Total2"/>
      <sheetName val="Person_Cost2"/>
      <sheetName val="THEO_DÕI_THAI_SẢN_(2)2"/>
      <sheetName val="Time_Man2"/>
      <sheetName val="Salary(Cus_)2"/>
      <sheetName val="OT_OVER2"/>
      <sheetName val="Segment_4_Bid_Sheet2"/>
      <sheetName val="Hi6810_功能信号表2"/>
      <sheetName val="6_FQC检验数据2"/>
      <sheetName val="2003_prod22"/>
      <sheetName val="2003_Target2"/>
      <sheetName val="RA_Bearer2"/>
      <sheetName val="Trend_Total_nguyên_nhân2"/>
      <sheetName val="設備預算總表附件3_2"/>
      <sheetName val="FA_Definitions2"/>
      <sheetName val="5_Why's2"/>
      <sheetName val="03년_체제결과5"/>
      <sheetName val="11_Inv_2"/>
      <sheetName val="05_新Table(간접직)2"/>
      <sheetName val="05계약내역(기존T_활용)2"/>
      <sheetName val="첨부13__사출(PAD)_카메라2"/>
      <sheetName val="24_냉각실용添12"/>
      <sheetName val="PP%-low_RPM2"/>
      <sheetName val="After_Sales_Supplier_#'s2"/>
      <sheetName val="부품_LIST2"/>
      <sheetName val="AQL(0_65)2"/>
      <sheetName val="InspectionData_(2)2"/>
      <sheetName val="Input_Form_-_EingabeMaske2"/>
      <sheetName val="1_생산02"/>
      <sheetName val="1_개발개요2"/>
      <sheetName val="G-Exchange_#6672"/>
      <sheetName val="C-Mix_Rate_&amp;_Revenue(calc)2"/>
      <sheetName val="General_Assumptions2"/>
      <sheetName val="종합원가분석_1_2"/>
      <sheetName val="01년2월현황_2"/>
      <sheetName val="_제9차_회사표준_제개정_공청회_이의제기신청서_XLSX2"/>
      <sheetName val="22_보증금(전신전화가입권)2"/>
      <sheetName val="39_미지급법인세2"/>
      <sheetName val="Value_2"/>
      <sheetName val="S_P1"/>
      <sheetName val="R_FJS_CAR_(old)1"/>
      <sheetName val="Certificate_list_1"/>
      <sheetName val="Material_References2"/>
      <sheetName val="2_Underbody_DT1"/>
      <sheetName val="Q1_&amp;_Q22"/>
      <sheetName val="개인별_교육현황2"/>
      <sheetName val="관리구역_책임자(181010)2"/>
      <sheetName val="ACU기청소2018-05-04_(3)2"/>
      <sheetName val="ASM_A동2"/>
      <sheetName val="SMT구역_(2)2"/>
      <sheetName val="관리구역_체크시트2"/>
      <sheetName val="관리구역_평가시트2"/>
      <sheetName val="담당자편성표_(B)2"/>
      <sheetName val="조립A구역_(2)2"/>
      <sheetName val="개선보고서_(2)2"/>
      <sheetName val="02_08생산대상대수2"/>
      <sheetName val="CPK(Process_Capanility)2"/>
      <sheetName val="INATAKE_SYS2"/>
      <sheetName val="Cover_page3"/>
      <sheetName val="Adjusted_OI3"/>
      <sheetName val="Adjusted_OI_(2)3"/>
      <sheetName val="Income_Stmt_(USD)3"/>
      <sheetName val="Income_Stmt_(RMB)3"/>
      <sheetName val="IS_Loc_Adj3"/>
      <sheetName val="Balance_Sht_(USD)3"/>
      <sheetName val="BS_Loc+Adj3"/>
      <sheetName val="Balance_Sht_(RMB)3"/>
      <sheetName val="Cash_Flow_(USD)3"/>
      <sheetName val="Cash_Forecast3"/>
      <sheetName val="IC_AP_AR4"/>
      <sheetName val="Cash_Cross_check3"/>
      <sheetName val="Unit_Price_without_LTA&amp;Pricing3"/>
      <sheetName val="Sales_without_LTA&amp;Pricing3"/>
      <sheetName val="Unit_ECN_Sales3"/>
      <sheetName val="Total_ECN_Sales3"/>
      <sheetName val="LTA_Percentage3"/>
      <sheetName val="LTA_Amount3"/>
      <sheetName val="Total_P2P3"/>
      <sheetName val="Net_Sales3"/>
      <sheetName val="Unit_Mat_Cost_Without_PS_VAVE3"/>
      <sheetName val="Material_cost_without_PS_VAVE3"/>
      <sheetName val="Unit_ECN_cost3"/>
      <sheetName val="ECN_cost_saving3"/>
      <sheetName val="Unit_Purchase_Saving3"/>
      <sheetName val="Total_Purchase_Saving3"/>
      <sheetName val="Unit_VAVE_Saving3"/>
      <sheetName val="Total_VAVE3"/>
      <sheetName val="Unit_Margin_Improvement3"/>
      <sheetName val="Total_Margin_Improvement3"/>
      <sheetName val="Unit_mat__cost_after_PS_VAVE3"/>
      <sheetName val="Total_Mat_cost_after_PS_VAVE3"/>
      <sheetName val="Unit_Inb_Freight_Rate3"/>
      <sheetName val="Inboud_Freight_Amount3"/>
      <sheetName val="Unit_Inb-Duty3"/>
      <sheetName val="Inbound_Duty3"/>
      <sheetName val="Material_cost_before_Scrap3"/>
      <sheetName val="Scrap_Rate3"/>
      <sheetName val="Scrap_Amount3"/>
      <sheetName val="Scrap_recovery_rate3"/>
      <sheetName val="Scrap_Recovery_Amount3"/>
      <sheetName val="Unit_Production_Auxiliary3"/>
      <sheetName val="Production_Auxiliary3"/>
      <sheetName val="Net_Material3"/>
      <sheetName val="Unit_OB_freight3"/>
      <sheetName val="Total_OB_freight3"/>
      <sheetName val="Total_LC&amp;OVH3"/>
      <sheetName val="LC&amp;OVH_Undefined_Var_3"/>
      <sheetName val="LC&amp;OVH_Undefined_Fix_3"/>
      <sheetName val="Total_headcount_&amp;_labor_cost3"/>
      <sheetName val="Direct_Labor_Cost3"/>
      <sheetName val="Indirect_Labor_Cost3"/>
      <sheetName val="Salary_Cost3"/>
      <sheetName val="MSI_-_FY(RMB)3"/>
      <sheetName val="MSI_-_Comm_Sales3"/>
      <sheetName val="MSI_-_IC_Sales3"/>
      <sheetName val="MSI_-_Mat_Cost3"/>
      <sheetName val="MSI_-_Direct_Labor3"/>
      <sheetName val="MSI_-_Variable_OH3"/>
      <sheetName val="MSI_-_Fixed_OH3"/>
      <sheetName val="MASTER_DATA1"/>
      <sheetName val="3rd_DESIGN_APRD"/>
      <sheetName val="BEND_LOSS"/>
      <sheetName val="plan&amp;section_of_foundation"/>
      <sheetName val="4__가격구조"/>
      <sheetName val="1-1__OEM"/>
      <sheetName val="1-2_Code_Info"/>
      <sheetName val="1-1_Gene"/>
      <sheetName val="CELL_생산일보_"/>
      <sheetName val="한일자야(감액손실)_(2)2"/>
      <sheetName val="천정등기구_실적2"/>
      <sheetName val="NUEVO_MODELOS_20182"/>
      <sheetName val="devis_qcdp22"/>
      <sheetName val="400H_가공,금형비2"/>
      <sheetName val="Budget_Imt_mensuel_(CFO)2"/>
      <sheetName val="CDV_Pte_mensuel2"/>
      <sheetName val="Evol_Prod_(Eqpt)2"/>
      <sheetName val="CAPVR_Pte_mensuel2"/>
      <sheetName val="영업_입수계획_2"/>
      <sheetName val="참고1_02_판매계획_(수량)2"/>
      <sheetName val="전사_경영계획_수량2"/>
      <sheetName val="Duration_2"/>
      <sheetName val="견적서_detail_Main_11"/>
      <sheetName val="Cty+XN(KT_2005)2"/>
      <sheetName val="ADJTBL_31002"/>
      <sheetName val="AOP_Summary-22"/>
      <sheetName val="Roadmap_Target_0627"/>
      <sheetName val="Roadmap_Target_(2)"/>
      <sheetName val="NX4e_CAC_INLET"/>
      <sheetName val="NX4e_CAC_OUTLET"/>
      <sheetName val="Theta3_FF_(기존)"/>
      <sheetName val="Theta3_FF"/>
      <sheetName val="HZG_D-Full_Coolant_Hose_"/>
      <sheetName val="9BQX_CAC"/>
      <sheetName val="9BQX_CAC_INLET_OUTLET(구매)"/>
      <sheetName val="NQ5_RADIATOR_HOSE"/>
      <sheetName val="NX4_OIL_COOLER_HOSE"/>
      <sheetName val="SG2_RADIATOR_HOSE(Current반영)"/>
      <sheetName val="NX4_BRAKE_HOSE_(구매)"/>
      <sheetName val="NX4_Brake_Hose(개발)"/>
      <sheetName val="US4_OIL_COOLER_HOSE"/>
      <sheetName val="KA4_OIL_COOLER_HOSE"/>
      <sheetName val="Roadmap_Target"/>
      <sheetName val="Takt_-_1_Shift"/>
      <sheetName val="Workshop_Summary"/>
      <sheetName val="kich_thuoc"/>
      <sheetName val="FX_Table"/>
      <sheetName val="REV_Idle(19)_Output(74_중심거리확정)"/>
      <sheetName val="실사LIST-중간가공품(05_12_27현재)_(2)1"/>
      <sheetName val="기종별_합계1"/>
      <sheetName val="8_공정능력평가(5)1"/>
      <sheetName val="4_Financial1"/>
      <sheetName val="3_4)__FR_종합1"/>
      <sheetName val="3_4)__RR_종합1"/>
      <sheetName val="EO_이력관리대장"/>
      <sheetName val="케이스_재공_재고1"/>
      <sheetName val="BAT1_1"/>
      <sheetName val="업체손실공수_xls2"/>
      <sheetName val="FRT_재료비1"/>
      <sheetName val="TFT_Attendace2"/>
      <sheetName val="0_주광원_LED_ASSY1"/>
      <sheetName val="9_초기공정능력조사(을)1"/>
      <sheetName val="1-1_연월차_개인별_보전수당1"/>
      <sheetName val="00-Input_Values1"/>
      <sheetName val="Input_Values1"/>
      <sheetName val="Corp_acronym1"/>
      <sheetName val="4_销售计划1"/>
      <sheetName val="Output_1_(2)1"/>
      <sheetName val="RFQ_Cover_Sheeet1"/>
      <sheetName val="3_학점이수(사내_사외교육)1"/>
      <sheetName val="3__트림별_내수1"/>
      <sheetName val="3__트림별_북미1"/>
      <sheetName val="3__트림별_유럽1"/>
      <sheetName val="23_보증금(전신전화가입권)1"/>
      <sheetName val="Main-Yield_report"/>
      <sheetName val="Cosmetic_Description"/>
      <sheetName val="2_´ë?Ü°o1®"/>
      <sheetName val="실DATA_"/>
      <sheetName val="해외)_MASTER_DATA"/>
      <sheetName val="국내)_마스터_데이터"/>
      <sheetName val="share_year=51"/>
      <sheetName val="첨#3__PCB"/>
      <sheetName val="Detail_report"/>
      <sheetName val="Questions_for_Wuhan_Lear"/>
      <sheetName val="Request_template"/>
      <sheetName val="1_page"/>
      <sheetName val="CC_Down_load_0716"/>
      <sheetName val="CAUZA_DEFECTE"/>
      <sheetName val="CAUSES_OF_DEFECTS"/>
      <sheetName val="_FURNACE현설"/>
      <sheetName val="프로필렌_이송라인"/>
      <sheetName val="Special_rack_(Packaging_Input)"/>
      <sheetName val="EX_rate"/>
      <sheetName val="3~4_》在库计划SABC样式"/>
      <sheetName val="Executive_Summary"/>
      <sheetName val="Stand_off"/>
      <sheetName val="Volume_Sensitivity"/>
      <sheetName val="(6)_CBA_Exec_Summary"/>
      <sheetName val="12월_기타"/>
      <sheetName val="2014_10"/>
      <sheetName val="#기준2) L.o.V List"/>
      <sheetName val="物と情報の流れ図_org"/>
      <sheetName val="リードタイム_org"/>
      <sheetName val="バリューリスト_org"/>
      <sheetName val="グラフ設定"/>
      <sheetName val="視解化グラフ_org"/>
      <sheetName val="_x0000__x0000__x005"/>
      <sheetName val="_x005f_x0000__x005f"/>
      <sheetName val="_x005f_x005f_"/>
      <sheetName val="집계내역_9월"/>
      <sheetName val="负债表"/>
      <sheetName val="关联交易-存款"/>
      <sheetName val="4. 트림별"/>
      <sheetName val="NHÁNH SP CKOT (T10)"/>
      <sheetName val="NM GHẾ T5"/>
      <sheetName val="CTBH"/>
      <sheetName val="スコアカード (2)"/>
      <sheetName val="富士客１"/>
      <sheetName val="항목별팀별예산"/>
      <sheetName val="기준단가설정"/>
      <sheetName val="SPOT 조건"/>
      <sheetName val="co2 조건"/>
      <sheetName val="Page 14-A"/>
      <sheetName val="0_절삭조건12"/>
      <sheetName val="금형_(2)15"/>
      <sheetName val="Basic_assumptions12"/>
      <sheetName val="XMA_12월_8,000대_원,부자재_完7"/>
      <sheetName val="YFA_10월분_원자재(10_12)_미납완료_完7"/>
      <sheetName val="YFA_10월분_부자재(10_7,9)_FEDEX_完7"/>
      <sheetName val="DBL_LPG시험12"/>
      <sheetName val="INVESTMENT_(Hardware)13"/>
      <sheetName val="GAGE_R&amp;R(FRT_UPR)7"/>
      <sheetName val="중공업_실적7"/>
      <sheetName val="_하반기_경비_조정계획_150627(사계_r2_기준)_7"/>
      <sheetName val="0_CHMSL_LED_ASSY7"/>
      <sheetName val="SCP_47"/>
      <sheetName val="SCP_5_D2UXT7"/>
      <sheetName val="SCP_6_D2UX7"/>
      <sheetName val="Invest_(MAC)7"/>
      <sheetName val="SCP_Apr20157"/>
      <sheetName val="400H_가공,금형비3"/>
      <sheetName val="신고서_전12"/>
      <sheetName val="영업_일112"/>
      <sheetName val="(2)월생산현황_6"/>
      <sheetName val="CONSUMO_DE_RESINA_6"/>
      <sheetName val="Europe_PU-16"/>
      <sheetName val="RFQ_Template7"/>
      <sheetName val="108_수선비7"/>
      <sheetName val="2-1_제품군별계획대비실적(B_A)9"/>
      <sheetName val="품의서양식_(3)7"/>
      <sheetName val="Full_PBD6"/>
      <sheetName val="1_TAT_Info_7"/>
      <sheetName val="4_20)통계적기법관리절차서6"/>
      <sheetName val="불량_리스트7"/>
      <sheetName val="불량_코드7"/>
      <sheetName val="Team_종합7"/>
      <sheetName val="PFMEA_XLS12"/>
      <sheetName val="REAR_7"/>
      <sheetName val="abs_dac검사대비분석자료27"/>
      <sheetName val="MS_SPEC3"/>
      <sheetName val="1_TP조립7"/>
      <sheetName val="3-2002년_소모공구비4"/>
      <sheetName val="1__보고7"/>
      <sheetName val="DS_MBR_RR_Side__-_PcA6"/>
      <sheetName val="Dual_PMP수율6"/>
      <sheetName val="_PPAP_작성중__xlsx12"/>
      <sheetName val="기타_부자재6"/>
      <sheetName val="RFQ_Form7"/>
      <sheetName val="Aug01_Status_Rpt4"/>
      <sheetName val="ISSUE_LIST7"/>
      <sheetName val="Input_Page4"/>
      <sheetName val="Input_Sheet4"/>
      <sheetName val="Base_Info4"/>
      <sheetName val="_0602주-무결점운동_진행현황_보고_(201406106"/>
      <sheetName val="PMBG12LD_장비및인원소요(D_A기준)_3"/>
      <sheetName val="NEW_TOOL_MASTER4"/>
      <sheetName val="개발원가_종합4"/>
      <sheetName val="RELAY_FAX양식12"/>
      <sheetName val="2008_г12"/>
      <sheetName val="상세_견적서_(HMC)12"/>
      <sheetName val="2_중요한회계정책12"/>
      <sheetName val="9_관계기업투자12"/>
      <sheetName val="42_리스12"/>
      <sheetName val="25_법인세12"/>
      <sheetName val="Proj_List_00E12"/>
      <sheetName val="Danh_Mục4"/>
      <sheetName val="Danh_Muc4"/>
      <sheetName val="BI-FUEL_AIR_VENT_PIPE7"/>
      <sheetName val="8월_매출현황4"/>
      <sheetName val="3공장_순양전자4"/>
      <sheetName val="현진테크_(2)4"/>
      <sheetName val="동경cnc_지그4"/>
      <sheetName val="대한테크_집계4"/>
      <sheetName val="서연전자_(2)4"/>
      <sheetName val="삼익전자_(2)4"/>
      <sheetName val="삼익산업_(2)4"/>
      <sheetName val="시무인텔_(2)4"/>
      <sheetName val="성우일렉스_(2)4"/>
      <sheetName val="성호테크_(2)4"/>
      <sheetName val="2009년_매출_실적3"/>
      <sheetName val="LCAUTO_44"/>
      <sheetName val="LCAT수_조4"/>
      <sheetName val="외주수입검사_종합(6월)7"/>
      <sheetName val="금형_이력_카드4"/>
      <sheetName val="소재_이력4"/>
      <sheetName val="99_조정금액4"/>
      <sheetName val="_Common_Info_Page4"/>
      <sheetName val="THS_-_Key_Inputs4"/>
      <sheetName val="2005년_소요량3"/>
      <sheetName val="1_종합평가표7"/>
      <sheetName val="Input_Form_-_EingabeMaske3"/>
      <sheetName val="InspectionData_(2)3"/>
      <sheetName val="NUEVO_MODELOS_20183"/>
      <sheetName val="Tool_Type3"/>
      <sheetName val="3__Acronyms_and_abbreviations3"/>
      <sheetName val="G-Exchange_#6673"/>
      <sheetName val="C-Mix_Rate_&amp;_Revenue(calc)3"/>
      <sheetName val="_제9차_회사표준_제개정_공청회_이의제기신청서_XLSX3"/>
      <sheetName val="부품_LIST3"/>
      <sheetName val="거래선별_매출현황_내역6"/>
      <sheetName val="수식파일_(삭제금지)3"/>
      <sheetName val="List_Total3"/>
      <sheetName val="Person_Cost3"/>
      <sheetName val="THEO_DÕI_THAI_SẢN_(2)3"/>
      <sheetName val="Time_Man3"/>
      <sheetName val="Salary(Cus_)3"/>
      <sheetName val="OT_OVER3"/>
      <sheetName val="Segment_4_Bid_Sheet3"/>
      <sheetName val="Hi6810_功能信号表3"/>
      <sheetName val="6_FQC检验数据3"/>
      <sheetName val="2003_prod23"/>
      <sheetName val="2003_Target3"/>
      <sheetName val="RA_Bearer3"/>
      <sheetName val="Trend_Total_nguyên_nhân3"/>
      <sheetName val="設備預算總表附件3_3"/>
      <sheetName val="FA_Definitions3"/>
      <sheetName val="03년_체제결과6"/>
      <sheetName val="5_Why's3"/>
      <sheetName val="05_新Table(간접직)3"/>
      <sheetName val="05계약내역(기존T_활용)3"/>
      <sheetName val="11_Inv_3"/>
      <sheetName val="Duration_3"/>
      <sheetName val="천정등기구_실적3"/>
      <sheetName val="영업_입수계획_3"/>
      <sheetName val="참고1_02_판매계획_(수량)3"/>
      <sheetName val="전사_경영계획_수량3"/>
      <sheetName val="2차_OI4"/>
      <sheetName val="첨부13__사출(PAD)_카메라3"/>
      <sheetName val="개인별_교육현황3"/>
      <sheetName val="관리구역_책임자(181010)3"/>
      <sheetName val="ACU기청소2018-05-04_(3)3"/>
      <sheetName val="ASM_A동3"/>
      <sheetName val="SMT구역_(2)3"/>
      <sheetName val="관리구역_체크시트3"/>
      <sheetName val="관리구역_평가시트3"/>
      <sheetName val="담당자편성표_(B)3"/>
      <sheetName val="조립A구역_(2)3"/>
      <sheetName val="개선보고서_(2)3"/>
      <sheetName val="종합원가분석_1_3"/>
      <sheetName val="1_생산03"/>
      <sheetName val="1_개발개요3"/>
      <sheetName val="01년2월현황_3"/>
      <sheetName val="General_Assumptions3"/>
      <sheetName val="Cover_page4"/>
      <sheetName val="Adjusted_OI4"/>
      <sheetName val="Adjusted_OI_(2)4"/>
      <sheetName val="Income_Stmt_(USD)4"/>
      <sheetName val="Income_Stmt_(RMB)4"/>
      <sheetName val="IS_Loc_Adj4"/>
      <sheetName val="Balance_Sht_(USD)4"/>
      <sheetName val="BS_Loc+Adj4"/>
      <sheetName val="Balance_Sht_(RMB)4"/>
      <sheetName val="Cash_Flow_(USD)4"/>
      <sheetName val="Cash_Forecast4"/>
      <sheetName val="IC_AP_AR5"/>
      <sheetName val="Cash_Cross_check4"/>
      <sheetName val="Unit_Price_without_LTA&amp;Pricing4"/>
      <sheetName val="Sales_without_LTA&amp;Pricing4"/>
      <sheetName val="Unit_ECN_Sales4"/>
      <sheetName val="Total_ECN_Sales4"/>
      <sheetName val="LTA_Percentage4"/>
      <sheetName val="LTA_Amount4"/>
      <sheetName val="Total_P2P4"/>
      <sheetName val="Net_Sales4"/>
      <sheetName val="Unit_Mat_Cost_Without_PS_VAVE4"/>
      <sheetName val="Material_cost_without_PS_VAVE4"/>
      <sheetName val="Unit_ECN_cost4"/>
      <sheetName val="ECN_cost_saving4"/>
      <sheetName val="Unit_Purchase_Saving4"/>
      <sheetName val="Total_Purchase_Saving4"/>
      <sheetName val="Unit_VAVE_Saving4"/>
      <sheetName val="Total_VAVE4"/>
      <sheetName val="Unit_Margin_Improvement4"/>
      <sheetName val="Total_Margin_Improvement4"/>
      <sheetName val="Unit_mat__cost_after_PS_VAVE4"/>
      <sheetName val="Total_Mat_cost_after_PS_VAVE4"/>
      <sheetName val="Unit_Inb_Freight_Rate4"/>
      <sheetName val="Inboud_Freight_Amount4"/>
      <sheetName val="Unit_Inb-Duty4"/>
      <sheetName val="Inbound_Duty4"/>
      <sheetName val="Material_cost_before_Scrap4"/>
      <sheetName val="Scrap_Rate4"/>
      <sheetName val="Scrap_Amount4"/>
      <sheetName val="Scrap_recovery_rate4"/>
      <sheetName val="Scrap_Recovery_Amount4"/>
      <sheetName val="Unit_Production_Auxiliary4"/>
      <sheetName val="Production_Auxiliary4"/>
      <sheetName val="Net_Material4"/>
      <sheetName val="Unit_OB_freight4"/>
      <sheetName val="Total_OB_freight4"/>
      <sheetName val="Total_LC&amp;OVH4"/>
      <sheetName val="LC&amp;OVH_Undefined_Var_4"/>
      <sheetName val="LC&amp;OVH_Undefined_Fix_4"/>
      <sheetName val="Total_headcount_&amp;_labor_cost4"/>
      <sheetName val="Direct_Labor_Cost4"/>
      <sheetName val="Indirect_Labor_Cost4"/>
      <sheetName val="Salary_Cost4"/>
      <sheetName val="MSI_-_FY(RMB)4"/>
      <sheetName val="MSI_-_Comm_Sales4"/>
      <sheetName val="MSI_-_IC_Sales4"/>
      <sheetName val="MSI_-_Mat_Cost4"/>
      <sheetName val="MSI_-_Direct_Labor4"/>
      <sheetName val="MSI_-_Variable_OH4"/>
      <sheetName val="MSI_-_Fixed_OH4"/>
      <sheetName val="AQL(0_65)3"/>
      <sheetName val="Value_3"/>
      <sheetName val="CPK(Process_Capanility)3"/>
      <sheetName val="SEP_20073"/>
      <sheetName val="Q1_&amp;_Q23"/>
      <sheetName val="devis_qcdp23"/>
      <sheetName val="22_보증금(전신전화가입권)3"/>
      <sheetName val="39_미지급법인세3"/>
      <sheetName val="INATAKE_SYS3"/>
      <sheetName val="02_08생산대상대수3"/>
      <sheetName val="2000_(원본)3"/>
      <sheetName val="Danh_sach_Hàn_thùng3"/>
      <sheetName val="Mẫu_DMVT3"/>
      <sheetName val="Mẫu_DMVT_(2)3"/>
      <sheetName val="DANH_MỤC_NHÓM_ĐỐI_TƯỢNG3"/>
      <sheetName val="Nhap_T83"/>
      <sheetName val="Begining_detail-CTIET3"/>
      <sheetName val="Summary-TOMLUOC_3"/>
      <sheetName val="SO_TONG_HOP_CONG_NO3"/>
      <sheetName val="DM_KHAU_HAO3"/>
      <sheetName val="Cty+XN(KT_2005)3"/>
      <sheetName val="공정공수_XLS3"/>
      <sheetName val="기준정보(A)_15_10_275"/>
      <sheetName val="단중_및_예비길이_SHEET_15_9_5(K)5"/>
      <sheetName val="15_1_02_15년_1월예시계획5"/>
      <sheetName val="15년_12월_시작재공품_15_12_35"/>
      <sheetName val="기준정보(A)_12_02_235"/>
      <sheetName val="STD__CAB5"/>
      <sheetName val="STD__NCAB5"/>
      <sheetName val="원소재_변경_상세5"/>
      <sheetName val="직거래가_변경5"/>
      <sheetName val="PL_By_Model(Result)4"/>
      <sheetName val="24_냉각실용添13"/>
      <sheetName val="노원열병합__건축공사기성내역서5"/>
      <sheetName val="Gia_vat_tu5"/>
      <sheetName val="Data_Not_Used5"/>
      <sheetName val="FTQ_Data5"/>
      <sheetName val="Int_Pulls_Data5"/>
      <sheetName val="Int_Spills_Data5"/>
      <sheetName val="PPM_Data5"/>
      <sheetName val="Pulls_Data5"/>
      <sheetName val="Spills_Data5"/>
      <sheetName val="PP%-low_RPM3"/>
      <sheetName val="After_Sales_Supplier_#'s3"/>
      <sheetName val="한일자야(감액손실)_(2)3"/>
      <sheetName val="ADJTBL_31003"/>
      <sheetName val="AOP_Summary-23"/>
      <sheetName val="Budget_Imt_mensuel_(CFO)3"/>
      <sheetName val="CDV_Pte_mensuel3"/>
      <sheetName val="Evol_Prod_(Eqpt)3"/>
      <sheetName val="CAPVR_Pte_mensuel3"/>
      <sheetName val="THƯ_VIỆN3"/>
      <sheetName val="Nguon_PT_xetai3"/>
      <sheetName val="Nguon_PT_xe_Ben3"/>
      <sheetName val="Bien_so3"/>
      <sheetName val="MỤC_LỤC3"/>
      <sheetName val="Ghi_chú3"/>
      <sheetName val="1__Định_hướng_HĐ_CN_năm_20193"/>
      <sheetName val="2_1_Tổng_quan_TT_KD_xe_DL3"/>
      <sheetName val="2_2_Tổng_quan_TT_DVPT_DL3"/>
      <sheetName val="3_1__ĐKM_xe_DL3"/>
      <sheetName val="3_2_1__KH_KD-MKT_&amp;_TCKD_xe_KIA3"/>
      <sheetName val="3_2_2_CSBH_KIA3"/>
      <sheetName val="3_2_3__KH_KD-MKT&amp;TCKD_DVPT3"/>
      <sheetName val="Pv_SL3"/>
      <sheetName val="3_3_1_KH_KD-MKT_&amp;_TCKD_Mazda3"/>
      <sheetName val="3_3_2_CSBH_MAZDA3"/>
      <sheetName val="3_3_3_KH_KD-MKT&amp;TCKD_DVPT_MAZD3"/>
      <sheetName val="3_4__DVPT_SR_KIA_MAZDA3"/>
      <sheetName val="3_4_1_KH_KD-MKT&amp;TCKD_PEUGEOT3"/>
      <sheetName val="3_4_2_CSBH_PEUGEOT3"/>
      <sheetName val="3_4_3_KH_KD-MKT&amp;TC_DVPT_PEUGEO3"/>
      <sheetName val="3_5__TÀI_CHÍNH_KD_XE_KIA_MAZDA3"/>
      <sheetName val="4_1_Tổng_quan_TT_KD_Tai,_Bus3"/>
      <sheetName val="4_2_Tổng_quan_TT_DVPT_Tai_Bus3"/>
      <sheetName val="5_1__ĐKM_xe_Tai,_Bus3"/>
      <sheetName val="PTBH_20183"/>
      <sheetName val="SL_-_TVBH3"/>
      <sheetName val="5_2a__KD_Xe_Fuso3"/>
      <sheetName val="5_2b__KD_Xe_Foton3"/>
      <sheetName val="5_2c__KD_Xe_Bus3"/>
      <sheetName val="5_2__KH_KD-MKT&amp;TCKD_xe_Tải,_Bu3"/>
      <sheetName val="5_3__CSBH_xe_Tải,_Bus3"/>
      <sheetName val="5_4_KH_KD-MKT&amp;TC_DVPT_Tải,_Bus3"/>
      <sheetName val="Review_note3"/>
      <sheetName val="6_1_ĐKĐK3"/>
      <sheetName val="6_2__Bảo_hiểm3"/>
      <sheetName val="6_3__Tín_dụng3"/>
      <sheetName val="6_4__GSHT_&amp;_PH3"/>
      <sheetName val="6_5_DVHT3"/>
      <sheetName val="7_1_KH_nhân_sự3"/>
      <sheetName val="7_2__Định_biên_&amp;_Lương3"/>
      <sheetName val="7_3_KH_thưởng_năng_suất3"/>
      <sheetName val="Check_TH3"/>
      <sheetName val="8__Hành_chính3"/>
      <sheetName val="8_13"/>
      <sheetName val="9_1__Duy_tu_bảo_trì3"/>
      <sheetName val="9_2__Cải_tạo,_nâng_cấp3"/>
      <sheetName val="10__TSCĐ_-_CCDC3"/>
      <sheetName val="11D__Tài_chính_KD_XE_TỔNG3"/>
      <sheetName val="11E__Tài_chính_KD_DVPT_TỔNG3"/>
      <sheetName val="11A__Tài_chính_SR_KIA3"/>
      <sheetName val="11B__Tài_chính_SR_MAZDA3"/>
      <sheetName val="11D__Tài_chính_SR_Peugout3"/>
      <sheetName val="11C__Tài_chính_SR_TẢI_BUS3"/>
      <sheetName val="11D__Tài_chính_SR_Du_lịch3"/>
      <sheetName val="11__Tài_chính_Chi_nhánh3"/>
      <sheetName val="12__SĐTC3"/>
      <sheetName val="견적서_detail_Main_12"/>
      <sheetName val="MASTER_DATA2"/>
      <sheetName val="CAR_Form_Summary3"/>
      <sheetName val="Schedule_13"/>
      <sheetName val="개선대책_양식5"/>
      <sheetName val="S_P2"/>
      <sheetName val="R_FJS_CAR_(old)2"/>
      <sheetName val="Certificate_list_2"/>
      <sheetName val="REPAIR_DATA_-_CONTAINER_#54"/>
      <sheetName val="Material_References3"/>
      <sheetName val="BOM_Cost_(R-U713MHH)2"/>
      <sheetName val="케이스_재공_재고2"/>
      <sheetName val="BAT1_2"/>
      <sheetName val="업체손실공수_xls3"/>
      <sheetName val="FRT_재료비2"/>
      <sheetName val="8_공정능력평가(5)2"/>
      <sheetName val="2_Underbody_DT2"/>
      <sheetName val="FAX_(2)2"/>
      <sheetName val="0_주광원_LED_ASSY2"/>
      <sheetName val="9_초기공정능력조사(을)2"/>
      <sheetName val="1-1_연월차_개인별_보전수당2"/>
      <sheetName val="00-Input_Values2"/>
      <sheetName val="Input_Values2"/>
      <sheetName val="Corp_acronym2"/>
      <sheetName val="4_销售计划2"/>
      <sheetName val="Output_1_(2)2"/>
      <sheetName val="Danh_sach2"/>
      <sheetName val="Bang_KL2"/>
      <sheetName val="Lcau_-_Lxuc2"/>
      <sheetName val="입력_List5"/>
      <sheetName val="DO_NOT_DELETE4"/>
      <sheetName val="기종별_합계2"/>
      <sheetName val="Export_Data2"/>
      <sheetName val="실사LIST-중간가공품(05_12_27현재)_(2)2"/>
      <sheetName val="4_Financial2"/>
      <sheetName val="3_4)__FR_종합2"/>
      <sheetName val="3_4)__RR_종합2"/>
      <sheetName val="RFQ_Cover_Sheeet2"/>
      <sheetName val="FRN_020002"/>
      <sheetName val="4_경비_5_영업외수지2"/>
      <sheetName val="Sch1_-_P&amp;L_Summary2"/>
      <sheetName val="Sch2_-_BalSht_Summary2"/>
      <sheetName val="Sch3_-_CFlow_Summary2"/>
      <sheetName val="Model_Synthesis_Report2"/>
      <sheetName val="2019년_생산수량2"/>
      <sheetName val="19년_종합_CT2"/>
      <sheetName val="SUST_DEV_&amp;_OTHER2"/>
      <sheetName val="OEM_2"/>
      <sheetName val="August_20032"/>
      <sheetName val="OE_UMC2"/>
      <sheetName val="Analysis-Others_Pg_42"/>
      <sheetName val="Fx_Rates2"/>
      <sheetName val="FY_12_Interiors_Volume3"/>
      <sheetName val="INT_Price_FY12_MFC3"/>
      <sheetName val="強度_CN_A1_C10H_152H2"/>
      <sheetName val="II__CF2"/>
      <sheetName val="I__Assumptions2"/>
      <sheetName val="04_03월소일정계획2"/>
      <sheetName val="_관리계획서_Rev_01_xlsx2"/>
      <sheetName val="Costed_BOM_2ndR_40%2"/>
      <sheetName val="seat-sdn_only2"/>
      <sheetName val="10-2_ED&amp;D_EQU2"/>
      <sheetName val="Business_Plan2"/>
      <sheetName val="DS-Thuong_6T_dau2"/>
      <sheetName val="CHI_TIẾT2"/>
      <sheetName val="거래선_생산계획2"/>
      <sheetName val="3_학점이수(사내_사외교육)2"/>
      <sheetName val="1_page1"/>
      <sheetName val="3__트림별_내수2"/>
      <sheetName val="3__트림별_북미2"/>
      <sheetName val="3__트림별_유럽2"/>
      <sheetName val="23_보증금(전신전화가입권)2"/>
      <sheetName val="Main-Yield_report1"/>
      <sheetName val="Cosmetic_Description1"/>
      <sheetName val="2_´ë?Ü°o1®1"/>
      <sheetName val="실DATA_1"/>
      <sheetName val="해외)_MASTER_DATA1"/>
      <sheetName val="국내)_마스터_데이터1"/>
      <sheetName val="Group_Consolidated1"/>
      <sheetName val="Request_template1"/>
      <sheetName val="Gauge_R&amp;R1"/>
      <sheetName val="Bia_TQT1"/>
      <sheetName val="단기금융상품"/>
      <sheetName val="품번리스트"/>
      <sheetName val="목록 모음"/>
      <sheetName val="회의록(190211)"/>
      <sheetName val="1. 회의록(190218)"/>
      <sheetName val="1. 회의록(190225)"/>
      <sheetName val="1. 회의록(190730)"/>
      <sheetName val="2. 생산관리팀"/>
      <sheetName val="3. 생산팀"/>
      <sheetName val="4. 품질개발팀_품질"/>
      <sheetName val="5. 품질개발팀_개발"/>
      <sheetName val="6. 경영지원팀"/>
      <sheetName val="US4_BRKT_FR_BUMPER_SIDE_LWR_L_2"/>
      <sheetName val="休日"/>
      <sheetName val="파일목록"/>
      <sheetName val="故障代码"/>
      <sheetName val="附件一---外箱破損處理流程圖1"/>
      <sheetName val="版本状态"/>
      <sheetName val="Data (c)"/>
      <sheetName val="Data_(c)"/>
      <sheetName val="BATCH일정"/>
      <sheetName val="일 년"/>
      <sheetName val="산출내역서집계표"/>
      <sheetName val="MAIN 4"/>
      <sheetName val="지수"/>
      <sheetName val="Iden"/>
      <sheetName val="열화상"/>
      <sheetName val="유형 List"/>
      <sheetName val="SOP 표지"/>
      <sheetName val="NEGO"/>
      <sheetName val="진위건물DB"/>
      <sheetName val="안산선부동진행률"/>
      <sheetName val="덕전리"/>
      <sheetName val="공_x0000_"/>
      <sheetName val="경영비율_"/>
      <sheetName val="ESTI_"/>
      <sheetName val="CP_khau_hao"/>
      <sheetName val="ns_chung"/>
      <sheetName val="dongia_(2)"/>
      <sheetName val="THĐH_E4"/>
      <sheetName val="THĐH_E3"/>
      <sheetName val="판매_계획_대_실적"/>
      <sheetName val="4월실적"/>
      <sheetName val="첨부5-3)납입용기설정서"/>
      <sheetName val="금형원본"/>
      <sheetName val="TH MTC"/>
      <sheetName val="노임단가"/>
      <sheetName val="2.´ë_Ü°o1®"/>
      <sheetName val="2차_OI_࠱"/>
      <sheetName val="2_´ë_Ü°o1®1"/>
      <sheetName val="2_´ë_Ü°o1®"/>
      <sheetName val="M6A-208 Steering dust"/>
      <sheetName val="..."/>
      <sheetName val="2014실적수량"/>
      <sheetName val="ZS062"/>
      <sheetName val="週報"/>
      <sheetName val="企展会議040602"/>
      <sheetName val="一次 (12.17)"/>
      <sheetName val="全ＴＭ"/>
      <sheetName val="県別ﾏﾙﾁ"/>
      <sheetName val="74上"/>
      <sheetName val="comp"/>
      <sheetName val="1998"/>
      <sheetName val="1999"/>
      <sheetName val="Ｃ１表"/>
      <sheetName val="Ｃ２表"/>
      <sheetName val="ｱﾅﾛｸﾞﾒｰﾀ"/>
      <sheetName val="Donnees"/>
      <sheetName val="检查月报表"/>
      <sheetName val="PartsList_inj"/>
      <sheetName val="BAL COST "/>
      <sheetName val="20-W03"/>
      <sheetName val="제품_x0018__x0000_"/>
      <sheetName val="수출_CP"/>
      <sheetName val="작성방법"/>
      <sheetName val="vale-heat"/>
      <sheetName val="Example"/>
      <sheetName val="제품³_x0000_"/>
      <sheetName val="보고서"/>
      <sheetName val="산호"/>
      <sheetName val="ilencer"/>
      <sheetName val="PRDW30.XL"/>
      <sheetName val="ile"/>
      <sheetName val="설비LIS"/>
      <sheetName val="2차 OI䑲⿀"/>
      <sheetName val="07주洁겦"/>
      <sheetName val="07주洁ᾦ"/>
      <sheetName val="07주洂䢦_x0001_"/>
      <sheetName val="07주洂亦_x0001_"/>
      <sheetName val="2차 OI_x0010_?࠱"/>
      <sheetName val="생j"/>
      <sheetName val="2차 OI׃⼪"/>
      <sheetName val="2차 OI_x0005_"/>
      <sheetName val=";"/>
      <sheetName val="13-1"/>
      <sheetName val="제품"/>
      <sheetName val="Suppl_x0005_Àࣷ"/>
      <sheetName val="_x005"/>
      <sheetName val="공"/>
      <sheetName val="제품_x0018_"/>
      <sheetName val="제품³"/>
    </sheetNames>
    <sheetDataSet>
      <sheetData sheetId="0">
        <row r="5">
          <cell r="D5" t="str">
            <v>PROCESS PERFORMANCE STUDY</v>
          </cell>
        </row>
      </sheetData>
      <sheetData sheetId="1">
        <row r="5">
          <cell r="D5" t="str">
            <v>PROCESS PERFORMANCE STUDY</v>
          </cell>
        </row>
      </sheetData>
      <sheetData sheetId="2">
        <row r="5">
          <cell r="D5" t="str">
            <v>PROCESS PERFORMANCE STUDY</v>
          </cell>
        </row>
      </sheetData>
      <sheetData sheetId="3">
        <row r="5">
          <cell r="D5" t="str">
            <v>PROCESS PERFORMANCE STUDY</v>
          </cell>
        </row>
      </sheetData>
      <sheetData sheetId="4">
        <row r="5">
          <cell r="D5" t="str">
            <v>PROCESS PERFORMANCE STUDY</v>
          </cell>
        </row>
      </sheetData>
      <sheetData sheetId="5">
        <row r="5">
          <cell r="D5" t="str">
            <v>PROCESS PERFORMANCE STUDY</v>
          </cell>
        </row>
      </sheetData>
      <sheetData sheetId="6">
        <row r="5">
          <cell r="D5" t="str">
            <v>PROCESS PERFORMANCE STUDY</v>
          </cell>
        </row>
      </sheetData>
      <sheetData sheetId="7">
        <row r="5">
          <cell r="D5" t="str">
            <v>PROCESS PERFORMANCE STUDY</v>
          </cell>
        </row>
      </sheetData>
      <sheetData sheetId="8">
        <row r="5">
          <cell r="D5" t="str">
            <v>PROCESS PERFORMANCE STUDY</v>
          </cell>
        </row>
      </sheetData>
      <sheetData sheetId="9">
        <row r="5">
          <cell r="D5" t="str">
            <v>PROCESS PERFORMANCE STUDY</v>
          </cell>
        </row>
      </sheetData>
      <sheetData sheetId="10">
        <row r="5">
          <cell r="D5" t="str">
            <v>PROCESS PERFORMANCE STUDY</v>
          </cell>
        </row>
      </sheetData>
      <sheetData sheetId="11">
        <row r="5">
          <cell r="D5" t="str">
            <v>PROCESS PERFORMANCE STUDY</v>
          </cell>
        </row>
      </sheetData>
      <sheetData sheetId="12">
        <row r="5">
          <cell r="D5" t="str">
            <v>PROCESS PERFORMANCE STUDY</v>
          </cell>
        </row>
      </sheetData>
      <sheetData sheetId="13">
        <row r="5">
          <cell r="D5" t="str">
            <v>PROCESS PERFORMANCE STUDY</v>
          </cell>
        </row>
      </sheetData>
      <sheetData sheetId="14">
        <row r="5">
          <cell r="D5" t="str">
            <v>PROCESS PERFORMANCE STUDY</v>
          </cell>
        </row>
      </sheetData>
      <sheetData sheetId="15">
        <row r="5">
          <cell r="D5" t="str">
            <v>PROCESS PERFORMANCE STUDY</v>
          </cell>
        </row>
      </sheetData>
      <sheetData sheetId="16">
        <row r="5">
          <cell r="D5" t="str">
            <v>PROCESS PERFORMANCE STUDY</v>
          </cell>
        </row>
      </sheetData>
      <sheetData sheetId="17">
        <row r="5">
          <cell r="D5" t="str">
            <v>PROCESS PERFORMANCE STUDY</v>
          </cell>
        </row>
      </sheetData>
      <sheetData sheetId="18">
        <row r="5">
          <cell r="D5" t="str">
            <v>PROCESS PERFORMANCE STUDY</v>
          </cell>
        </row>
      </sheetData>
      <sheetData sheetId="19">
        <row r="5">
          <cell r="D5" t="str">
            <v>PROCESS PERFORMANCE STUDY</v>
          </cell>
        </row>
      </sheetData>
      <sheetData sheetId="20">
        <row r="6">
          <cell r="A6">
            <v>1</v>
          </cell>
        </row>
      </sheetData>
      <sheetData sheetId="21">
        <row r="6">
          <cell r="A6">
            <v>1</v>
          </cell>
        </row>
      </sheetData>
      <sheetData sheetId="22">
        <row r="6">
          <cell r="A6">
            <v>1</v>
          </cell>
        </row>
      </sheetData>
      <sheetData sheetId="23">
        <row r="6">
          <cell r="A6">
            <v>1</v>
          </cell>
        </row>
      </sheetData>
      <sheetData sheetId="24">
        <row r="6">
          <cell r="A6">
            <v>1</v>
          </cell>
        </row>
      </sheetData>
      <sheetData sheetId="25">
        <row r="6">
          <cell r="A6">
            <v>1</v>
          </cell>
        </row>
      </sheetData>
      <sheetData sheetId="26">
        <row r="6">
          <cell r="A6">
            <v>1</v>
          </cell>
        </row>
      </sheetData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/>
      <sheetData sheetId="596"/>
      <sheetData sheetId="597"/>
      <sheetData sheetId="598"/>
      <sheetData sheetId="599">
        <row r="1">
          <cell r="A1" t="str">
            <v>1월 생산실적</v>
          </cell>
        </row>
      </sheetData>
      <sheetData sheetId="600"/>
      <sheetData sheetId="601"/>
      <sheetData sheetId="602" refreshError="1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>
        <row r="1">
          <cell r="A1" t="str">
            <v>1월 생산실적</v>
          </cell>
        </row>
      </sheetData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>
        <row r="6">
          <cell r="A6">
            <v>1</v>
          </cell>
        </row>
      </sheetData>
      <sheetData sheetId="1022">
        <row r="73">
          <cell r="E73">
            <v>-1978066.1999669024</v>
          </cell>
        </row>
      </sheetData>
      <sheetData sheetId="1023"/>
      <sheetData sheetId="1024"/>
      <sheetData sheetId="1025"/>
      <sheetData sheetId="1026"/>
      <sheetData sheetId="1027">
        <row r="6">
          <cell r="A6">
            <v>1</v>
          </cell>
        </row>
      </sheetData>
      <sheetData sheetId="1028">
        <row r="6">
          <cell r="A6">
            <v>1</v>
          </cell>
        </row>
      </sheetData>
      <sheetData sheetId="1029"/>
      <sheetData sheetId="1030"/>
      <sheetData sheetId="1031"/>
      <sheetData sheetId="1032" refreshError="1"/>
      <sheetData sheetId="1033" refreshError="1"/>
      <sheetData sheetId="1034"/>
      <sheetData sheetId="1035"/>
      <sheetData sheetId="1036"/>
      <sheetData sheetId="1037"/>
      <sheetData sheetId="1038" refreshError="1"/>
      <sheetData sheetId="1039"/>
      <sheetData sheetId="1040"/>
      <sheetData sheetId="1041"/>
      <sheetData sheetId="1042" refreshError="1"/>
      <sheetData sheetId="1043"/>
      <sheetData sheetId="1044"/>
      <sheetData sheetId="1045" refreshError="1"/>
      <sheetData sheetId="1046"/>
      <sheetData sheetId="1047"/>
      <sheetData sheetId="1048"/>
      <sheetData sheetId="1049"/>
      <sheetData sheetId="1050"/>
      <sheetData sheetId="1051"/>
      <sheetData sheetId="1052"/>
      <sheetData sheetId="1053" refreshError="1"/>
      <sheetData sheetId="1054" refreshError="1"/>
      <sheetData sheetId="1055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 refreshError="1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>
        <row r="1">
          <cell r="A1" t="str">
            <v>1월 생산실적</v>
          </cell>
        </row>
      </sheetData>
      <sheetData sheetId="1688">
        <row r="1">
          <cell r="A1" t="str">
            <v>1월 생산실적</v>
          </cell>
        </row>
      </sheetData>
      <sheetData sheetId="1689">
        <row r="1">
          <cell r="A1" t="str">
            <v>1월 생산실적</v>
          </cell>
        </row>
      </sheetData>
      <sheetData sheetId="1690">
        <row r="1">
          <cell r="A1" t="str">
            <v>1월 생산실적</v>
          </cell>
        </row>
      </sheetData>
      <sheetData sheetId="1691">
        <row r="1">
          <cell r="A1" t="str">
            <v>1월 생산실적</v>
          </cell>
        </row>
      </sheetData>
      <sheetData sheetId="1692">
        <row r="1">
          <cell r="A1" t="str">
            <v>1월 생산실적</v>
          </cell>
        </row>
      </sheetData>
      <sheetData sheetId="1693" refreshError="1"/>
      <sheetData sheetId="1694">
        <row r="1">
          <cell r="A1" t="str">
            <v>1월 생산실적</v>
          </cell>
        </row>
      </sheetData>
      <sheetData sheetId="1695">
        <row r="1">
          <cell r="A1" t="str">
            <v>1월 생산실적</v>
          </cell>
        </row>
      </sheetData>
      <sheetData sheetId="1696" refreshError="1"/>
      <sheetData sheetId="1697">
        <row r="1">
          <cell r="A1" t="str">
            <v>1월 생산실적</v>
          </cell>
        </row>
      </sheetData>
      <sheetData sheetId="1698">
        <row r="1">
          <cell r="A1" t="str">
            <v>1월 생산실적</v>
          </cell>
        </row>
      </sheetData>
      <sheetData sheetId="1699">
        <row r="1">
          <cell r="A1" t="str">
            <v>1월 생산실적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A1" t="str">
            <v>1월 생산실적</v>
          </cell>
        </row>
      </sheetData>
      <sheetData sheetId="1743">
        <row r="1">
          <cell r="A1" t="str">
            <v>1월 생산실적</v>
          </cell>
        </row>
      </sheetData>
      <sheetData sheetId="1744">
        <row r="1">
          <cell r="A1" t="str">
            <v>1월 생산실적</v>
          </cell>
        </row>
      </sheetData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>
        <row r="1">
          <cell r="A1" t="str">
            <v>1월 생산실적</v>
          </cell>
        </row>
      </sheetData>
      <sheetData sheetId="1802">
        <row r="1">
          <cell r="A1" t="str">
            <v>1월 생산실적</v>
          </cell>
        </row>
      </sheetData>
      <sheetData sheetId="1803">
        <row r="1">
          <cell r="A1" t="str">
            <v>1월 생산실적</v>
          </cell>
        </row>
      </sheetData>
      <sheetData sheetId="1804">
        <row r="1">
          <cell r="A1" t="str">
            <v>1월 생산실적</v>
          </cell>
        </row>
      </sheetData>
      <sheetData sheetId="1805">
        <row r="1">
          <cell r="A1" t="str">
            <v>1월 생산실적</v>
          </cell>
        </row>
      </sheetData>
      <sheetData sheetId="1806">
        <row r="1">
          <cell r="A1" t="str">
            <v>1월 생산실적</v>
          </cell>
        </row>
      </sheetData>
      <sheetData sheetId="1807">
        <row r="1">
          <cell r="A1" t="str">
            <v>1월 생산실적</v>
          </cell>
        </row>
      </sheetData>
      <sheetData sheetId="1808">
        <row r="1">
          <cell r="A1" t="str">
            <v>1월 생산실적</v>
          </cell>
        </row>
      </sheetData>
      <sheetData sheetId="1809">
        <row r="1">
          <cell r="A1" t="str">
            <v>1월 생산실적</v>
          </cell>
        </row>
      </sheetData>
      <sheetData sheetId="1810">
        <row r="1">
          <cell r="A1" t="str">
            <v>1월 생산실적</v>
          </cell>
        </row>
      </sheetData>
      <sheetData sheetId="1811">
        <row r="1">
          <cell r="A1" t="str">
            <v>1월 생산실적</v>
          </cell>
        </row>
      </sheetData>
      <sheetData sheetId="1812">
        <row r="1">
          <cell r="A1" t="str">
            <v>1월 생산실적</v>
          </cell>
        </row>
      </sheetData>
      <sheetData sheetId="1813">
        <row r="1">
          <cell r="A1" t="str">
            <v>1월 생산실적</v>
          </cell>
        </row>
      </sheetData>
      <sheetData sheetId="1814">
        <row r="1">
          <cell r="A1" t="str">
            <v>1월 생산실적</v>
          </cell>
        </row>
      </sheetData>
      <sheetData sheetId="1815">
        <row r="1">
          <cell r="A1" t="str">
            <v>1월 생산실적</v>
          </cell>
        </row>
      </sheetData>
      <sheetData sheetId="1816">
        <row r="1">
          <cell r="A1" t="str">
            <v>1월 생산실적</v>
          </cell>
        </row>
      </sheetData>
      <sheetData sheetId="1817">
        <row r="1">
          <cell r="A1" t="str">
            <v>1월 생산실적</v>
          </cell>
        </row>
      </sheetData>
      <sheetData sheetId="1818">
        <row r="1">
          <cell r="A1" t="str">
            <v>1월 생산실적</v>
          </cell>
        </row>
      </sheetData>
      <sheetData sheetId="1819">
        <row r="1">
          <cell r="A1" t="str">
            <v>1월 생산실적</v>
          </cell>
        </row>
      </sheetData>
      <sheetData sheetId="1820">
        <row r="1">
          <cell r="A1" t="str">
            <v>1월 생산실적</v>
          </cell>
        </row>
      </sheetData>
      <sheetData sheetId="1821">
        <row r="1">
          <cell r="A1" t="str">
            <v>1월 생산실적</v>
          </cell>
        </row>
      </sheetData>
      <sheetData sheetId="1822">
        <row r="1">
          <cell r="A1" t="str">
            <v>1월 생산실적</v>
          </cell>
        </row>
      </sheetData>
      <sheetData sheetId="1823">
        <row r="1">
          <cell r="A1" t="str">
            <v>1월 생산실적</v>
          </cell>
        </row>
      </sheetData>
      <sheetData sheetId="1824">
        <row r="1">
          <cell r="A1" t="str">
            <v>1월 생산실적</v>
          </cell>
        </row>
      </sheetData>
      <sheetData sheetId="1825">
        <row r="1">
          <cell r="A1" t="str">
            <v>1월 생산실적</v>
          </cell>
        </row>
      </sheetData>
      <sheetData sheetId="1826">
        <row r="1">
          <cell r="A1" t="str">
            <v>1월 생산실적</v>
          </cell>
        </row>
      </sheetData>
      <sheetData sheetId="1827">
        <row r="1">
          <cell r="A1" t="str">
            <v>1월 생산실적</v>
          </cell>
        </row>
      </sheetData>
      <sheetData sheetId="1828">
        <row r="1">
          <cell r="A1" t="str">
            <v>1월 생산실적</v>
          </cell>
        </row>
      </sheetData>
      <sheetData sheetId="1829">
        <row r="1">
          <cell r="A1" t="str">
            <v>1월 생산실적</v>
          </cell>
        </row>
      </sheetData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>
        <row r="1">
          <cell r="A1" t="str">
            <v>1월 생산실적</v>
          </cell>
        </row>
      </sheetData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>
        <row r="1">
          <cell r="A1" t="str">
            <v>1월 생산실적</v>
          </cell>
        </row>
      </sheetData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>
        <row r="1">
          <cell r="A1" t="str">
            <v>1월 생산실적</v>
          </cell>
        </row>
      </sheetData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>
        <row r="1">
          <cell r="A1" t="str">
            <v>1월 생산실적</v>
          </cell>
        </row>
      </sheetData>
      <sheetData sheetId="2079">
        <row r="1">
          <cell r="A1" t="str">
            <v>1월 생산실적</v>
          </cell>
        </row>
      </sheetData>
      <sheetData sheetId="2080">
        <row r="1">
          <cell r="A1" t="str">
            <v>1월 생산실적</v>
          </cell>
        </row>
      </sheetData>
      <sheetData sheetId="2081">
        <row r="1">
          <cell r="A1" t="str">
            <v>1월 생산실적</v>
          </cell>
        </row>
      </sheetData>
      <sheetData sheetId="2082">
        <row r="1">
          <cell r="A1" t="str">
            <v>1월 생산실적</v>
          </cell>
        </row>
      </sheetData>
      <sheetData sheetId="2083">
        <row r="1">
          <cell r="A1" t="str">
            <v>1월 생산실적</v>
          </cell>
        </row>
      </sheetData>
      <sheetData sheetId="2084">
        <row r="1">
          <cell r="A1" t="str">
            <v>1월 생산실적</v>
          </cell>
        </row>
      </sheetData>
      <sheetData sheetId="2085">
        <row r="1">
          <cell r="A1" t="str">
            <v>1월 생산실적</v>
          </cell>
        </row>
      </sheetData>
      <sheetData sheetId="2086">
        <row r="1">
          <cell r="A1" t="str">
            <v>1월 생산실적</v>
          </cell>
        </row>
      </sheetData>
      <sheetData sheetId="2087">
        <row r="1">
          <cell r="A1" t="str">
            <v>1월 생산실적</v>
          </cell>
        </row>
      </sheetData>
      <sheetData sheetId="2088">
        <row r="1">
          <cell r="A1" t="str">
            <v>1월 생산실적</v>
          </cell>
        </row>
      </sheetData>
      <sheetData sheetId="2089">
        <row r="1">
          <cell r="A1" t="str">
            <v>1월 생산실적</v>
          </cell>
        </row>
      </sheetData>
      <sheetData sheetId="2090">
        <row r="1">
          <cell r="A1" t="str">
            <v>1월 생산실적</v>
          </cell>
        </row>
      </sheetData>
      <sheetData sheetId="2091">
        <row r="1">
          <cell r="A1" t="str">
            <v>1월 생산실적</v>
          </cell>
        </row>
      </sheetData>
      <sheetData sheetId="2092">
        <row r="1">
          <cell r="A1" t="str">
            <v>1월 생산실적</v>
          </cell>
        </row>
      </sheetData>
      <sheetData sheetId="2093">
        <row r="1">
          <cell r="A1" t="str">
            <v>1월 생산실적</v>
          </cell>
        </row>
      </sheetData>
      <sheetData sheetId="2094">
        <row r="1">
          <cell r="A1" t="str">
            <v>1월 생산실적</v>
          </cell>
        </row>
      </sheetData>
      <sheetData sheetId="2095">
        <row r="1">
          <cell r="A1" t="str">
            <v>1월 생산실적</v>
          </cell>
        </row>
      </sheetData>
      <sheetData sheetId="2096">
        <row r="1">
          <cell r="A1" t="str">
            <v>1월 생산실적</v>
          </cell>
        </row>
      </sheetData>
      <sheetData sheetId="2097">
        <row r="1">
          <cell r="A1" t="str">
            <v>1월 생산실적</v>
          </cell>
        </row>
      </sheetData>
      <sheetData sheetId="2098">
        <row r="1">
          <cell r="A1" t="str">
            <v>1월 생산실적</v>
          </cell>
        </row>
      </sheetData>
      <sheetData sheetId="2099">
        <row r="1">
          <cell r="A1" t="str">
            <v>1월 생산실적</v>
          </cell>
        </row>
      </sheetData>
      <sheetData sheetId="2100">
        <row r="1">
          <cell r="A1" t="str">
            <v>1월 생산실적</v>
          </cell>
        </row>
      </sheetData>
      <sheetData sheetId="2101">
        <row r="1">
          <cell r="A1" t="str">
            <v>1월 생산실적</v>
          </cell>
        </row>
      </sheetData>
      <sheetData sheetId="2102">
        <row r="1">
          <cell r="A1" t="str">
            <v>1월 생산실적</v>
          </cell>
        </row>
      </sheetData>
      <sheetData sheetId="2103">
        <row r="1">
          <cell r="A1" t="str">
            <v>1월 생산실적</v>
          </cell>
        </row>
      </sheetData>
      <sheetData sheetId="2104">
        <row r="1">
          <cell r="A1" t="str">
            <v>1월 생산실적</v>
          </cell>
        </row>
      </sheetData>
      <sheetData sheetId="2105">
        <row r="1">
          <cell r="A1" t="str">
            <v>1월 생산실적</v>
          </cell>
        </row>
      </sheetData>
      <sheetData sheetId="2106">
        <row r="1">
          <cell r="A1" t="str">
            <v>1월 생산실적</v>
          </cell>
        </row>
      </sheetData>
      <sheetData sheetId="2107">
        <row r="1">
          <cell r="A1" t="str">
            <v>1월 생산실적</v>
          </cell>
        </row>
      </sheetData>
      <sheetData sheetId="2108">
        <row r="1">
          <cell r="A1" t="str">
            <v>1월 생산실적</v>
          </cell>
        </row>
      </sheetData>
      <sheetData sheetId="2109">
        <row r="1">
          <cell r="A1" t="str">
            <v>1월 생산실적</v>
          </cell>
        </row>
      </sheetData>
      <sheetData sheetId="2110">
        <row r="1">
          <cell r="A1" t="str">
            <v>1월 생산실적</v>
          </cell>
        </row>
      </sheetData>
      <sheetData sheetId="2111">
        <row r="1">
          <cell r="A1" t="str">
            <v>1월 생산실적</v>
          </cell>
        </row>
      </sheetData>
      <sheetData sheetId="2112">
        <row r="1">
          <cell r="A1" t="str">
            <v>1월 생산실적</v>
          </cell>
        </row>
      </sheetData>
      <sheetData sheetId="2113">
        <row r="1">
          <cell r="A1" t="str">
            <v>1월 생산실적</v>
          </cell>
        </row>
      </sheetData>
      <sheetData sheetId="2114">
        <row r="1">
          <cell r="A1" t="str">
            <v>1월 생산실적</v>
          </cell>
        </row>
      </sheetData>
      <sheetData sheetId="2115">
        <row r="1">
          <cell r="A1" t="str">
            <v>1월 생산실적</v>
          </cell>
        </row>
      </sheetData>
      <sheetData sheetId="2116">
        <row r="1">
          <cell r="A1" t="str">
            <v>1월 생산실적</v>
          </cell>
        </row>
      </sheetData>
      <sheetData sheetId="2117">
        <row r="1">
          <cell r="A1" t="str">
            <v>1월 생산실적</v>
          </cell>
        </row>
      </sheetData>
      <sheetData sheetId="2118">
        <row r="1">
          <cell r="A1" t="str">
            <v>1월 생산실적</v>
          </cell>
        </row>
      </sheetData>
      <sheetData sheetId="2119">
        <row r="1">
          <cell r="A1" t="str">
            <v>1월 생산실적</v>
          </cell>
        </row>
      </sheetData>
      <sheetData sheetId="2120">
        <row r="1">
          <cell r="A1" t="str">
            <v>1월 생산실적</v>
          </cell>
        </row>
      </sheetData>
      <sheetData sheetId="2121">
        <row r="1">
          <cell r="A1" t="str">
            <v>1월 생산실적</v>
          </cell>
        </row>
      </sheetData>
      <sheetData sheetId="2122">
        <row r="1">
          <cell r="A1" t="str">
            <v>1월 생산실적</v>
          </cell>
        </row>
      </sheetData>
      <sheetData sheetId="2123">
        <row r="1">
          <cell r="A1" t="str">
            <v>1월 생산실적</v>
          </cell>
        </row>
      </sheetData>
      <sheetData sheetId="2124">
        <row r="1">
          <cell r="A1" t="str">
            <v>1월 생산실적</v>
          </cell>
        </row>
      </sheetData>
      <sheetData sheetId="2125">
        <row r="1">
          <cell r="A1" t="str">
            <v>1월 생산실적</v>
          </cell>
        </row>
      </sheetData>
      <sheetData sheetId="2126">
        <row r="1">
          <cell r="A1" t="str">
            <v>1월 생산실적</v>
          </cell>
        </row>
      </sheetData>
      <sheetData sheetId="2127">
        <row r="1">
          <cell r="A1" t="str">
            <v>1월 생산실적</v>
          </cell>
        </row>
      </sheetData>
      <sheetData sheetId="2128">
        <row r="1">
          <cell r="A1" t="str">
            <v>1월 생산실적</v>
          </cell>
        </row>
      </sheetData>
      <sheetData sheetId="2129" refreshError="1"/>
      <sheetData sheetId="2130" refreshError="1"/>
      <sheetData sheetId="213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>
        <row r="1">
          <cell r="A1" t="str">
            <v>1월 생산실적</v>
          </cell>
        </row>
      </sheetData>
      <sheetData sheetId="2187">
        <row r="1">
          <cell r="A1" t="str">
            <v>1월 생산실적</v>
          </cell>
        </row>
      </sheetData>
      <sheetData sheetId="2188">
        <row r="1">
          <cell r="A1" t="str">
            <v>1월 생산실적</v>
          </cell>
        </row>
      </sheetData>
      <sheetData sheetId="2189">
        <row r="1">
          <cell r="A1" t="str">
            <v>1월 생산실적</v>
          </cell>
        </row>
      </sheetData>
      <sheetData sheetId="2190">
        <row r="1">
          <cell r="A1" t="str">
            <v>1월 생산실적</v>
          </cell>
        </row>
      </sheetData>
      <sheetData sheetId="2191">
        <row r="1">
          <cell r="A1" t="str">
            <v>1월 생산실적</v>
          </cell>
        </row>
      </sheetData>
      <sheetData sheetId="2192">
        <row r="1">
          <cell r="A1" t="str">
            <v>1월 생산실적</v>
          </cell>
        </row>
      </sheetData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/>
      <sheetData sheetId="8480"/>
      <sheetData sheetId="8481"/>
      <sheetData sheetId="8482"/>
      <sheetData sheetId="8483"/>
      <sheetData sheetId="8484">
        <row r="6">
          <cell r="A6">
            <v>1</v>
          </cell>
        </row>
      </sheetData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>
        <row r="1">
          <cell r="A1" t="str">
            <v>1월 생산실적</v>
          </cell>
        </row>
      </sheetData>
      <sheetData sheetId="8497"/>
      <sheetData sheetId="8498"/>
      <sheetData sheetId="8499"/>
      <sheetData sheetId="8500">
        <row r="1">
          <cell r="A1" t="str">
            <v>1월 생산실적</v>
          </cell>
        </row>
      </sheetData>
      <sheetData sheetId="8501"/>
      <sheetData sheetId="8502"/>
      <sheetData sheetId="8503"/>
      <sheetData sheetId="8504"/>
      <sheetData sheetId="8505"/>
      <sheetData sheetId="8506"/>
      <sheetData sheetId="8507">
        <row r="6">
          <cell r="A6">
            <v>1</v>
          </cell>
        </row>
      </sheetData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>
        <row r="1">
          <cell r="A1" t="str">
            <v>1월 생산실적</v>
          </cell>
        </row>
      </sheetData>
      <sheetData sheetId="8522">
        <row r="6">
          <cell r="A6">
            <v>1</v>
          </cell>
        </row>
      </sheetData>
      <sheetData sheetId="8523">
        <row r="6">
          <cell r="A6">
            <v>1</v>
          </cell>
        </row>
      </sheetData>
      <sheetData sheetId="8524">
        <row r="1">
          <cell r="A1" t="str">
            <v>1월 생산실적</v>
          </cell>
        </row>
      </sheetData>
      <sheetData sheetId="8525">
        <row r="6">
          <cell r="A6">
            <v>1</v>
          </cell>
        </row>
      </sheetData>
      <sheetData sheetId="8526">
        <row r="1">
          <cell r="A1" t="str">
            <v>1월 생산실적</v>
          </cell>
        </row>
      </sheetData>
      <sheetData sheetId="8527">
        <row r="1">
          <cell r="A1" t="str">
            <v>1월 생산실적</v>
          </cell>
        </row>
      </sheetData>
      <sheetData sheetId="8528">
        <row r="1">
          <cell r="A1" t="str">
            <v>1월 생산실적</v>
          </cell>
        </row>
      </sheetData>
      <sheetData sheetId="8529">
        <row r="1">
          <cell r="A1" t="str">
            <v>1월 생산실적</v>
          </cell>
        </row>
      </sheetData>
      <sheetData sheetId="8530">
        <row r="6">
          <cell r="A6">
            <v>1</v>
          </cell>
        </row>
      </sheetData>
      <sheetData sheetId="8531">
        <row r="1">
          <cell r="A1" t="str">
            <v>1월 생산실적</v>
          </cell>
        </row>
      </sheetData>
      <sheetData sheetId="8532">
        <row r="6">
          <cell r="A6">
            <v>1</v>
          </cell>
        </row>
      </sheetData>
      <sheetData sheetId="8533"/>
      <sheetData sheetId="8534"/>
      <sheetData sheetId="8535">
        <row r="1">
          <cell r="A1" t="str">
            <v>1월 생산실적</v>
          </cell>
        </row>
      </sheetData>
      <sheetData sheetId="8536"/>
      <sheetData sheetId="8537"/>
      <sheetData sheetId="8538">
        <row r="6">
          <cell r="A6">
            <v>1</v>
          </cell>
        </row>
      </sheetData>
      <sheetData sheetId="8539">
        <row r="1">
          <cell r="A1" t="str">
            <v>1월 생산실적</v>
          </cell>
        </row>
      </sheetData>
      <sheetData sheetId="8540">
        <row r="1">
          <cell r="A1" t="str">
            <v>1월 생산실적</v>
          </cell>
        </row>
      </sheetData>
      <sheetData sheetId="8541">
        <row r="6">
          <cell r="A6">
            <v>1</v>
          </cell>
        </row>
      </sheetData>
      <sheetData sheetId="8542">
        <row r="6">
          <cell r="A6">
            <v>1</v>
          </cell>
        </row>
      </sheetData>
      <sheetData sheetId="8543">
        <row r="1">
          <cell r="A1" t="str">
            <v>1월 생산실적</v>
          </cell>
        </row>
      </sheetData>
      <sheetData sheetId="8544">
        <row r="1">
          <cell r="A1" t="str">
            <v>1월 생산실적</v>
          </cell>
        </row>
      </sheetData>
      <sheetData sheetId="8545">
        <row r="1">
          <cell r="A1" t="str">
            <v>1월 생산실적</v>
          </cell>
        </row>
      </sheetData>
      <sheetData sheetId="8546">
        <row r="1">
          <cell r="A1" t="str">
            <v>1월 생산실적</v>
          </cell>
        </row>
      </sheetData>
      <sheetData sheetId="8547">
        <row r="1">
          <cell r="A1" t="str">
            <v>1월 생산실적</v>
          </cell>
        </row>
      </sheetData>
      <sheetData sheetId="8548">
        <row r="1">
          <cell r="A1" t="str">
            <v>1월 생산실적</v>
          </cell>
        </row>
      </sheetData>
      <sheetData sheetId="8549">
        <row r="1">
          <cell r="A1" t="str">
            <v>1월 생산실적</v>
          </cell>
        </row>
      </sheetData>
      <sheetData sheetId="8550">
        <row r="1">
          <cell r="A1" t="str">
            <v>1월 생산실적</v>
          </cell>
        </row>
      </sheetData>
      <sheetData sheetId="8551">
        <row r="1">
          <cell r="A1" t="str">
            <v>1월 생산실적</v>
          </cell>
        </row>
      </sheetData>
      <sheetData sheetId="8552">
        <row r="1">
          <cell r="A1" t="str">
            <v>1월 생산실적</v>
          </cell>
        </row>
      </sheetData>
      <sheetData sheetId="8553">
        <row r="1">
          <cell r="A1" t="str">
            <v>1월 생산실적</v>
          </cell>
        </row>
      </sheetData>
      <sheetData sheetId="8554">
        <row r="1">
          <cell r="A1" t="str">
            <v>1월 생산실적</v>
          </cell>
        </row>
      </sheetData>
      <sheetData sheetId="8555">
        <row r="1">
          <cell r="A1" t="str">
            <v>1월 생산실적</v>
          </cell>
        </row>
      </sheetData>
      <sheetData sheetId="8556">
        <row r="1">
          <cell r="A1" t="str">
            <v>1월 생산실적</v>
          </cell>
        </row>
      </sheetData>
      <sheetData sheetId="8557">
        <row r="1">
          <cell r="A1" t="str">
            <v>1월 생산실적</v>
          </cell>
        </row>
      </sheetData>
      <sheetData sheetId="8558">
        <row r="1">
          <cell r="A1" t="str">
            <v>1월 생산실적</v>
          </cell>
        </row>
      </sheetData>
      <sheetData sheetId="8559">
        <row r="1">
          <cell r="A1" t="str">
            <v>1월 생산실적</v>
          </cell>
        </row>
      </sheetData>
      <sheetData sheetId="8560">
        <row r="1">
          <cell r="A1" t="str">
            <v>1월 생산실적</v>
          </cell>
        </row>
      </sheetData>
      <sheetData sheetId="8561">
        <row r="1">
          <cell r="A1" t="str">
            <v>1월 생산실적</v>
          </cell>
        </row>
      </sheetData>
      <sheetData sheetId="8562">
        <row r="1">
          <cell r="A1" t="str">
            <v>1월 생산실적</v>
          </cell>
        </row>
      </sheetData>
      <sheetData sheetId="8563">
        <row r="1">
          <cell r="A1" t="str">
            <v>1월 생산실적</v>
          </cell>
        </row>
      </sheetData>
      <sheetData sheetId="8564">
        <row r="1">
          <cell r="A1" t="str">
            <v>1월 생산실적</v>
          </cell>
        </row>
      </sheetData>
      <sheetData sheetId="8565">
        <row r="1">
          <cell r="A1" t="str">
            <v>1월 생산실적</v>
          </cell>
        </row>
      </sheetData>
      <sheetData sheetId="8566">
        <row r="1">
          <cell r="A1" t="str">
            <v>1월 생산실적</v>
          </cell>
        </row>
      </sheetData>
      <sheetData sheetId="8567">
        <row r="1">
          <cell r="A1" t="str">
            <v>1월 생산실적</v>
          </cell>
        </row>
      </sheetData>
      <sheetData sheetId="8568">
        <row r="1">
          <cell r="A1" t="str">
            <v>1월 생산실적</v>
          </cell>
        </row>
      </sheetData>
      <sheetData sheetId="8569">
        <row r="1">
          <cell r="A1" t="str">
            <v>1월 생산실적</v>
          </cell>
        </row>
      </sheetData>
      <sheetData sheetId="8570">
        <row r="1">
          <cell r="A1" t="str">
            <v>1월 생산실적</v>
          </cell>
        </row>
      </sheetData>
      <sheetData sheetId="8571">
        <row r="1">
          <cell r="A1" t="str">
            <v>1월 생산실적</v>
          </cell>
        </row>
      </sheetData>
      <sheetData sheetId="8572">
        <row r="1">
          <cell r="A1" t="str">
            <v>1월 생산실적</v>
          </cell>
        </row>
      </sheetData>
      <sheetData sheetId="8573">
        <row r="1">
          <cell r="A1" t="str">
            <v>1월 생산실적</v>
          </cell>
        </row>
      </sheetData>
      <sheetData sheetId="8574">
        <row r="1">
          <cell r="A1" t="str">
            <v>1월 생산실적</v>
          </cell>
        </row>
      </sheetData>
      <sheetData sheetId="8575">
        <row r="1">
          <cell r="A1" t="str">
            <v>1월 생산실적</v>
          </cell>
        </row>
      </sheetData>
      <sheetData sheetId="8576">
        <row r="1">
          <cell r="A1" t="str">
            <v>1월 생산실적</v>
          </cell>
        </row>
      </sheetData>
      <sheetData sheetId="8577">
        <row r="1">
          <cell r="A1" t="str">
            <v>1월 생산실적</v>
          </cell>
        </row>
      </sheetData>
      <sheetData sheetId="8578">
        <row r="1">
          <cell r="A1" t="str">
            <v>1월 생산실적</v>
          </cell>
        </row>
      </sheetData>
      <sheetData sheetId="8579">
        <row r="1">
          <cell r="A1" t="str">
            <v>1월 생산실적</v>
          </cell>
        </row>
      </sheetData>
      <sheetData sheetId="8580">
        <row r="1">
          <cell r="A1" t="str">
            <v>1월 생산실적</v>
          </cell>
        </row>
      </sheetData>
      <sheetData sheetId="8581">
        <row r="1">
          <cell r="A1" t="str">
            <v>1월 생산실적</v>
          </cell>
        </row>
      </sheetData>
      <sheetData sheetId="8582">
        <row r="1">
          <cell r="A1" t="str">
            <v>1월 생산실적</v>
          </cell>
        </row>
      </sheetData>
      <sheetData sheetId="8583">
        <row r="1">
          <cell r="A1" t="str">
            <v>1월 생산실적</v>
          </cell>
        </row>
      </sheetData>
      <sheetData sheetId="8584">
        <row r="1">
          <cell r="A1" t="str">
            <v>1월 생산실적</v>
          </cell>
        </row>
      </sheetData>
      <sheetData sheetId="8585">
        <row r="1">
          <cell r="A1" t="str">
            <v>1월 생산실적</v>
          </cell>
        </row>
      </sheetData>
      <sheetData sheetId="8586">
        <row r="1">
          <cell r="A1" t="str">
            <v>1월 생산실적</v>
          </cell>
        </row>
      </sheetData>
      <sheetData sheetId="8587">
        <row r="1">
          <cell r="A1" t="str">
            <v>1월 생산실적</v>
          </cell>
        </row>
      </sheetData>
      <sheetData sheetId="8588">
        <row r="1">
          <cell r="A1" t="str">
            <v>1월 생산실적</v>
          </cell>
        </row>
      </sheetData>
      <sheetData sheetId="8589">
        <row r="1">
          <cell r="A1" t="str">
            <v>1월 생산실적</v>
          </cell>
        </row>
      </sheetData>
      <sheetData sheetId="8590">
        <row r="1">
          <cell r="A1" t="str">
            <v>1월 생산실적</v>
          </cell>
        </row>
      </sheetData>
      <sheetData sheetId="8591">
        <row r="1">
          <cell r="A1" t="str">
            <v>1월 생산실적</v>
          </cell>
        </row>
      </sheetData>
      <sheetData sheetId="8592">
        <row r="1">
          <cell r="A1" t="str">
            <v>1월 생산실적</v>
          </cell>
        </row>
      </sheetData>
      <sheetData sheetId="8593">
        <row r="1">
          <cell r="A1" t="str">
            <v>1월 생산실적</v>
          </cell>
        </row>
      </sheetData>
      <sheetData sheetId="8594">
        <row r="1">
          <cell r="A1" t="str">
            <v>1월 생산실적</v>
          </cell>
        </row>
      </sheetData>
      <sheetData sheetId="8595">
        <row r="1">
          <cell r="A1" t="str">
            <v>1월 생산실적</v>
          </cell>
        </row>
      </sheetData>
      <sheetData sheetId="8596">
        <row r="1">
          <cell r="A1" t="str">
            <v>1월 생산실적</v>
          </cell>
        </row>
      </sheetData>
      <sheetData sheetId="8597">
        <row r="1">
          <cell r="A1" t="str">
            <v>1월 생산실적</v>
          </cell>
        </row>
      </sheetData>
      <sheetData sheetId="8598">
        <row r="1">
          <cell r="A1" t="str">
            <v>1월 생산실적</v>
          </cell>
        </row>
      </sheetData>
      <sheetData sheetId="8599">
        <row r="1">
          <cell r="A1" t="str">
            <v>1월 생산실적</v>
          </cell>
        </row>
      </sheetData>
      <sheetData sheetId="8600">
        <row r="1">
          <cell r="A1" t="str">
            <v>1월 생산실적</v>
          </cell>
        </row>
      </sheetData>
      <sheetData sheetId="8601">
        <row r="1">
          <cell r="A1" t="str">
            <v>1월 생산실적</v>
          </cell>
        </row>
      </sheetData>
      <sheetData sheetId="8602">
        <row r="1">
          <cell r="A1" t="str">
            <v>1월 생산실적</v>
          </cell>
        </row>
      </sheetData>
      <sheetData sheetId="8603">
        <row r="1">
          <cell r="A1" t="str">
            <v>1월 생산실적</v>
          </cell>
        </row>
      </sheetData>
      <sheetData sheetId="8604">
        <row r="1">
          <cell r="A1" t="str">
            <v>1월 생산실적</v>
          </cell>
        </row>
      </sheetData>
      <sheetData sheetId="8605">
        <row r="1">
          <cell r="A1" t="str">
            <v>1월 생산실적</v>
          </cell>
        </row>
      </sheetData>
      <sheetData sheetId="8606">
        <row r="1">
          <cell r="A1" t="str">
            <v>1월 생산실적</v>
          </cell>
        </row>
      </sheetData>
      <sheetData sheetId="8607">
        <row r="1">
          <cell r="A1" t="str">
            <v>1월 생산실적</v>
          </cell>
        </row>
      </sheetData>
      <sheetData sheetId="8608">
        <row r="1">
          <cell r="A1" t="str">
            <v>1월 생산실적</v>
          </cell>
        </row>
      </sheetData>
      <sheetData sheetId="8609">
        <row r="1">
          <cell r="A1" t="str">
            <v>1월 생산실적</v>
          </cell>
        </row>
      </sheetData>
      <sheetData sheetId="8610">
        <row r="1">
          <cell r="A1" t="str">
            <v>1월 생산실적</v>
          </cell>
        </row>
      </sheetData>
      <sheetData sheetId="8611">
        <row r="1">
          <cell r="A1" t="str">
            <v>1월 생산실적</v>
          </cell>
        </row>
      </sheetData>
      <sheetData sheetId="8612">
        <row r="1">
          <cell r="A1" t="str">
            <v>1월 생산실적</v>
          </cell>
        </row>
      </sheetData>
      <sheetData sheetId="8613">
        <row r="1">
          <cell r="A1" t="str">
            <v>1월 생산실적</v>
          </cell>
        </row>
      </sheetData>
      <sheetData sheetId="8614">
        <row r="1">
          <cell r="A1" t="str">
            <v>1월 생산실적</v>
          </cell>
        </row>
      </sheetData>
      <sheetData sheetId="8615">
        <row r="1">
          <cell r="A1" t="str">
            <v>1월 생산실적</v>
          </cell>
        </row>
      </sheetData>
      <sheetData sheetId="8616"/>
      <sheetData sheetId="8617">
        <row r="1">
          <cell r="A1" t="str">
            <v>1월 생산실적</v>
          </cell>
        </row>
      </sheetData>
      <sheetData sheetId="8618">
        <row r="1">
          <cell r="A1" t="str">
            <v>1월 생산실적</v>
          </cell>
        </row>
      </sheetData>
      <sheetData sheetId="8619">
        <row r="1">
          <cell r="A1" t="str">
            <v>1월 생산실적</v>
          </cell>
        </row>
      </sheetData>
      <sheetData sheetId="8620">
        <row r="6">
          <cell r="A6">
            <v>1</v>
          </cell>
        </row>
      </sheetData>
      <sheetData sheetId="8621">
        <row r="6">
          <cell r="A6">
            <v>1</v>
          </cell>
        </row>
      </sheetData>
      <sheetData sheetId="8622">
        <row r="1">
          <cell r="A1" t="str">
            <v>1월 생산실적</v>
          </cell>
        </row>
      </sheetData>
      <sheetData sheetId="8623">
        <row r="1">
          <cell r="A1" t="str">
            <v>1월 생산실적</v>
          </cell>
        </row>
      </sheetData>
      <sheetData sheetId="8624">
        <row r="1">
          <cell r="A1" t="str">
            <v>1월 생산실적</v>
          </cell>
        </row>
      </sheetData>
      <sheetData sheetId="8625">
        <row r="1">
          <cell r="A1" t="str">
            <v>1월 생산실적</v>
          </cell>
        </row>
      </sheetData>
      <sheetData sheetId="8626">
        <row r="1">
          <cell r="A1" t="str">
            <v>1월 생산실적</v>
          </cell>
        </row>
      </sheetData>
      <sheetData sheetId="8627">
        <row r="1">
          <cell r="A1" t="str">
            <v>1월 생산실적</v>
          </cell>
        </row>
      </sheetData>
      <sheetData sheetId="8628">
        <row r="1">
          <cell r="A1" t="str">
            <v>1월 생산실적</v>
          </cell>
        </row>
      </sheetData>
      <sheetData sheetId="8629">
        <row r="1">
          <cell r="A1" t="str">
            <v>1월 생산실적</v>
          </cell>
        </row>
      </sheetData>
      <sheetData sheetId="8630">
        <row r="1">
          <cell r="A1" t="str">
            <v>1월 생산실적</v>
          </cell>
        </row>
      </sheetData>
      <sheetData sheetId="8631">
        <row r="1">
          <cell r="A1" t="str">
            <v>1월 생산실적</v>
          </cell>
        </row>
      </sheetData>
      <sheetData sheetId="8632">
        <row r="1">
          <cell r="A1" t="str">
            <v>1월 생산실적</v>
          </cell>
        </row>
      </sheetData>
      <sheetData sheetId="8633">
        <row r="1">
          <cell r="A1" t="str">
            <v>1월 생산실적</v>
          </cell>
        </row>
      </sheetData>
      <sheetData sheetId="8634">
        <row r="1">
          <cell r="A1" t="str">
            <v>1월 생산실적</v>
          </cell>
        </row>
      </sheetData>
      <sheetData sheetId="8635">
        <row r="1">
          <cell r="A1" t="str">
            <v>1월 생산실적</v>
          </cell>
        </row>
      </sheetData>
      <sheetData sheetId="8636">
        <row r="1">
          <cell r="A1" t="str">
            <v>1월 생산실적</v>
          </cell>
        </row>
      </sheetData>
      <sheetData sheetId="8637">
        <row r="1">
          <cell r="A1" t="str">
            <v>1월 생산실적</v>
          </cell>
        </row>
      </sheetData>
      <sheetData sheetId="8638">
        <row r="1">
          <cell r="A1" t="str">
            <v>1월 생산실적</v>
          </cell>
        </row>
      </sheetData>
      <sheetData sheetId="8639">
        <row r="1">
          <cell r="A1" t="str">
            <v>1월 생산실적</v>
          </cell>
        </row>
      </sheetData>
      <sheetData sheetId="8640">
        <row r="1">
          <cell r="A1" t="str">
            <v>1월 생산실적</v>
          </cell>
        </row>
      </sheetData>
      <sheetData sheetId="8641">
        <row r="1">
          <cell r="A1" t="str">
            <v>1월 생산실적</v>
          </cell>
        </row>
      </sheetData>
      <sheetData sheetId="8642">
        <row r="1">
          <cell r="A1" t="str">
            <v>1월 생산실적</v>
          </cell>
        </row>
      </sheetData>
      <sheetData sheetId="8643">
        <row r="1">
          <cell r="A1" t="str">
            <v>1월 생산실적</v>
          </cell>
        </row>
      </sheetData>
      <sheetData sheetId="8644">
        <row r="1">
          <cell r="A1" t="str">
            <v>1월 생산실적</v>
          </cell>
        </row>
      </sheetData>
      <sheetData sheetId="8645">
        <row r="1">
          <cell r="A1" t="str">
            <v>1월 생산실적</v>
          </cell>
        </row>
      </sheetData>
      <sheetData sheetId="8646">
        <row r="6">
          <cell r="A6">
            <v>1</v>
          </cell>
        </row>
      </sheetData>
      <sheetData sheetId="8647">
        <row r="1">
          <cell r="A1" t="str">
            <v>1월 생산실적</v>
          </cell>
        </row>
      </sheetData>
      <sheetData sheetId="8648">
        <row r="1">
          <cell r="A1" t="str">
            <v>1월 생산실적</v>
          </cell>
        </row>
      </sheetData>
      <sheetData sheetId="8649">
        <row r="1">
          <cell r="A1" t="str">
            <v>1월 생산실적</v>
          </cell>
        </row>
      </sheetData>
      <sheetData sheetId="8650">
        <row r="6">
          <cell r="A6">
            <v>1</v>
          </cell>
        </row>
      </sheetData>
      <sheetData sheetId="8651">
        <row r="1">
          <cell r="A1" t="str">
            <v>1월 생산실적</v>
          </cell>
        </row>
      </sheetData>
      <sheetData sheetId="8652">
        <row r="1">
          <cell r="A1" t="str">
            <v>1월 생산실적</v>
          </cell>
        </row>
      </sheetData>
      <sheetData sheetId="8653">
        <row r="6">
          <cell r="A6">
            <v>1</v>
          </cell>
        </row>
      </sheetData>
      <sheetData sheetId="8654">
        <row r="1">
          <cell r="A1" t="str">
            <v>1월 생산실적</v>
          </cell>
        </row>
      </sheetData>
      <sheetData sheetId="8655">
        <row r="1">
          <cell r="A1" t="str">
            <v>1월 생산실적</v>
          </cell>
        </row>
      </sheetData>
      <sheetData sheetId="8656">
        <row r="1">
          <cell r="A1" t="str">
            <v>1월 생산실적</v>
          </cell>
        </row>
      </sheetData>
      <sheetData sheetId="8657">
        <row r="6">
          <cell r="A6">
            <v>1</v>
          </cell>
        </row>
      </sheetData>
      <sheetData sheetId="8658">
        <row r="1">
          <cell r="A1" t="str">
            <v>1월 생산실적</v>
          </cell>
        </row>
      </sheetData>
      <sheetData sheetId="8659">
        <row r="1">
          <cell r="A1" t="str">
            <v>1월 생산실적</v>
          </cell>
        </row>
      </sheetData>
      <sheetData sheetId="8660">
        <row r="1">
          <cell r="A1" t="str">
            <v>1월 생산실적</v>
          </cell>
        </row>
      </sheetData>
      <sheetData sheetId="8661">
        <row r="1">
          <cell r="A1" t="str">
            <v>1월 생산실적</v>
          </cell>
        </row>
      </sheetData>
      <sheetData sheetId="8662">
        <row r="1">
          <cell r="A1" t="str">
            <v>1월 생산실적</v>
          </cell>
        </row>
      </sheetData>
      <sheetData sheetId="8663">
        <row r="1">
          <cell r="A1" t="str">
            <v>1월 생산실적</v>
          </cell>
        </row>
      </sheetData>
      <sheetData sheetId="8664">
        <row r="1">
          <cell r="A1" t="str">
            <v>1월 생산실적</v>
          </cell>
        </row>
      </sheetData>
      <sheetData sheetId="8665">
        <row r="6">
          <cell r="A6">
            <v>1</v>
          </cell>
        </row>
      </sheetData>
      <sheetData sheetId="8666">
        <row r="1">
          <cell r="A1" t="str">
            <v>1월 생산실적</v>
          </cell>
        </row>
      </sheetData>
      <sheetData sheetId="8667">
        <row r="1">
          <cell r="A1" t="str">
            <v>1월 생산실적</v>
          </cell>
        </row>
      </sheetData>
      <sheetData sheetId="8668">
        <row r="1">
          <cell r="A1" t="str">
            <v>1월 생산실적</v>
          </cell>
        </row>
      </sheetData>
      <sheetData sheetId="8669">
        <row r="1">
          <cell r="A1" t="str">
            <v>1월 생산실적</v>
          </cell>
        </row>
      </sheetData>
      <sheetData sheetId="8670">
        <row r="1">
          <cell r="A1" t="str">
            <v>1월 생산실적</v>
          </cell>
        </row>
      </sheetData>
      <sheetData sheetId="8671">
        <row r="1">
          <cell r="A1" t="str">
            <v>1월 생산실적</v>
          </cell>
        </row>
      </sheetData>
      <sheetData sheetId="8672">
        <row r="1">
          <cell r="A1" t="str">
            <v>1월 생산실적</v>
          </cell>
        </row>
      </sheetData>
      <sheetData sheetId="8673">
        <row r="1">
          <cell r="A1" t="str">
            <v>1월 생산실적</v>
          </cell>
        </row>
      </sheetData>
      <sheetData sheetId="8674">
        <row r="1">
          <cell r="A1" t="str">
            <v>1월 생산실적</v>
          </cell>
        </row>
      </sheetData>
      <sheetData sheetId="8675">
        <row r="1">
          <cell r="A1" t="str">
            <v>1월 생산실적</v>
          </cell>
        </row>
      </sheetData>
      <sheetData sheetId="8676">
        <row r="1">
          <cell r="A1" t="str">
            <v>1월 생산실적</v>
          </cell>
        </row>
      </sheetData>
      <sheetData sheetId="8677">
        <row r="1">
          <cell r="A1" t="str">
            <v>1월 생산실적</v>
          </cell>
        </row>
      </sheetData>
      <sheetData sheetId="8678">
        <row r="1">
          <cell r="A1" t="str">
            <v>1월 생산실적</v>
          </cell>
        </row>
      </sheetData>
      <sheetData sheetId="8679">
        <row r="1">
          <cell r="A1" t="str">
            <v>1월 생산실적</v>
          </cell>
        </row>
      </sheetData>
      <sheetData sheetId="8680">
        <row r="1">
          <cell r="A1" t="str">
            <v>1월 생산실적</v>
          </cell>
        </row>
      </sheetData>
      <sheetData sheetId="8681">
        <row r="1">
          <cell r="A1" t="str">
            <v>1월 생산실적</v>
          </cell>
        </row>
      </sheetData>
      <sheetData sheetId="8682">
        <row r="1">
          <cell r="A1" t="str">
            <v>1월 생산실적</v>
          </cell>
        </row>
      </sheetData>
      <sheetData sheetId="8683">
        <row r="1">
          <cell r="A1" t="str">
            <v>1월 생산실적</v>
          </cell>
        </row>
      </sheetData>
      <sheetData sheetId="8684">
        <row r="1">
          <cell r="A1" t="str">
            <v>1월 생산실적</v>
          </cell>
        </row>
      </sheetData>
      <sheetData sheetId="8685">
        <row r="1">
          <cell r="A1" t="str">
            <v>1월 생산실적</v>
          </cell>
        </row>
      </sheetData>
      <sheetData sheetId="8686">
        <row r="1">
          <cell r="A1" t="str">
            <v>1월 생산실적</v>
          </cell>
        </row>
      </sheetData>
      <sheetData sheetId="8687">
        <row r="1">
          <cell r="A1" t="str">
            <v>1월 생산실적</v>
          </cell>
        </row>
      </sheetData>
      <sheetData sheetId="8688">
        <row r="1">
          <cell r="A1" t="str">
            <v>1월 생산실적</v>
          </cell>
        </row>
      </sheetData>
      <sheetData sheetId="8689">
        <row r="1">
          <cell r="A1" t="str">
            <v>1월 생산실적</v>
          </cell>
        </row>
      </sheetData>
      <sheetData sheetId="8690">
        <row r="1">
          <cell r="A1" t="str">
            <v>1월 생산실적</v>
          </cell>
        </row>
      </sheetData>
      <sheetData sheetId="8691">
        <row r="1">
          <cell r="A1" t="str">
            <v>1월 생산실적</v>
          </cell>
        </row>
      </sheetData>
      <sheetData sheetId="8692">
        <row r="1">
          <cell r="A1" t="str">
            <v>1월 생산실적</v>
          </cell>
        </row>
      </sheetData>
      <sheetData sheetId="8693">
        <row r="1">
          <cell r="A1" t="str">
            <v>1월 생산실적</v>
          </cell>
        </row>
      </sheetData>
      <sheetData sheetId="8694">
        <row r="1">
          <cell r="A1" t="str">
            <v>1월 생산실적</v>
          </cell>
        </row>
      </sheetData>
      <sheetData sheetId="8695">
        <row r="1">
          <cell r="A1" t="str">
            <v>1월 생산실적</v>
          </cell>
        </row>
      </sheetData>
      <sheetData sheetId="8696">
        <row r="1">
          <cell r="A1" t="str">
            <v>1월 생산실적</v>
          </cell>
        </row>
      </sheetData>
      <sheetData sheetId="8697">
        <row r="1">
          <cell r="A1" t="str">
            <v>1월 생산실적</v>
          </cell>
        </row>
      </sheetData>
      <sheetData sheetId="8698">
        <row r="1">
          <cell r="A1" t="str">
            <v>1월 생산실적</v>
          </cell>
        </row>
      </sheetData>
      <sheetData sheetId="8699">
        <row r="1">
          <cell r="A1" t="str">
            <v>1월 생산실적</v>
          </cell>
        </row>
      </sheetData>
      <sheetData sheetId="8700">
        <row r="1">
          <cell r="A1" t="str">
            <v>1월 생산실적</v>
          </cell>
        </row>
      </sheetData>
      <sheetData sheetId="8701">
        <row r="1">
          <cell r="A1" t="str">
            <v>1월 생산실적</v>
          </cell>
        </row>
      </sheetData>
      <sheetData sheetId="8702">
        <row r="1">
          <cell r="A1" t="str">
            <v>1월 생산실적</v>
          </cell>
        </row>
      </sheetData>
      <sheetData sheetId="8703">
        <row r="1">
          <cell r="A1" t="str">
            <v>1월 생산실적</v>
          </cell>
        </row>
      </sheetData>
      <sheetData sheetId="8704">
        <row r="1">
          <cell r="A1" t="str">
            <v>1월 생산실적</v>
          </cell>
        </row>
      </sheetData>
      <sheetData sheetId="8705">
        <row r="1">
          <cell r="A1" t="str">
            <v>1월 생산실적</v>
          </cell>
        </row>
      </sheetData>
      <sheetData sheetId="8706">
        <row r="1">
          <cell r="A1" t="str">
            <v>1월 생산실적</v>
          </cell>
        </row>
      </sheetData>
      <sheetData sheetId="8707">
        <row r="1">
          <cell r="A1" t="str">
            <v>1월 생산실적</v>
          </cell>
        </row>
      </sheetData>
      <sheetData sheetId="8708">
        <row r="1">
          <cell r="A1" t="str">
            <v>1월 생산실적</v>
          </cell>
        </row>
      </sheetData>
      <sheetData sheetId="8709">
        <row r="1">
          <cell r="A1" t="str">
            <v>1월 생산실적</v>
          </cell>
        </row>
      </sheetData>
      <sheetData sheetId="8710">
        <row r="1">
          <cell r="A1" t="str">
            <v>1월 생산실적</v>
          </cell>
        </row>
      </sheetData>
      <sheetData sheetId="8711">
        <row r="1">
          <cell r="A1" t="str">
            <v>1월 생산실적</v>
          </cell>
        </row>
      </sheetData>
      <sheetData sheetId="8712">
        <row r="1">
          <cell r="A1" t="str">
            <v>1월 생산실적</v>
          </cell>
        </row>
      </sheetData>
      <sheetData sheetId="8713">
        <row r="1">
          <cell r="A1" t="str">
            <v>1월 생산실적</v>
          </cell>
        </row>
      </sheetData>
      <sheetData sheetId="8714">
        <row r="1">
          <cell r="A1" t="str">
            <v>1월 생산실적</v>
          </cell>
        </row>
      </sheetData>
      <sheetData sheetId="8715">
        <row r="1">
          <cell r="A1" t="str">
            <v>1월 생산실적</v>
          </cell>
        </row>
      </sheetData>
      <sheetData sheetId="8716">
        <row r="1">
          <cell r="A1" t="str">
            <v>1월 생산실적</v>
          </cell>
        </row>
      </sheetData>
      <sheetData sheetId="8717">
        <row r="1">
          <cell r="A1" t="str">
            <v>1월 생산실적</v>
          </cell>
        </row>
      </sheetData>
      <sheetData sheetId="8718">
        <row r="1">
          <cell r="A1" t="str">
            <v>1월 생산실적</v>
          </cell>
        </row>
      </sheetData>
      <sheetData sheetId="8719">
        <row r="1">
          <cell r="A1" t="str">
            <v>1월 생산실적</v>
          </cell>
        </row>
      </sheetData>
      <sheetData sheetId="8720">
        <row r="1">
          <cell r="A1" t="str">
            <v>1월 생산실적</v>
          </cell>
        </row>
      </sheetData>
      <sheetData sheetId="8721">
        <row r="1">
          <cell r="A1" t="str">
            <v>1월 생산실적</v>
          </cell>
        </row>
      </sheetData>
      <sheetData sheetId="8722">
        <row r="1">
          <cell r="A1" t="str">
            <v>1월 생산실적</v>
          </cell>
        </row>
      </sheetData>
      <sheetData sheetId="8723">
        <row r="1">
          <cell r="A1" t="str">
            <v>1월 생산실적</v>
          </cell>
        </row>
      </sheetData>
      <sheetData sheetId="8724">
        <row r="1">
          <cell r="A1" t="str">
            <v>1월 생산실적</v>
          </cell>
        </row>
      </sheetData>
      <sheetData sheetId="8725">
        <row r="1">
          <cell r="A1" t="str">
            <v>1월 생산실적</v>
          </cell>
        </row>
      </sheetData>
      <sheetData sheetId="8726">
        <row r="1">
          <cell r="A1" t="str">
            <v>1월 생산실적</v>
          </cell>
        </row>
      </sheetData>
      <sheetData sheetId="8727">
        <row r="1">
          <cell r="A1" t="str">
            <v>1월 생산실적</v>
          </cell>
        </row>
      </sheetData>
      <sheetData sheetId="8728">
        <row r="1">
          <cell r="A1" t="str">
            <v>1월 생산실적</v>
          </cell>
        </row>
      </sheetData>
      <sheetData sheetId="8729">
        <row r="1">
          <cell r="A1" t="str">
            <v>1월 생산실적</v>
          </cell>
        </row>
      </sheetData>
      <sheetData sheetId="8730">
        <row r="1">
          <cell r="A1" t="str">
            <v>1월 생산실적</v>
          </cell>
        </row>
      </sheetData>
      <sheetData sheetId="8731">
        <row r="1">
          <cell r="A1" t="str">
            <v>1월 생산실적</v>
          </cell>
        </row>
      </sheetData>
      <sheetData sheetId="8732">
        <row r="1">
          <cell r="A1" t="str">
            <v>1월 생산실적</v>
          </cell>
        </row>
      </sheetData>
      <sheetData sheetId="8733">
        <row r="1">
          <cell r="A1" t="str">
            <v>1월 생산실적</v>
          </cell>
        </row>
      </sheetData>
      <sheetData sheetId="8734">
        <row r="1">
          <cell r="A1" t="str">
            <v>1월 생산실적</v>
          </cell>
        </row>
      </sheetData>
      <sheetData sheetId="8735">
        <row r="1">
          <cell r="A1" t="str">
            <v>1월 생산실적</v>
          </cell>
        </row>
      </sheetData>
      <sheetData sheetId="8736">
        <row r="1">
          <cell r="A1" t="str">
            <v>1월 생산실적</v>
          </cell>
        </row>
      </sheetData>
      <sheetData sheetId="8737">
        <row r="1">
          <cell r="A1" t="str">
            <v>1월 생산실적</v>
          </cell>
        </row>
      </sheetData>
      <sheetData sheetId="8738">
        <row r="1">
          <cell r="A1" t="str">
            <v>1월 생산실적</v>
          </cell>
        </row>
      </sheetData>
      <sheetData sheetId="8739">
        <row r="1">
          <cell r="A1" t="str">
            <v>1월 생산실적</v>
          </cell>
        </row>
      </sheetData>
      <sheetData sheetId="8740">
        <row r="1">
          <cell r="A1" t="str">
            <v>1월 생산실적</v>
          </cell>
        </row>
      </sheetData>
      <sheetData sheetId="8741">
        <row r="1">
          <cell r="A1" t="str">
            <v>1월 생산실적</v>
          </cell>
        </row>
      </sheetData>
      <sheetData sheetId="8742"/>
      <sheetData sheetId="8743"/>
      <sheetData sheetId="8744">
        <row r="1">
          <cell r="A1" t="str">
            <v>1월 생산실적</v>
          </cell>
        </row>
      </sheetData>
      <sheetData sheetId="8745"/>
      <sheetData sheetId="8746"/>
      <sheetData sheetId="8747"/>
      <sheetData sheetId="8748"/>
      <sheetData sheetId="8749"/>
      <sheetData sheetId="8750">
        <row r="1">
          <cell r="A1" t="str">
            <v>1월 생산실적</v>
          </cell>
        </row>
      </sheetData>
      <sheetData sheetId="8751">
        <row r="1">
          <cell r="A1" t="str">
            <v>1월 생산실적</v>
          </cell>
        </row>
      </sheetData>
      <sheetData sheetId="8752">
        <row r="1">
          <cell r="A1" t="str">
            <v>1월 생산실적</v>
          </cell>
        </row>
      </sheetData>
      <sheetData sheetId="8753">
        <row r="1">
          <cell r="A1" t="str">
            <v>1월 생산실적</v>
          </cell>
        </row>
      </sheetData>
      <sheetData sheetId="8754"/>
      <sheetData sheetId="8755">
        <row r="1">
          <cell r="A1" t="str">
            <v>1월 생산실적</v>
          </cell>
        </row>
      </sheetData>
      <sheetData sheetId="8756">
        <row r="1">
          <cell r="A1" t="str">
            <v>1월 생산실적</v>
          </cell>
        </row>
      </sheetData>
      <sheetData sheetId="8757">
        <row r="1">
          <cell r="A1" t="str">
            <v>1월 생산실적</v>
          </cell>
        </row>
      </sheetData>
      <sheetData sheetId="8758">
        <row r="1">
          <cell r="A1" t="str">
            <v>1월 생산실적</v>
          </cell>
        </row>
      </sheetData>
      <sheetData sheetId="8759">
        <row r="1">
          <cell r="A1" t="str">
            <v>1월 생산실적</v>
          </cell>
        </row>
      </sheetData>
      <sheetData sheetId="8760">
        <row r="1">
          <cell r="A1" t="str">
            <v>1월 생산실적</v>
          </cell>
        </row>
      </sheetData>
      <sheetData sheetId="8761">
        <row r="1">
          <cell r="A1" t="str">
            <v>1월 생산실적</v>
          </cell>
        </row>
      </sheetData>
      <sheetData sheetId="8762">
        <row r="1">
          <cell r="A1" t="str">
            <v>1월 생산실적</v>
          </cell>
        </row>
      </sheetData>
      <sheetData sheetId="8763">
        <row r="1">
          <cell r="A1" t="str">
            <v>1월 생산실적</v>
          </cell>
        </row>
      </sheetData>
      <sheetData sheetId="8764">
        <row r="1">
          <cell r="A1" t="str">
            <v>1월 생산실적</v>
          </cell>
        </row>
      </sheetData>
      <sheetData sheetId="8765">
        <row r="1">
          <cell r="A1" t="str">
            <v>1월 생산실적</v>
          </cell>
        </row>
      </sheetData>
      <sheetData sheetId="8766">
        <row r="1">
          <cell r="A1" t="str">
            <v>1월 생산실적</v>
          </cell>
        </row>
      </sheetData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>
        <row r="1">
          <cell r="A1" t="str">
            <v>1월 생산실적</v>
          </cell>
        </row>
      </sheetData>
      <sheetData sheetId="8790">
        <row r="1">
          <cell r="A1" t="str">
            <v>1월 생산실적</v>
          </cell>
        </row>
      </sheetData>
      <sheetData sheetId="8791"/>
      <sheetData sheetId="8792">
        <row r="1">
          <cell r="A1" t="str">
            <v>1월 생산실적</v>
          </cell>
        </row>
      </sheetData>
      <sheetData sheetId="8793">
        <row r="1">
          <cell r="A1" t="str">
            <v>1월 생산실적</v>
          </cell>
        </row>
      </sheetData>
      <sheetData sheetId="8794">
        <row r="1">
          <cell r="A1" t="str">
            <v>1월 생산실적</v>
          </cell>
        </row>
      </sheetData>
      <sheetData sheetId="8795"/>
      <sheetData sheetId="8796">
        <row r="1">
          <cell r="A1" t="str">
            <v>1월 생산실적</v>
          </cell>
        </row>
      </sheetData>
      <sheetData sheetId="8797">
        <row r="1">
          <cell r="A1" t="str">
            <v>1월 생산실적</v>
          </cell>
        </row>
      </sheetData>
      <sheetData sheetId="8798">
        <row r="1">
          <cell r="A1" t="str">
            <v>1월 생산실적</v>
          </cell>
        </row>
      </sheetData>
      <sheetData sheetId="8799"/>
      <sheetData sheetId="8800">
        <row r="6">
          <cell r="A6">
            <v>1</v>
          </cell>
        </row>
      </sheetData>
      <sheetData sheetId="8801">
        <row r="1">
          <cell r="A1" t="str">
            <v>1월 생산실적</v>
          </cell>
        </row>
      </sheetData>
      <sheetData sheetId="8802">
        <row r="1">
          <cell r="A1" t="str">
            <v>1월 생산실적</v>
          </cell>
        </row>
      </sheetData>
      <sheetData sheetId="8803">
        <row r="1">
          <cell r="A1" t="str">
            <v>1월 생산실적</v>
          </cell>
        </row>
      </sheetData>
      <sheetData sheetId="8804"/>
      <sheetData sheetId="8805">
        <row r="1">
          <cell r="A1" t="str">
            <v>1월 생산실적</v>
          </cell>
        </row>
      </sheetData>
      <sheetData sheetId="8806">
        <row r="1">
          <cell r="A1" t="str">
            <v>1월 생산실적</v>
          </cell>
        </row>
      </sheetData>
      <sheetData sheetId="8807">
        <row r="1">
          <cell r="A1" t="str">
            <v>1월 생산실적</v>
          </cell>
        </row>
      </sheetData>
      <sheetData sheetId="8808"/>
      <sheetData sheetId="8809">
        <row r="1">
          <cell r="A1" t="str">
            <v>1월 생산실적</v>
          </cell>
        </row>
      </sheetData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>
        <row r="6">
          <cell r="A6">
            <v>1</v>
          </cell>
        </row>
      </sheetData>
      <sheetData sheetId="8889"/>
      <sheetData sheetId="8890"/>
      <sheetData sheetId="8891">
        <row r="6">
          <cell r="A6">
            <v>1</v>
          </cell>
        </row>
      </sheetData>
      <sheetData sheetId="8892">
        <row r="6">
          <cell r="A6">
            <v>1</v>
          </cell>
        </row>
      </sheetData>
      <sheetData sheetId="8893"/>
      <sheetData sheetId="8894"/>
      <sheetData sheetId="8895"/>
      <sheetData sheetId="8896"/>
      <sheetData sheetId="8897"/>
      <sheetData sheetId="8898">
        <row r="6">
          <cell r="A6">
            <v>1</v>
          </cell>
        </row>
      </sheetData>
      <sheetData sheetId="8899">
        <row r="6">
          <cell r="A6">
            <v>1</v>
          </cell>
        </row>
      </sheetData>
      <sheetData sheetId="8900">
        <row r="6">
          <cell r="A6">
            <v>1</v>
          </cell>
        </row>
      </sheetData>
      <sheetData sheetId="8901">
        <row r="6">
          <cell r="A6">
            <v>1</v>
          </cell>
        </row>
      </sheetData>
      <sheetData sheetId="8902"/>
      <sheetData sheetId="8903"/>
      <sheetData sheetId="8904">
        <row r="6">
          <cell r="A6">
            <v>1</v>
          </cell>
        </row>
      </sheetData>
      <sheetData sheetId="8905"/>
      <sheetData sheetId="8906"/>
      <sheetData sheetId="8907">
        <row r="6">
          <cell r="A6">
            <v>1</v>
          </cell>
        </row>
      </sheetData>
      <sheetData sheetId="8908">
        <row r="6">
          <cell r="A6">
            <v>1</v>
          </cell>
        </row>
      </sheetData>
      <sheetData sheetId="8909">
        <row r="6">
          <cell r="A6">
            <v>1</v>
          </cell>
        </row>
      </sheetData>
      <sheetData sheetId="8910">
        <row r="6">
          <cell r="A6">
            <v>1</v>
          </cell>
        </row>
      </sheetData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>
        <row r="6">
          <cell r="A6">
            <v>1</v>
          </cell>
        </row>
      </sheetData>
      <sheetData sheetId="8921">
        <row r="6">
          <cell r="A6">
            <v>1</v>
          </cell>
        </row>
      </sheetData>
      <sheetData sheetId="8922">
        <row r="6">
          <cell r="A6">
            <v>1</v>
          </cell>
        </row>
      </sheetData>
      <sheetData sheetId="8923">
        <row r="6">
          <cell r="A6">
            <v>1</v>
          </cell>
        </row>
      </sheetData>
      <sheetData sheetId="8924">
        <row r="6">
          <cell r="A6">
            <v>1</v>
          </cell>
        </row>
      </sheetData>
      <sheetData sheetId="8925">
        <row r="6">
          <cell r="A6">
            <v>1</v>
          </cell>
        </row>
      </sheetData>
      <sheetData sheetId="8926">
        <row r="6">
          <cell r="A6">
            <v>1</v>
          </cell>
        </row>
      </sheetData>
      <sheetData sheetId="8927">
        <row r="6">
          <cell r="A6">
            <v>1</v>
          </cell>
        </row>
      </sheetData>
      <sheetData sheetId="8928">
        <row r="1">
          <cell r="A1" t="str">
            <v>1월 생산실적</v>
          </cell>
        </row>
      </sheetData>
      <sheetData sheetId="8929">
        <row r="6">
          <cell r="A6">
            <v>1</v>
          </cell>
        </row>
      </sheetData>
      <sheetData sheetId="8930">
        <row r="1">
          <cell r="A1" t="str">
            <v>1월 생산실적</v>
          </cell>
        </row>
      </sheetData>
      <sheetData sheetId="8931">
        <row r="6">
          <cell r="A6">
            <v>1</v>
          </cell>
        </row>
      </sheetData>
      <sheetData sheetId="8932">
        <row r="6">
          <cell r="A6">
            <v>1</v>
          </cell>
        </row>
      </sheetData>
      <sheetData sheetId="8933">
        <row r="1">
          <cell r="A1" t="str">
            <v>1월 생산실적</v>
          </cell>
        </row>
      </sheetData>
      <sheetData sheetId="8934">
        <row r="6">
          <cell r="A6">
            <v>1</v>
          </cell>
        </row>
      </sheetData>
      <sheetData sheetId="8935">
        <row r="6">
          <cell r="A6">
            <v>1</v>
          </cell>
        </row>
      </sheetData>
      <sheetData sheetId="8936">
        <row r="6">
          <cell r="A6">
            <v>1</v>
          </cell>
        </row>
      </sheetData>
      <sheetData sheetId="8937">
        <row r="6">
          <cell r="A6">
            <v>1</v>
          </cell>
        </row>
      </sheetData>
      <sheetData sheetId="8938">
        <row r="1">
          <cell r="A1" t="str">
            <v>1월 생산실적</v>
          </cell>
        </row>
      </sheetData>
      <sheetData sheetId="8939">
        <row r="6">
          <cell r="A6">
            <v>1</v>
          </cell>
        </row>
      </sheetData>
      <sheetData sheetId="8940">
        <row r="1">
          <cell r="A1" t="str">
            <v>1월 생산실적</v>
          </cell>
        </row>
      </sheetData>
      <sheetData sheetId="8941">
        <row r="1">
          <cell r="A1" t="str">
            <v>1월 생산실적</v>
          </cell>
        </row>
      </sheetData>
      <sheetData sheetId="8942">
        <row r="6">
          <cell r="A6">
            <v>1</v>
          </cell>
        </row>
      </sheetData>
      <sheetData sheetId="8943">
        <row r="1">
          <cell r="A1" t="str">
            <v>1월 생산실적</v>
          </cell>
        </row>
      </sheetData>
      <sheetData sheetId="8944">
        <row r="6">
          <cell r="A6">
            <v>1</v>
          </cell>
        </row>
      </sheetData>
      <sheetData sheetId="8945">
        <row r="1">
          <cell r="A1" t="str">
            <v>1월 생산실적</v>
          </cell>
        </row>
      </sheetData>
      <sheetData sheetId="8946">
        <row r="6">
          <cell r="A6">
            <v>1</v>
          </cell>
        </row>
      </sheetData>
      <sheetData sheetId="8947">
        <row r="6">
          <cell r="A6">
            <v>1</v>
          </cell>
        </row>
      </sheetData>
      <sheetData sheetId="8948">
        <row r="1">
          <cell r="A1" t="str">
            <v>1월 생산실적</v>
          </cell>
        </row>
      </sheetData>
      <sheetData sheetId="8949">
        <row r="6">
          <cell r="A6">
            <v>1</v>
          </cell>
        </row>
      </sheetData>
      <sheetData sheetId="8950">
        <row r="6">
          <cell r="A6">
            <v>1</v>
          </cell>
        </row>
      </sheetData>
      <sheetData sheetId="8951">
        <row r="6">
          <cell r="A6">
            <v>1</v>
          </cell>
        </row>
      </sheetData>
      <sheetData sheetId="8952">
        <row r="1">
          <cell r="A1" t="str">
            <v>1월 생산실적</v>
          </cell>
        </row>
      </sheetData>
      <sheetData sheetId="8953">
        <row r="1">
          <cell r="A1" t="str">
            <v>1월 생산실적</v>
          </cell>
        </row>
      </sheetData>
      <sheetData sheetId="8954">
        <row r="1">
          <cell r="A1" t="str">
            <v>1월 생산실적</v>
          </cell>
        </row>
      </sheetData>
      <sheetData sheetId="8955">
        <row r="6">
          <cell r="A6">
            <v>1</v>
          </cell>
        </row>
      </sheetData>
      <sheetData sheetId="8956">
        <row r="1">
          <cell r="A1" t="str">
            <v>1월 생산실적</v>
          </cell>
        </row>
      </sheetData>
      <sheetData sheetId="8957">
        <row r="1">
          <cell r="A1" t="str">
            <v>1월 생산실적</v>
          </cell>
        </row>
      </sheetData>
      <sheetData sheetId="8958">
        <row r="6">
          <cell r="A6">
            <v>1</v>
          </cell>
        </row>
      </sheetData>
      <sheetData sheetId="8959">
        <row r="6">
          <cell r="A6">
            <v>1</v>
          </cell>
        </row>
      </sheetData>
      <sheetData sheetId="8960">
        <row r="6">
          <cell r="A6">
            <v>1</v>
          </cell>
        </row>
      </sheetData>
      <sheetData sheetId="8961">
        <row r="6">
          <cell r="A6">
            <v>1</v>
          </cell>
        </row>
      </sheetData>
      <sheetData sheetId="8962">
        <row r="6">
          <cell r="A6">
            <v>1</v>
          </cell>
        </row>
      </sheetData>
      <sheetData sheetId="8963">
        <row r="6">
          <cell r="A6">
            <v>1</v>
          </cell>
        </row>
      </sheetData>
      <sheetData sheetId="8964">
        <row r="6">
          <cell r="A6">
            <v>1</v>
          </cell>
        </row>
      </sheetData>
      <sheetData sheetId="8965">
        <row r="6">
          <cell r="A6">
            <v>1</v>
          </cell>
        </row>
      </sheetData>
      <sheetData sheetId="8966">
        <row r="1">
          <cell r="A1" t="str">
            <v>1월 생산실적</v>
          </cell>
        </row>
      </sheetData>
      <sheetData sheetId="8967">
        <row r="1">
          <cell r="A1" t="str">
            <v>1월 생산실적</v>
          </cell>
        </row>
      </sheetData>
      <sheetData sheetId="8968">
        <row r="1">
          <cell r="A1" t="str">
            <v>1월 생산실적</v>
          </cell>
        </row>
      </sheetData>
      <sheetData sheetId="8969">
        <row r="1">
          <cell r="A1" t="str">
            <v>1월 생산실적</v>
          </cell>
        </row>
      </sheetData>
      <sheetData sheetId="8970">
        <row r="1">
          <cell r="A1" t="str">
            <v>1월 생산실적</v>
          </cell>
        </row>
      </sheetData>
      <sheetData sheetId="8971">
        <row r="1">
          <cell r="A1" t="str">
            <v>1월 생산실적</v>
          </cell>
        </row>
      </sheetData>
      <sheetData sheetId="8972">
        <row r="1">
          <cell r="A1" t="str">
            <v>1월 생산실적</v>
          </cell>
        </row>
      </sheetData>
      <sheetData sheetId="8973">
        <row r="6">
          <cell r="A6">
            <v>1</v>
          </cell>
        </row>
      </sheetData>
      <sheetData sheetId="8974">
        <row r="1">
          <cell r="A1" t="str">
            <v>1월 생산실적</v>
          </cell>
        </row>
      </sheetData>
      <sheetData sheetId="8975">
        <row r="1">
          <cell r="A1" t="str">
            <v>1월 생산실적</v>
          </cell>
        </row>
      </sheetData>
      <sheetData sheetId="8976">
        <row r="6">
          <cell r="A6">
            <v>1</v>
          </cell>
        </row>
      </sheetData>
      <sheetData sheetId="8977">
        <row r="6">
          <cell r="A6">
            <v>1</v>
          </cell>
        </row>
      </sheetData>
      <sheetData sheetId="8978">
        <row r="1">
          <cell r="A1" t="str">
            <v>1월 생산실적</v>
          </cell>
        </row>
      </sheetData>
      <sheetData sheetId="8979">
        <row r="1">
          <cell r="A1" t="str">
            <v>1월 생산실적</v>
          </cell>
        </row>
      </sheetData>
      <sheetData sheetId="8980">
        <row r="1">
          <cell r="A1" t="str">
            <v>1월 생산실적</v>
          </cell>
        </row>
      </sheetData>
      <sheetData sheetId="8981">
        <row r="1">
          <cell r="A1" t="str">
            <v>1월 생산실적</v>
          </cell>
        </row>
      </sheetData>
      <sheetData sheetId="8982">
        <row r="1">
          <cell r="A1" t="str">
            <v>1월 생산실적</v>
          </cell>
        </row>
      </sheetData>
      <sheetData sheetId="8983">
        <row r="1">
          <cell r="A1" t="str">
            <v>1월 생산실적</v>
          </cell>
        </row>
      </sheetData>
      <sheetData sheetId="8984">
        <row r="1">
          <cell r="A1" t="str">
            <v>1월 생산실적</v>
          </cell>
        </row>
      </sheetData>
      <sheetData sheetId="8985">
        <row r="1">
          <cell r="A1" t="str">
            <v>1월 생산실적</v>
          </cell>
        </row>
      </sheetData>
      <sheetData sheetId="8986">
        <row r="1">
          <cell r="A1" t="str">
            <v>1월 생산실적</v>
          </cell>
        </row>
      </sheetData>
      <sheetData sheetId="8987">
        <row r="1">
          <cell r="A1" t="str">
            <v>1월 생산실적</v>
          </cell>
        </row>
      </sheetData>
      <sheetData sheetId="8988">
        <row r="1">
          <cell r="A1" t="str">
            <v>1월 생산실적</v>
          </cell>
        </row>
      </sheetData>
      <sheetData sheetId="8989">
        <row r="6">
          <cell r="A6">
            <v>1</v>
          </cell>
        </row>
      </sheetData>
      <sheetData sheetId="8990">
        <row r="1">
          <cell r="A1" t="str">
            <v>1월 생산실적</v>
          </cell>
        </row>
      </sheetData>
      <sheetData sheetId="8991">
        <row r="1">
          <cell r="A1" t="str">
            <v>1월 생산실적</v>
          </cell>
        </row>
      </sheetData>
      <sheetData sheetId="8992">
        <row r="1">
          <cell r="A1" t="str">
            <v>1월 생산실적</v>
          </cell>
        </row>
      </sheetData>
      <sheetData sheetId="8993">
        <row r="1">
          <cell r="A1" t="str">
            <v>1월 생산실적</v>
          </cell>
        </row>
      </sheetData>
      <sheetData sheetId="8994">
        <row r="1">
          <cell r="A1" t="str">
            <v>1월 생산실적</v>
          </cell>
        </row>
      </sheetData>
      <sheetData sheetId="8995">
        <row r="1">
          <cell r="A1" t="str">
            <v>1월 생산실적</v>
          </cell>
        </row>
      </sheetData>
      <sheetData sheetId="8996">
        <row r="1">
          <cell r="A1" t="str">
            <v>1월 생산실적</v>
          </cell>
        </row>
      </sheetData>
      <sheetData sheetId="8997">
        <row r="6">
          <cell r="A6">
            <v>1</v>
          </cell>
        </row>
      </sheetData>
      <sheetData sheetId="8998">
        <row r="1">
          <cell r="A1" t="str">
            <v>1월 생산실적</v>
          </cell>
        </row>
      </sheetData>
      <sheetData sheetId="8999">
        <row r="1">
          <cell r="A1" t="str">
            <v>1월 생산실적</v>
          </cell>
        </row>
      </sheetData>
      <sheetData sheetId="9000">
        <row r="6">
          <cell r="A6">
            <v>1</v>
          </cell>
        </row>
      </sheetData>
      <sheetData sheetId="9001">
        <row r="1">
          <cell r="A1" t="str">
            <v>1월 생산실적</v>
          </cell>
        </row>
      </sheetData>
      <sheetData sheetId="9002">
        <row r="6">
          <cell r="A6">
            <v>1</v>
          </cell>
        </row>
      </sheetData>
      <sheetData sheetId="9003">
        <row r="6">
          <cell r="A6">
            <v>1</v>
          </cell>
        </row>
      </sheetData>
      <sheetData sheetId="9004">
        <row r="6">
          <cell r="A6">
            <v>1</v>
          </cell>
        </row>
      </sheetData>
      <sheetData sheetId="9005">
        <row r="6">
          <cell r="A6">
            <v>1</v>
          </cell>
        </row>
      </sheetData>
      <sheetData sheetId="9006">
        <row r="1">
          <cell r="A1" t="str">
            <v>1월 생산실적</v>
          </cell>
        </row>
      </sheetData>
      <sheetData sheetId="9007">
        <row r="6">
          <cell r="A6">
            <v>1</v>
          </cell>
        </row>
      </sheetData>
      <sheetData sheetId="9008">
        <row r="6">
          <cell r="A6">
            <v>1</v>
          </cell>
        </row>
      </sheetData>
      <sheetData sheetId="9009">
        <row r="1">
          <cell r="A1" t="str">
            <v>1월 생산실적</v>
          </cell>
        </row>
      </sheetData>
      <sheetData sheetId="9010">
        <row r="6">
          <cell r="A6">
            <v>1</v>
          </cell>
        </row>
      </sheetData>
      <sheetData sheetId="9011">
        <row r="6">
          <cell r="A6">
            <v>1</v>
          </cell>
        </row>
      </sheetData>
      <sheetData sheetId="9012">
        <row r="6">
          <cell r="A6">
            <v>1</v>
          </cell>
        </row>
      </sheetData>
      <sheetData sheetId="9013">
        <row r="6">
          <cell r="A6">
            <v>1</v>
          </cell>
        </row>
      </sheetData>
      <sheetData sheetId="9014">
        <row r="6">
          <cell r="A6">
            <v>1</v>
          </cell>
        </row>
      </sheetData>
      <sheetData sheetId="9015">
        <row r="6">
          <cell r="A6">
            <v>1</v>
          </cell>
        </row>
      </sheetData>
      <sheetData sheetId="9016">
        <row r="6">
          <cell r="A6">
            <v>1</v>
          </cell>
        </row>
      </sheetData>
      <sheetData sheetId="9017">
        <row r="6">
          <cell r="A6">
            <v>1</v>
          </cell>
        </row>
      </sheetData>
      <sheetData sheetId="9018">
        <row r="6">
          <cell r="A6">
            <v>1</v>
          </cell>
        </row>
      </sheetData>
      <sheetData sheetId="9019">
        <row r="6">
          <cell r="A6">
            <v>1</v>
          </cell>
        </row>
      </sheetData>
      <sheetData sheetId="9020">
        <row r="6">
          <cell r="A6">
            <v>1</v>
          </cell>
        </row>
      </sheetData>
      <sheetData sheetId="9021">
        <row r="6">
          <cell r="A6">
            <v>1</v>
          </cell>
        </row>
      </sheetData>
      <sheetData sheetId="9022">
        <row r="6">
          <cell r="A6">
            <v>1</v>
          </cell>
        </row>
      </sheetData>
      <sheetData sheetId="9023">
        <row r="6">
          <cell r="A6">
            <v>1</v>
          </cell>
        </row>
      </sheetData>
      <sheetData sheetId="9024">
        <row r="6">
          <cell r="A6">
            <v>1</v>
          </cell>
        </row>
      </sheetData>
      <sheetData sheetId="9025">
        <row r="6">
          <cell r="A6">
            <v>1</v>
          </cell>
        </row>
      </sheetData>
      <sheetData sheetId="9026">
        <row r="6">
          <cell r="A6">
            <v>1</v>
          </cell>
        </row>
      </sheetData>
      <sheetData sheetId="9027">
        <row r="6">
          <cell r="A6">
            <v>1</v>
          </cell>
        </row>
      </sheetData>
      <sheetData sheetId="9028">
        <row r="6">
          <cell r="A6">
            <v>1</v>
          </cell>
        </row>
      </sheetData>
      <sheetData sheetId="9029">
        <row r="6">
          <cell r="A6">
            <v>1</v>
          </cell>
        </row>
      </sheetData>
      <sheetData sheetId="9030">
        <row r="6">
          <cell r="A6">
            <v>1</v>
          </cell>
        </row>
      </sheetData>
      <sheetData sheetId="9031">
        <row r="6">
          <cell r="A6">
            <v>1</v>
          </cell>
        </row>
      </sheetData>
      <sheetData sheetId="9032">
        <row r="6">
          <cell r="A6">
            <v>1</v>
          </cell>
        </row>
      </sheetData>
      <sheetData sheetId="9033">
        <row r="6">
          <cell r="A6">
            <v>1</v>
          </cell>
        </row>
      </sheetData>
      <sheetData sheetId="9034">
        <row r="6">
          <cell r="A6">
            <v>1</v>
          </cell>
        </row>
      </sheetData>
      <sheetData sheetId="9035">
        <row r="6">
          <cell r="A6">
            <v>1</v>
          </cell>
        </row>
      </sheetData>
      <sheetData sheetId="9036">
        <row r="6">
          <cell r="A6">
            <v>1</v>
          </cell>
        </row>
      </sheetData>
      <sheetData sheetId="9037">
        <row r="6">
          <cell r="A6">
            <v>1</v>
          </cell>
        </row>
      </sheetData>
      <sheetData sheetId="9038">
        <row r="6">
          <cell r="A6">
            <v>1</v>
          </cell>
        </row>
      </sheetData>
      <sheetData sheetId="9039">
        <row r="6">
          <cell r="A6">
            <v>1</v>
          </cell>
        </row>
      </sheetData>
      <sheetData sheetId="9040">
        <row r="6">
          <cell r="A6">
            <v>1</v>
          </cell>
        </row>
      </sheetData>
      <sheetData sheetId="9041">
        <row r="6">
          <cell r="A6">
            <v>1</v>
          </cell>
        </row>
      </sheetData>
      <sheetData sheetId="9042">
        <row r="6">
          <cell r="A6">
            <v>1</v>
          </cell>
        </row>
      </sheetData>
      <sheetData sheetId="9043">
        <row r="6">
          <cell r="A6">
            <v>1</v>
          </cell>
        </row>
      </sheetData>
      <sheetData sheetId="9044">
        <row r="6">
          <cell r="A6">
            <v>1</v>
          </cell>
        </row>
      </sheetData>
      <sheetData sheetId="9045">
        <row r="6">
          <cell r="A6">
            <v>1</v>
          </cell>
        </row>
      </sheetData>
      <sheetData sheetId="9046">
        <row r="6">
          <cell r="A6">
            <v>1</v>
          </cell>
        </row>
      </sheetData>
      <sheetData sheetId="9047">
        <row r="6">
          <cell r="A6">
            <v>1</v>
          </cell>
        </row>
      </sheetData>
      <sheetData sheetId="9048">
        <row r="6">
          <cell r="A6">
            <v>1</v>
          </cell>
        </row>
      </sheetData>
      <sheetData sheetId="9049">
        <row r="6">
          <cell r="A6">
            <v>1</v>
          </cell>
        </row>
      </sheetData>
      <sheetData sheetId="9050">
        <row r="6">
          <cell r="A6">
            <v>1</v>
          </cell>
        </row>
      </sheetData>
      <sheetData sheetId="9051">
        <row r="6">
          <cell r="A6">
            <v>1</v>
          </cell>
        </row>
      </sheetData>
      <sheetData sheetId="9052">
        <row r="6">
          <cell r="A6">
            <v>1</v>
          </cell>
        </row>
      </sheetData>
      <sheetData sheetId="9053">
        <row r="6">
          <cell r="A6">
            <v>1</v>
          </cell>
        </row>
      </sheetData>
      <sheetData sheetId="9054">
        <row r="6">
          <cell r="A6">
            <v>1</v>
          </cell>
        </row>
      </sheetData>
      <sheetData sheetId="9055">
        <row r="6">
          <cell r="A6">
            <v>1</v>
          </cell>
        </row>
      </sheetData>
      <sheetData sheetId="9056">
        <row r="6">
          <cell r="A6">
            <v>1</v>
          </cell>
        </row>
      </sheetData>
      <sheetData sheetId="9057">
        <row r="6">
          <cell r="A6">
            <v>1</v>
          </cell>
        </row>
      </sheetData>
      <sheetData sheetId="9058">
        <row r="6">
          <cell r="A6">
            <v>1</v>
          </cell>
        </row>
      </sheetData>
      <sheetData sheetId="9059">
        <row r="6">
          <cell r="A6">
            <v>1</v>
          </cell>
        </row>
      </sheetData>
      <sheetData sheetId="9060">
        <row r="6">
          <cell r="A6">
            <v>1</v>
          </cell>
        </row>
      </sheetData>
      <sheetData sheetId="9061">
        <row r="6">
          <cell r="A6">
            <v>1</v>
          </cell>
        </row>
      </sheetData>
      <sheetData sheetId="9062">
        <row r="6">
          <cell r="A6">
            <v>1</v>
          </cell>
        </row>
      </sheetData>
      <sheetData sheetId="9063">
        <row r="6">
          <cell r="A6">
            <v>1</v>
          </cell>
        </row>
      </sheetData>
      <sheetData sheetId="9064">
        <row r="6">
          <cell r="A6">
            <v>1</v>
          </cell>
        </row>
      </sheetData>
      <sheetData sheetId="9065">
        <row r="6">
          <cell r="A6">
            <v>1</v>
          </cell>
        </row>
      </sheetData>
      <sheetData sheetId="9066">
        <row r="6">
          <cell r="A6">
            <v>1</v>
          </cell>
        </row>
      </sheetData>
      <sheetData sheetId="9067">
        <row r="6">
          <cell r="A6">
            <v>1</v>
          </cell>
        </row>
      </sheetData>
      <sheetData sheetId="9068">
        <row r="6">
          <cell r="A6">
            <v>1</v>
          </cell>
        </row>
      </sheetData>
      <sheetData sheetId="9069">
        <row r="6">
          <cell r="A6">
            <v>1</v>
          </cell>
        </row>
      </sheetData>
      <sheetData sheetId="9070">
        <row r="6">
          <cell r="A6">
            <v>1</v>
          </cell>
        </row>
      </sheetData>
      <sheetData sheetId="9071">
        <row r="6">
          <cell r="A6">
            <v>1</v>
          </cell>
        </row>
      </sheetData>
      <sheetData sheetId="9072">
        <row r="6">
          <cell r="A6">
            <v>1</v>
          </cell>
        </row>
      </sheetData>
      <sheetData sheetId="9073">
        <row r="6">
          <cell r="A6">
            <v>1</v>
          </cell>
        </row>
      </sheetData>
      <sheetData sheetId="9074">
        <row r="6">
          <cell r="A6">
            <v>1</v>
          </cell>
        </row>
      </sheetData>
      <sheetData sheetId="9075">
        <row r="6">
          <cell r="A6">
            <v>1</v>
          </cell>
        </row>
      </sheetData>
      <sheetData sheetId="9076">
        <row r="6">
          <cell r="A6">
            <v>1</v>
          </cell>
        </row>
      </sheetData>
      <sheetData sheetId="9077">
        <row r="6">
          <cell r="A6">
            <v>1</v>
          </cell>
        </row>
      </sheetData>
      <sheetData sheetId="9078"/>
      <sheetData sheetId="9079">
        <row r="6">
          <cell r="A6">
            <v>1</v>
          </cell>
        </row>
      </sheetData>
      <sheetData sheetId="9080"/>
      <sheetData sheetId="9081">
        <row r="6">
          <cell r="A6">
            <v>1</v>
          </cell>
        </row>
      </sheetData>
      <sheetData sheetId="9082">
        <row r="1">
          <cell r="A1" t="str">
            <v>1월 생산실적</v>
          </cell>
        </row>
      </sheetData>
      <sheetData sheetId="9083">
        <row r="6">
          <cell r="A6">
            <v>1</v>
          </cell>
        </row>
      </sheetData>
      <sheetData sheetId="9084">
        <row r="6">
          <cell r="A6">
            <v>1</v>
          </cell>
        </row>
      </sheetData>
      <sheetData sheetId="9085">
        <row r="1">
          <cell r="A1" t="str">
            <v>1월 생산실적</v>
          </cell>
        </row>
      </sheetData>
      <sheetData sheetId="9086">
        <row r="1">
          <cell r="A1" t="str">
            <v>1월 생산실적</v>
          </cell>
        </row>
      </sheetData>
      <sheetData sheetId="9087">
        <row r="1">
          <cell r="A1" t="str">
            <v>1월 생산실적</v>
          </cell>
        </row>
      </sheetData>
      <sheetData sheetId="9088">
        <row r="1">
          <cell r="A1" t="str">
            <v>1월 생산실적</v>
          </cell>
        </row>
      </sheetData>
      <sheetData sheetId="9089">
        <row r="1">
          <cell r="A1" t="str">
            <v>1월 생산실적</v>
          </cell>
        </row>
      </sheetData>
      <sheetData sheetId="9090">
        <row r="6">
          <cell r="A6">
            <v>1</v>
          </cell>
        </row>
      </sheetData>
      <sheetData sheetId="9091">
        <row r="6">
          <cell r="A6">
            <v>1</v>
          </cell>
        </row>
      </sheetData>
      <sheetData sheetId="9092">
        <row r="6">
          <cell r="A6">
            <v>1</v>
          </cell>
        </row>
      </sheetData>
      <sheetData sheetId="9093">
        <row r="6">
          <cell r="A6">
            <v>1</v>
          </cell>
        </row>
      </sheetData>
      <sheetData sheetId="9094">
        <row r="6">
          <cell r="A6">
            <v>1</v>
          </cell>
        </row>
      </sheetData>
      <sheetData sheetId="9095">
        <row r="6">
          <cell r="A6">
            <v>1</v>
          </cell>
        </row>
      </sheetData>
      <sheetData sheetId="9096">
        <row r="6">
          <cell r="A6">
            <v>1</v>
          </cell>
        </row>
      </sheetData>
      <sheetData sheetId="9097">
        <row r="1">
          <cell r="A1" t="str">
            <v>1월 생산실적</v>
          </cell>
        </row>
      </sheetData>
      <sheetData sheetId="9098">
        <row r="1">
          <cell r="A1" t="str">
            <v>1월 생산실적</v>
          </cell>
        </row>
      </sheetData>
      <sheetData sheetId="9099">
        <row r="1">
          <cell r="A1" t="str">
            <v>1월 생산실적</v>
          </cell>
        </row>
      </sheetData>
      <sheetData sheetId="9100">
        <row r="1">
          <cell r="A1" t="str">
            <v>1월 생산실적</v>
          </cell>
        </row>
      </sheetData>
      <sheetData sheetId="9101">
        <row r="1">
          <cell r="A1" t="str">
            <v>1월 생산실적</v>
          </cell>
        </row>
      </sheetData>
      <sheetData sheetId="9102">
        <row r="1">
          <cell r="A1" t="str">
            <v>1월 생산실적</v>
          </cell>
        </row>
      </sheetData>
      <sheetData sheetId="9103">
        <row r="1">
          <cell r="A1" t="str">
            <v>1월 생산실적</v>
          </cell>
        </row>
      </sheetData>
      <sheetData sheetId="9104">
        <row r="6">
          <cell r="A6">
            <v>1</v>
          </cell>
        </row>
      </sheetData>
      <sheetData sheetId="9105">
        <row r="1">
          <cell r="A1" t="str">
            <v>1월 생산실적</v>
          </cell>
        </row>
      </sheetData>
      <sheetData sheetId="9106">
        <row r="1">
          <cell r="A1" t="str">
            <v>1월 생산실적</v>
          </cell>
        </row>
      </sheetData>
      <sheetData sheetId="9107">
        <row r="1">
          <cell r="A1" t="str">
            <v>1월 생산실적</v>
          </cell>
        </row>
      </sheetData>
      <sheetData sheetId="9108">
        <row r="6">
          <cell r="A6">
            <v>1</v>
          </cell>
        </row>
      </sheetData>
      <sheetData sheetId="9109">
        <row r="1">
          <cell r="A1" t="str">
            <v>1월 생산실적</v>
          </cell>
        </row>
      </sheetData>
      <sheetData sheetId="9110">
        <row r="1">
          <cell r="A1" t="str">
            <v>1월 생산실적</v>
          </cell>
        </row>
      </sheetData>
      <sheetData sheetId="9111">
        <row r="1">
          <cell r="A1" t="str">
            <v>1월 생산실적</v>
          </cell>
        </row>
      </sheetData>
      <sheetData sheetId="9112">
        <row r="1">
          <cell r="A1" t="str">
            <v>1월 생산실적</v>
          </cell>
        </row>
      </sheetData>
      <sheetData sheetId="9113">
        <row r="1">
          <cell r="A1" t="str">
            <v>1월 생산실적</v>
          </cell>
        </row>
      </sheetData>
      <sheetData sheetId="9114">
        <row r="1">
          <cell r="A1" t="str">
            <v>1월 생산실적</v>
          </cell>
        </row>
      </sheetData>
      <sheetData sheetId="9115">
        <row r="1">
          <cell r="A1" t="str">
            <v>1월 생산실적</v>
          </cell>
        </row>
      </sheetData>
      <sheetData sheetId="9116">
        <row r="1">
          <cell r="A1" t="str">
            <v>1월 생산실적</v>
          </cell>
        </row>
      </sheetData>
      <sheetData sheetId="9117">
        <row r="1">
          <cell r="A1" t="str">
            <v>1월 생산실적</v>
          </cell>
        </row>
      </sheetData>
      <sheetData sheetId="9118">
        <row r="1">
          <cell r="A1" t="str">
            <v>1월 생산실적</v>
          </cell>
        </row>
      </sheetData>
      <sheetData sheetId="9119">
        <row r="1">
          <cell r="A1" t="str">
            <v>1월 생산실적</v>
          </cell>
        </row>
      </sheetData>
      <sheetData sheetId="9120">
        <row r="1">
          <cell r="A1" t="str">
            <v>1월 생산실적</v>
          </cell>
        </row>
      </sheetData>
      <sheetData sheetId="9121">
        <row r="1">
          <cell r="A1" t="str">
            <v>1월 생산실적</v>
          </cell>
        </row>
      </sheetData>
      <sheetData sheetId="9122">
        <row r="1">
          <cell r="A1" t="str">
            <v>1월 생산실적</v>
          </cell>
        </row>
      </sheetData>
      <sheetData sheetId="9123">
        <row r="1">
          <cell r="A1" t="str">
            <v>1월 생산실적</v>
          </cell>
        </row>
      </sheetData>
      <sheetData sheetId="9124">
        <row r="1">
          <cell r="A1" t="str">
            <v>1월 생산실적</v>
          </cell>
        </row>
      </sheetData>
      <sheetData sheetId="9125">
        <row r="1">
          <cell r="A1" t="str">
            <v>1월 생산실적</v>
          </cell>
        </row>
      </sheetData>
      <sheetData sheetId="9126">
        <row r="1">
          <cell r="A1" t="str">
            <v>1월 생산실적</v>
          </cell>
        </row>
      </sheetData>
      <sheetData sheetId="9127">
        <row r="1">
          <cell r="A1" t="str">
            <v>1월 생산실적</v>
          </cell>
        </row>
      </sheetData>
      <sheetData sheetId="9128">
        <row r="1">
          <cell r="A1" t="str">
            <v>1월 생산실적</v>
          </cell>
        </row>
      </sheetData>
      <sheetData sheetId="9129">
        <row r="1">
          <cell r="A1" t="str">
            <v>1월 생산실적</v>
          </cell>
        </row>
      </sheetData>
      <sheetData sheetId="9130">
        <row r="1">
          <cell r="A1" t="str">
            <v>1월 생산실적</v>
          </cell>
        </row>
      </sheetData>
      <sheetData sheetId="9131">
        <row r="1">
          <cell r="A1" t="str">
            <v>1월 생산실적</v>
          </cell>
        </row>
      </sheetData>
      <sheetData sheetId="9132">
        <row r="1">
          <cell r="A1" t="str">
            <v>1월 생산실적</v>
          </cell>
        </row>
      </sheetData>
      <sheetData sheetId="9133">
        <row r="1">
          <cell r="A1" t="str">
            <v>1월 생산실적</v>
          </cell>
        </row>
      </sheetData>
      <sheetData sheetId="9134">
        <row r="6">
          <cell r="A6">
            <v>1</v>
          </cell>
        </row>
      </sheetData>
      <sheetData sheetId="9135">
        <row r="6">
          <cell r="A6">
            <v>1</v>
          </cell>
        </row>
      </sheetData>
      <sheetData sheetId="9136">
        <row r="6">
          <cell r="A6">
            <v>1</v>
          </cell>
        </row>
      </sheetData>
      <sheetData sheetId="9137">
        <row r="1">
          <cell r="A1" t="str">
            <v>1월 생산실적</v>
          </cell>
        </row>
      </sheetData>
      <sheetData sheetId="9138">
        <row r="6">
          <cell r="A6">
            <v>1</v>
          </cell>
        </row>
      </sheetData>
      <sheetData sheetId="9139">
        <row r="6">
          <cell r="A6">
            <v>1</v>
          </cell>
        </row>
      </sheetData>
      <sheetData sheetId="9140">
        <row r="1">
          <cell r="A1" t="str">
            <v>1월 생산실적</v>
          </cell>
        </row>
      </sheetData>
      <sheetData sheetId="9141">
        <row r="1">
          <cell r="A1" t="str">
            <v>1월 생산실적</v>
          </cell>
        </row>
      </sheetData>
      <sheetData sheetId="9142">
        <row r="6">
          <cell r="A6">
            <v>1</v>
          </cell>
        </row>
      </sheetData>
      <sheetData sheetId="9143">
        <row r="6">
          <cell r="A6">
            <v>1</v>
          </cell>
        </row>
      </sheetData>
      <sheetData sheetId="9144">
        <row r="6">
          <cell r="A6">
            <v>1</v>
          </cell>
        </row>
      </sheetData>
      <sheetData sheetId="9145">
        <row r="6">
          <cell r="A6">
            <v>1</v>
          </cell>
        </row>
      </sheetData>
      <sheetData sheetId="9146">
        <row r="6">
          <cell r="A6">
            <v>1</v>
          </cell>
        </row>
      </sheetData>
      <sheetData sheetId="9147">
        <row r="6">
          <cell r="A6">
            <v>1</v>
          </cell>
        </row>
      </sheetData>
      <sheetData sheetId="9148">
        <row r="6">
          <cell r="A6">
            <v>1</v>
          </cell>
        </row>
      </sheetData>
      <sheetData sheetId="9149">
        <row r="6">
          <cell r="A6">
            <v>1</v>
          </cell>
        </row>
      </sheetData>
      <sheetData sheetId="9150">
        <row r="6">
          <cell r="A6">
            <v>1</v>
          </cell>
        </row>
      </sheetData>
      <sheetData sheetId="9151">
        <row r="6">
          <cell r="A6">
            <v>1</v>
          </cell>
        </row>
      </sheetData>
      <sheetData sheetId="9152">
        <row r="6">
          <cell r="A6">
            <v>1</v>
          </cell>
        </row>
      </sheetData>
      <sheetData sheetId="9153">
        <row r="6">
          <cell r="A6">
            <v>1</v>
          </cell>
        </row>
      </sheetData>
      <sheetData sheetId="9154">
        <row r="6">
          <cell r="A6">
            <v>1</v>
          </cell>
        </row>
      </sheetData>
      <sheetData sheetId="9155">
        <row r="6">
          <cell r="A6">
            <v>1</v>
          </cell>
        </row>
      </sheetData>
      <sheetData sheetId="9156">
        <row r="6">
          <cell r="A6">
            <v>1</v>
          </cell>
        </row>
      </sheetData>
      <sheetData sheetId="9157">
        <row r="6">
          <cell r="A6">
            <v>1</v>
          </cell>
        </row>
      </sheetData>
      <sheetData sheetId="9158">
        <row r="6">
          <cell r="A6">
            <v>1</v>
          </cell>
        </row>
      </sheetData>
      <sheetData sheetId="9159">
        <row r="6">
          <cell r="A6">
            <v>1</v>
          </cell>
        </row>
      </sheetData>
      <sheetData sheetId="9160">
        <row r="6">
          <cell r="A6">
            <v>1</v>
          </cell>
        </row>
      </sheetData>
      <sheetData sheetId="9161">
        <row r="6">
          <cell r="A6">
            <v>1</v>
          </cell>
        </row>
      </sheetData>
      <sheetData sheetId="9162">
        <row r="6">
          <cell r="A6">
            <v>1</v>
          </cell>
        </row>
      </sheetData>
      <sheetData sheetId="9163">
        <row r="6">
          <cell r="A6">
            <v>1</v>
          </cell>
        </row>
      </sheetData>
      <sheetData sheetId="9164">
        <row r="6">
          <cell r="A6">
            <v>1</v>
          </cell>
        </row>
      </sheetData>
      <sheetData sheetId="9165">
        <row r="6">
          <cell r="A6">
            <v>1</v>
          </cell>
        </row>
      </sheetData>
      <sheetData sheetId="9166">
        <row r="6">
          <cell r="A6">
            <v>1</v>
          </cell>
        </row>
      </sheetData>
      <sheetData sheetId="9167">
        <row r="6">
          <cell r="A6">
            <v>1</v>
          </cell>
        </row>
      </sheetData>
      <sheetData sheetId="9168">
        <row r="6">
          <cell r="A6">
            <v>1</v>
          </cell>
        </row>
      </sheetData>
      <sheetData sheetId="9169">
        <row r="6">
          <cell r="A6">
            <v>1</v>
          </cell>
        </row>
      </sheetData>
      <sheetData sheetId="9170">
        <row r="6">
          <cell r="A6">
            <v>1</v>
          </cell>
        </row>
      </sheetData>
      <sheetData sheetId="9171">
        <row r="6">
          <cell r="A6">
            <v>1</v>
          </cell>
        </row>
      </sheetData>
      <sheetData sheetId="9172">
        <row r="1">
          <cell r="A1" t="str">
            <v>1월 생산실적</v>
          </cell>
        </row>
      </sheetData>
      <sheetData sheetId="9173">
        <row r="1">
          <cell r="A1" t="str">
            <v>1월 생산실적</v>
          </cell>
        </row>
      </sheetData>
      <sheetData sheetId="9174">
        <row r="6">
          <cell r="A6">
            <v>1</v>
          </cell>
        </row>
      </sheetData>
      <sheetData sheetId="9175">
        <row r="6">
          <cell r="A6">
            <v>1</v>
          </cell>
        </row>
      </sheetData>
      <sheetData sheetId="9176">
        <row r="6">
          <cell r="A6">
            <v>1</v>
          </cell>
        </row>
      </sheetData>
      <sheetData sheetId="9177">
        <row r="6">
          <cell r="A6">
            <v>1</v>
          </cell>
        </row>
      </sheetData>
      <sheetData sheetId="9178">
        <row r="1">
          <cell r="A1" t="str">
            <v>1월 생산실적</v>
          </cell>
        </row>
      </sheetData>
      <sheetData sheetId="9179">
        <row r="1">
          <cell r="A1" t="str">
            <v>1월 생산실적</v>
          </cell>
        </row>
      </sheetData>
      <sheetData sheetId="9180">
        <row r="6">
          <cell r="A6">
            <v>1</v>
          </cell>
        </row>
      </sheetData>
      <sheetData sheetId="9181">
        <row r="6">
          <cell r="A6">
            <v>1</v>
          </cell>
        </row>
      </sheetData>
      <sheetData sheetId="9182">
        <row r="1">
          <cell r="A1" t="str">
            <v>1월 생산실적</v>
          </cell>
        </row>
      </sheetData>
      <sheetData sheetId="9183">
        <row r="1">
          <cell r="A1" t="str">
            <v>1월 생산실적</v>
          </cell>
        </row>
      </sheetData>
      <sheetData sheetId="9184"/>
      <sheetData sheetId="9185"/>
      <sheetData sheetId="9186"/>
      <sheetData sheetId="9187"/>
      <sheetData sheetId="9188">
        <row r="6">
          <cell r="A6">
            <v>1</v>
          </cell>
        </row>
      </sheetData>
      <sheetData sheetId="9189">
        <row r="6">
          <cell r="A6">
            <v>1</v>
          </cell>
        </row>
      </sheetData>
      <sheetData sheetId="9190">
        <row r="6">
          <cell r="A6">
            <v>1</v>
          </cell>
        </row>
      </sheetData>
      <sheetData sheetId="9191">
        <row r="6">
          <cell r="A6">
            <v>1</v>
          </cell>
        </row>
      </sheetData>
      <sheetData sheetId="9192">
        <row r="1">
          <cell r="A1" t="str">
            <v>1월 생산실적</v>
          </cell>
        </row>
      </sheetData>
      <sheetData sheetId="9193">
        <row r="1">
          <cell r="A1" t="str">
            <v>1월 생산실적</v>
          </cell>
        </row>
      </sheetData>
      <sheetData sheetId="9194">
        <row r="1">
          <cell r="A1" t="str">
            <v>1월 생산실적</v>
          </cell>
        </row>
      </sheetData>
      <sheetData sheetId="9195">
        <row r="1">
          <cell r="A1" t="str">
            <v>1월 생산실적</v>
          </cell>
        </row>
      </sheetData>
      <sheetData sheetId="9196">
        <row r="6">
          <cell r="A6">
            <v>1</v>
          </cell>
        </row>
      </sheetData>
      <sheetData sheetId="9197">
        <row r="1">
          <cell r="A1" t="str">
            <v>1월 생산실적</v>
          </cell>
        </row>
      </sheetData>
      <sheetData sheetId="9198">
        <row r="1">
          <cell r="A1" t="str">
            <v>1월 생산실적</v>
          </cell>
        </row>
      </sheetData>
      <sheetData sheetId="9199">
        <row r="1">
          <cell r="A1" t="str">
            <v>1월 생산실적</v>
          </cell>
        </row>
      </sheetData>
      <sheetData sheetId="9200">
        <row r="6">
          <cell r="A6">
            <v>1</v>
          </cell>
        </row>
      </sheetData>
      <sheetData sheetId="9201">
        <row r="6">
          <cell r="A6">
            <v>1</v>
          </cell>
        </row>
      </sheetData>
      <sheetData sheetId="9202">
        <row r="6">
          <cell r="A6">
            <v>1</v>
          </cell>
        </row>
      </sheetData>
      <sheetData sheetId="9203">
        <row r="6">
          <cell r="A6">
            <v>1</v>
          </cell>
        </row>
      </sheetData>
      <sheetData sheetId="9204">
        <row r="1">
          <cell r="A1" t="str">
            <v>1월 생산실적</v>
          </cell>
        </row>
      </sheetData>
      <sheetData sheetId="9205">
        <row r="1">
          <cell r="A1" t="str">
            <v>1월 생산실적</v>
          </cell>
        </row>
      </sheetData>
      <sheetData sheetId="9206">
        <row r="1">
          <cell r="A1" t="str">
            <v>1월 생산실적</v>
          </cell>
        </row>
      </sheetData>
      <sheetData sheetId="9207">
        <row r="1">
          <cell r="A1" t="str">
            <v>1월 생산실적</v>
          </cell>
        </row>
      </sheetData>
      <sheetData sheetId="9208">
        <row r="1">
          <cell r="A1" t="str">
            <v>1월 생산실적</v>
          </cell>
        </row>
      </sheetData>
      <sheetData sheetId="9209">
        <row r="1">
          <cell r="A1" t="str">
            <v>1월 생산실적</v>
          </cell>
        </row>
      </sheetData>
      <sheetData sheetId="9210">
        <row r="1">
          <cell r="A1" t="str">
            <v>1월 생산실적</v>
          </cell>
        </row>
      </sheetData>
      <sheetData sheetId="9211">
        <row r="1">
          <cell r="A1" t="str">
            <v>1월 생산실적</v>
          </cell>
        </row>
      </sheetData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 refreshError="1"/>
      <sheetData sheetId="9256" refreshError="1"/>
      <sheetData sheetId="9257" refreshError="1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/>
      <sheetData sheetId="9290"/>
      <sheetData sheetId="9291"/>
      <sheetData sheetId="9292"/>
      <sheetData sheetId="9293">
        <row r="1">
          <cell r="A1" t="str">
            <v>1월 생산실적</v>
          </cell>
        </row>
      </sheetData>
      <sheetData sheetId="9294">
        <row r="1">
          <cell r="A1" t="str">
            <v>1월 생산실적</v>
          </cell>
        </row>
      </sheetData>
      <sheetData sheetId="9295"/>
      <sheetData sheetId="9296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WIRE적용LIST"/>
      <sheetName val="XXXX"/>
      <sheetName val="표지"/>
      <sheetName val="목차"/>
      <sheetName val="차종소개"/>
      <sheetName val="1.1~2개발계획 "/>
      <sheetName val="2.개발품목"/>
      <sheetName val="카메라"/>
      <sheetName val="3.신규부품1 "/>
      <sheetName val="3.신규부품2"/>
      <sheetName val="3.신규부품3"/>
      <sheetName val="4.치공구"/>
      <sheetName val="4.3APP"/>
      <sheetName val="5.CFT"/>
      <sheetName val="소요예산 1"/>
      <sheetName val="소요예산2"/>
      <sheetName val="Sheet2"/>
      <sheetName val="TCA"/>
      <sheetName val="2"/>
      <sheetName val="EF부품개발계획-2"/>
      <sheetName val="●현황"/>
      <sheetName val="●목차"/>
      <sheetName val="A-100전제"/>
      <sheetName val="#REF"/>
      <sheetName val="TEMP TORQUE"/>
      <sheetName val="별첨#1(코스트센터)"/>
      <sheetName val="별첨#2(원가요소)"/>
      <sheetName val="CAUDIT"/>
      <sheetName val="이력"/>
      <sheetName val="5_WIRE적용LIST"/>
      <sheetName val="1_1~2개발계획_"/>
      <sheetName val="2_개발품목"/>
      <sheetName val="3_신규부품1_"/>
      <sheetName val="3_신규부품2"/>
      <sheetName val="3_신규부품3"/>
      <sheetName val="4_치공구"/>
      <sheetName val="4_3APP"/>
      <sheetName val="5_CFT"/>
      <sheetName val="소요예산_1"/>
      <sheetName val="기안"/>
      <sheetName val="협조전"/>
      <sheetName val="712"/>
      <sheetName val="XGPROD"/>
      <sheetName val="OPT손익_내수"/>
      <sheetName val="M1가격"/>
      <sheetName val="980301"/>
      <sheetName val="OPT손익_수출"/>
      <sheetName val="Sheet6"/>
      <sheetName val="full_(2)"/>
      <sheetName val="부품LIST"/>
      <sheetName val="RES"/>
      <sheetName val="LXLIST1"/>
      <sheetName val="KD율"/>
      <sheetName val="대외공문"/>
      <sheetName val="A-A"/>
      <sheetName val="Sheet7"/>
      <sheetName val="64164"/>
      <sheetName val="BASE"/>
      <sheetName val="X3"/>
      <sheetName val="김경원"/>
      <sheetName val="Sheet3"/>
      <sheetName val="Y3-LIST"/>
      <sheetName val="내구품질향상1"/>
      <sheetName val="차체부품_INS_REPORT(갑)"/>
      <sheetName val="4DR"/>
      <sheetName val="Open"/>
      <sheetName val="외주현황.wq1"/>
      <sheetName val="생산1-1"/>
      <sheetName val="수리결과"/>
      <sheetName val="1.2내수"/>
      <sheetName val="3.일반사상"/>
      <sheetName val="99년12월 실적DATA"/>
      <sheetName val="부품원가"/>
      <sheetName val="Mc"/>
      <sheetName val="제품Master"/>
      <sheetName val="인증"/>
      <sheetName val="FUEL FILLER"/>
      <sheetName val="RDLEVLST"/>
      <sheetName val="major"/>
      <sheetName val="FUEL_CHART"/>
      <sheetName val="하받침판"/>
      <sheetName val="원판고정판"/>
      <sheetName val="상원판"/>
      <sheetName val="SPACE BLOCK"/>
      <sheetName val="HOT RNR BLOCK"/>
      <sheetName val="WEIGHT"/>
      <sheetName val="CD-실적"/>
      <sheetName val="PIVOT"/>
      <sheetName val="W-현원가"/>
      <sheetName val="01_SW"/>
      <sheetName val="5_WIRE적용LIST1"/>
      <sheetName val="1_1~2개발계획_1"/>
      <sheetName val="2_개발품목1"/>
      <sheetName val="3_신규부품1_1"/>
      <sheetName val="3_신규부품21"/>
      <sheetName val="3_신규부품31"/>
      <sheetName val="4_치공구1"/>
      <sheetName val="4_3APP1"/>
      <sheetName val="5_CFT1"/>
      <sheetName val="소요예산_11"/>
      <sheetName val="FUEL_FILLER"/>
      <sheetName val="TEMP_TORQUE"/>
      <sheetName val="1.변경범위"/>
      <sheetName val="BAL.(TTL)"/>
      <sheetName val="진행 DATA (2)"/>
      <sheetName val="하나로통신"/>
      <sheetName val="조립원단위"/>
      <sheetName val="단가Master"/>
      <sheetName val="4개월평균"/>
      <sheetName val="원단위 규격"/>
      <sheetName val="IHL 계획"/>
      <sheetName val="IHL 기초재고"/>
      <sheetName val="IHL 과부족 재고"/>
      <sheetName val="생산계획"/>
      <sheetName val="조립생산"/>
      <sheetName val="사출생산"/>
      <sheetName val="사출양품생산"/>
      <sheetName val="사출외주생산"/>
      <sheetName val="사출출하불량"/>
      <sheetName val="소요량산출"/>
      <sheetName val="사출조립출고"/>
      <sheetName val="조립출하"/>
      <sheetName val="사출출하"/>
      <sheetName val="조립재고"/>
      <sheetName val="GB-IC Villingen GG"/>
      <sheetName val="8월실적"/>
      <sheetName val="작성양식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건들지말것"/>
      <sheetName val="p2-1"/>
      <sheetName val="계산DATA입력"/>
      <sheetName val="상세 계산 내역"/>
      <sheetName val="계산정보"/>
      <sheetName val="사양조정"/>
      <sheetName val="PS일계획"/>
      <sheetName val="EFFORT FINAL"/>
      <sheetName val="CAPACITY TOOLING-49083"/>
      <sheetName val="부재료"/>
      <sheetName val="금형견적서(PRESS)"/>
      <sheetName val="소요량"/>
      <sheetName val="Sheet1"/>
      <sheetName val="하자DB"/>
      <sheetName val="Macro1"/>
      <sheetName val="resume"/>
      <sheetName val="BRAKE"/>
      <sheetName val="B053 (990701)공정실적PP%계산"/>
      <sheetName val="간이연락"/>
      <sheetName val="1"/>
      <sheetName val="MC&amp;다변화"/>
      <sheetName val="자료"/>
      <sheetName val="MainReport"/>
      <sheetName val="팀구분(INDEX)"/>
      <sheetName val="PILOT품"/>
      <sheetName val="M96현황-동아"/>
      <sheetName val="금형품의서"/>
      <sheetName val="M1master"/>
      <sheetName val="공정별공법-W.HSE-LH"/>
      <sheetName val="Value Analysis - Sheet 1"/>
      <sheetName val="PC%계산"/>
      <sheetName val="가2"/>
      <sheetName val="10월작업불량"/>
      <sheetName val="98종합"/>
      <sheetName val="계열사현황종합"/>
      <sheetName val="계정"/>
      <sheetName val="일괄인쇄"/>
      <sheetName val="점유면적"/>
      <sheetName val="JT3.0견적-구1"/>
      <sheetName val="소요예산_x0002__x0000_"/>
      <sheetName val="P&amp;L,Bal Sheet,Cash Forecast"/>
      <sheetName val="시산표"/>
      <sheetName val="와이어구분"/>
      <sheetName val="TITLE"/>
      <sheetName val="G8090(2KEY)"/>
      <sheetName val="초도발주서"/>
      <sheetName val="FUEL FILLER DR(BODY)"/>
      <sheetName val="대비표"/>
      <sheetName val="DATA"/>
      <sheetName val="주행"/>
      <sheetName val="9801"/>
      <sheetName val="단가"/>
      <sheetName val="cv"/>
      <sheetName val="CFLOW"/>
      <sheetName val="2.대외공문"/>
      <sheetName val="인원"/>
      <sheetName val="KMO"/>
      <sheetName val="소유주(원)"/>
      <sheetName val="5_WIRE적용LIST2"/>
      <sheetName val="1_1~2개발계획_2"/>
      <sheetName val="2_개발품목2"/>
      <sheetName val="3_신규부품1_2"/>
      <sheetName val="3_신규부품22"/>
      <sheetName val="3_신규부품32"/>
      <sheetName val="4_치공구2"/>
      <sheetName val="4_3APP2"/>
      <sheetName val="5_CFT2"/>
      <sheetName val="소요예산_12"/>
      <sheetName val="외주현황_wq1"/>
      <sheetName val="TEMP_TORQUE1"/>
      <sheetName val="FUEL_FILLER1"/>
      <sheetName val="SPACE_BLOCK"/>
      <sheetName val="HOT_RNR_BLOCK"/>
      <sheetName val="99년12월_실적DATA"/>
      <sheetName val="GB-IC_Villingen_GG"/>
      <sheetName val="BAL_(TTL)"/>
      <sheetName val="진행_DATA_(2)"/>
      <sheetName val="원단위_규격"/>
      <sheetName val="IHL_계획"/>
      <sheetName val="IHL_기초재고"/>
      <sheetName val="IHL_과부족_재고"/>
      <sheetName val="1_변경범위"/>
      <sheetName val="상세_계산_내역"/>
      <sheetName val="EFFORT_FINAL"/>
      <sheetName val="CAPACITY_TOOLING-49083"/>
      <sheetName val="2_대외공문"/>
      <sheetName val="PRINT"/>
      <sheetName val="사급현황"/>
      <sheetName val="1.개발개요"/>
      <sheetName val="상용"/>
      <sheetName val="PP%계산"/>
      <sheetName val="교육계획"/>
      <sheetName val="문서처리전"/>
      <sheetName val="File_Table"/>
      <sheetName val="Z41,Z42 이외total"/>
      <sheetName val="월간단가"/>
      <sheetName val="ML"/>
      <sheetName val="CVT산정"/>
      <sheetName val="직원신상"/>
      <sheetName val="검토서"/>
      <sheetName val="Q11(자체)"/>
      <sheetName val="대표경력"/>
      <sheetName val="MexiqueVentes97"/>
      <sheetName val="구동"/>
      <sheetName val="분석mast"/>
      <sheetName val="OPT손익 내수"/>
      <sheetName val="OPT손익 수출"/>
      <sheetName val="차수"/>
      <sheetName val="제품"/>
      <sheetName val="승인1팀"/>
      <sheetName val="Q13"/>
      <sheetName val="Q11"/>
      <sheetName val="Q23"/>
      <sheetName val="Q12"/>
      <sheetName val="금형 이력 카드"/>
      <sheetName val="Sheet"/>
      <sheetName val="대표자"/>
      <sheetName val="실적(Q11)"/>
      <sheetName val="예산(Q11)"/>
      <sheetName val="125PIECE"/>
      <sheetName val="중량 비교"/>
      <sheetName val="검사성적서(갑)"/>
      <sheetName val="주소(한문)"/>
      <sheetName val="9312직원급여"/>
      <sheetName val="업무계획1"/>
      <sheetName val="발행"/>
      <sheetName val="1안98Billing"/>
      <sheetName val="RD제품개발투자비(매가)"/>
      <sheetName val="재료율"/>
      <sheetName val="DATE"/>
      <sheetName val="96원가"/>
      <sheetName val="RC 단가 인하"/>
      <sheetName val="STOCK"/>
      <sheetName val="pg11"/>
      <sheetName val="GB  3DR R FOG HSG"/>
      <sheetName val="Summary"/>
      <sheetName val="CAPA"/>
      <sheetName val="하네스명단 "/>
      <sheetName val="QC "/>
      <sheetName val="ĐI HY 2019.06"/>
      <sheetName val="불량유형"/>
      <sheetName val="XL4Poppy"/>
      <sheetName val="현금경비중역"/>
      <sheetName val="Facilities, P. Lines &amp; Group"/>
      <sheetName val="범례"/>
      <sheetName val="DAT(목표)"/>
      <sheetName val="GK차체EO-CUT전"/>
      <sheetName val="MAST S"/>
      <sheetName val="(평균)"/>
      <sheetName val="추이도"/>
      <sheetName val="본문"/>
      <sheetName val="폼관조직"/>
      <sheetName val="Material Cost"/>
      <sheetName val="full (2)"/>
      <sheetName val="품의서"/>
      <sheetName val="매출현황"/>
      <sheetName val="BAL(이력관리)"/>
      <sheetName val="二.POSITION.XLS"/>
      <sheetName val="TU TOTAL"/>
      <sheetName val="??"/>
      <sheetName val="Production Plan1"/>
      <sheetName val="금형비"/>
      <sheetName val="CPK"/>
      <sheetName val="원본1"/>
      <sheetName val="BACK DATA"/>
      <sheetName val="LEASE4"/>
      <sheetName val="型上げ"/>
      <sheetName val="MOTO"/>
      <sheetName val="Segments"/>
      <sheetName val="15. LOT 관리"/>
      <sheetName val="소요예산_x005f_x0002__x005f_x0000_"/>
      <sheetName val="재질단가"/>
      <sheetName val="6.품질실적"/>
      <sheetName val="상품입고집계"/>
      <sheetName val="H400"/>
      <sheetName val="8.판매_엔진"/>
      <sheetName val="냉연"/>
      <sheetName val="B"/>
      <sheetName val="Jan-30-99"/>
      <sheetName val="단위"/>
      <sheetName val="소재비"/>
      <sheetName val="조각"/>
      <sheetName val="부식"/>
      <sheetName val="시사출"/>
      <sheetName val="래핑"/>
      <sheetName val="열처리"/>
      <sheetName val="유도하트런너"/>
      <sheetName val="동명하트런너"/>
      <sheetName val="수출"/>
      <sheetName val="Cash payments &gt;Rs.20,000"/>
      <sheetName val="백판낼"/>
      <sheetName val="Plan 98"/>
      <sheetName val="総合B"/>
      <sheetName val="MPL 技連"/>
      <sheetName val="342E BLOCK"/>
      <sheetName val="가격표"/>
      <sheetName val="6월"/>
      <sheetName val="업무분장 "/>
      <sheetName val="공통"/>
      <sheetName val="BOM'2004"/>
      <sheetName val="RearHeadPaynter"/>
      <sheetName val="ClutchPaynter"/>
      <sheetName val="설비"/>
      <sheetName val="반송불량율"/>
      <sheetName val="96"/>
      <sheetName val="득점현황"/>
      <sheetName val="MC%계산"/>
      <sheetName val="HPS Slit Coil (Centralia)"/>
      <sheetName val="참고"/>
      <sheetName val="제품인하"/>
      <sheetName val="KI치"/>
      <sheetName val="납기준수율"/>
      <sheetName val="공정불량율(조립)"/>
      <sheetName val="MCT6"/>
      <sheetName val="입력"/>
      <sheetName val="GB_IC Villingen GG"/>
      <sheetName val="집계"/>
      <sheetName val="실적 및 계획"/>
      <sheetName val="a14실"/>
      <sheetName val="명단"/>
      <sheetName val="입하이력"/>
      <sheetName val="검기갑지"/>
      <sheetName val="OEM "/>
      <sheetName val="RESN_SUM"/>
      <sheetName val="Actions"/>
      <sheetName val="월생산"/>
      <sheetName val="수입"/>
      <sheetName val="정미시간"/>
      <sheetName val="GG08"/>
      <sheetName val="GB_IC_Villingen_GG"/>
      <sheetName val="실적_및_계획"/>
      <sheetName val="작업제품군"/>
      <sheetName val="차종"/>
      <sheetName val="환율"/>
      <sheetName val="사용자코드1"/>
      <sheetName val="사용자코드2"/>
      <sheetName val="매출성격"/>
      <sheetName val="지역"/>
      <sheetName val="불량현상별END"/>
      <sheetName val="업종별"/>
      <sheetName val="Account"/>
      <sheetName val="본부별팀별9911"/>
      <sheetName val="R&amp;D"/>
      <sheetName val="91"/>
      <sheetName val="생산_P"/>
      <sheetName val="Bid_Sheet"/>
      <sheetName val="이자율"/>
      <sheetName val="투자-국내2"/>
      <sheetName val="설비사양서B-1"/>
      <sheetName val="Ellesmere Port (08)"/>
      <sheetName val="++++"/>
      <sheetName val="ProcessMap 표지"/>
      <sheetName val="소요예산_x0002_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-IC Villingen GG"/>
      <sheetName val="GB_IC Villingen GG"/>
      <sheetName val="CAUDIT"/>
      <sheetName val="주행"/>
      <sheetName val="외주현황.wq1"/>
      <sheetName val="입력"/>
      <sheetName val="검기갑지"/>
      <sheetName val="#REF"/>
      <sheetName val="추이도"/>
      <sheetName val="구동"/>
      <sheetName val="2.대외공문"/>
      <sheetName val="WEIGHT"/>
      <sheetName val="집계"/>
      <sheetName val="실적 및 계획"/>
      <sheetName val="M1master"/>
      <sheetName val="5.WIRE적용LIST"/>
      <sheetName val="ML"/>
      <sheetName val="Account"/>
      <sheetName val="본부별팀별9911"/>
      <sheetName val="1.General"/>
      <sheetName val="2.Suplr Data"/>
      <sheetName val="Countries"/>
      <sheetName val="가격표"/>
      <sheetName val="JT3.0견적-구1"/>
      <sheetName val="RESN_SUM"/>
      <sheetName val="Actions"/>
      <sheetName val="GG08"/>
      <sheetName val="OEM "/>
      <sheetName val="Ellesmere Port (08)"/>
      <sheetName val="DATA"/>
      <sheetName val="금형비"/>
      <sheetName val="월생산"/>
      <sheetName val="작업제품군"/>
      <sheetName val="차종"/>
      <sheetName val="환율"/>
      <sheetName val="사용자코드1"/>
      <sheetName val="사용자코드2"/>
      <sheetName val="제품"/>
      <sheetName val="매출성격"/>
      <sheetName val="지역"/>
      <sheetName val="생산_P"/>
      <sheetName val="LX3.0 RR"/>
      <sheetName val="KMO"/>
      <sheetName val="협조전"/>
      <sheetName val="현금경비중역"/>
      <sheetName val="표지"/>
      <sheetName val="기안"/>
      <sheetName val="a14실"/>
      <sheetName val="R&amp;D"/>
      <sheetName val="●현황"/>
      <sheetName val="수리결과"/>
      <sheetName val="명단"/>
      <sheetName val="PC%계산"/>
      <sheetName val="CD-실적"/>
      <sheetName val="직원신상"/>
      <sheetName val="입하이력"/>
      <sheetName val="정미시간"/>
      <sheetName val="PROCEDURE LIST"/>
      <sheetName val="KNOB"/>
      <sheetName val="진행 DATA (2)"/>
      <sheetName val="불량현상별END"/>
      <sheetName val="126.255"/>
      <sheetName val="제품원재"/>
      <sheetName val="작성양식"/>
      <sheetName val="GB-IC_Villingen_GG"/>
      <sheetName val="GB_IC_Villingen_GG"/>
      <sheetName val="외주현황_wq1"/>
      <sheetName val="OEM_"/>
      <sheetName val="2_대외공문"/>
      <sheetName val="12-30"/>
      <sheetName val="현금흐름표"/>
      <sheetName val="Sheet1"/>
      <sheetName val="샤시2"/>
      <sheetName val="광주"/>
      <sheetName val="6월수불"/>
      <sheetName val="3620SE"/>
      <sheetName val="채권"/>
      <sheetName val="실적_및_계획"/>
      <sheetName val="LEASE4"/>
      <sheetName val="MASTER"/>
      <sheetName val="수입"/>
      <sheetName val="업종별"/>
      <sheetName val="Bid_Sheet"/>
      <sheetName val="공정능력외경"/>
      <sheetName val="2012년 APQP 년간 계획"/>
      <sheetName val="제품코드"/>
      <sheetName val="COND"/>
      <sheetName val="재료율"/>
      <sheetName val="PP%계산"/>
      <sheetName val="신규DEP"/>
      <sheetName val="계산"/>
      <sheetName val="선반OPT"/>
      <sheetName val="RD제품개발투자비(매가)"/>
      <sheetName val="9904주부식"/>
      <sheetName val="보고"/>
      <sheetName val="설비사양서B-1"/>
      <sheetName val="투자-국내2"/>
      <sheetName val="이자율"/>
      <sheetName val="현재"/>
      <sheetName val="094_APP別"/>
      <sheetName val="01_SW"/>
      <sheetName val="OPT손익 내수"/>
      <sheetName val="OPT손익 수출"/>
      <sheetName val="작업표준"/>
      <sheetName val="等価CP"/>
      <sheetName val="ﾀｲﾔCP"/>
      <sheetName val="050218"/>
      <sheetName val="LP부품 용기 승인 Process"/>
      <sheetName val="GRACE"/>
      <sheetName val="96"/>
      <sheetName val="SM-NEW"/>
      <sheetName val="▶메카"/>
      <sheetName val="재질단가"/>
      <sheetName val="공통"/>
      <sheetName val="Sheet2"/>
      <sheetName val="FACT.B"/>
      <sheetName val="BOM 5-5-99 SEMIAUTO"/>
      <sheetName val="GRUN.FRT"/>
      <sheetName val="CF"/>
      <sheetName val="기초자료입력"/>
      <sheetName val="효율계획(당월)"/>
      <sheetName val="전체실적"/>
      <sheetName val="생산전망"/>
      <sheetName val="HP1AMLIST"/>
      <sheetName val="조치사항"/>
      <sheetName val="GRP"/>
      <sheetName val="발생장소"/>
      <sheetName val="문제유형"/>
      <sheetName val="VDR"/>
      <sheetName val="Pc1%계산"/>
      <sheetName val="재료비"/>
      <sheetName val="발주서"/>
      <sheetName val="종합"/>
      <sheetName val="Open"/>
      <sheetName val="1"/>
      <sheetName val="PAN"/>
      <sheetName val="장적산출"/>
      <sheetName val="검사협정서"/>
      <sheetName val="교육계획"/>
      <sheetName val="FUEL FILLER"/>
      <sheetName val="14.1부"/>
      <sheetName val="2002년판매실적"/>
      <sheetName val="RES"/>
      <sheetName val="차종별"/>
      <sheetName val="지점명"/>
      <sheetName val="인원"/>
      <sheetName val="Config"/>
      <sheetName val="상세(독일)"/>
      <sheetName val="수출가격"/>
      <sheetName val="PRESS"/>
      <sheetName val="BRAKE"/>
      <sheetName val="일일생산계획"/>
      <sheetName val="신규표지"/>
      <sheetName val="RP변환코드"/>
      <sheetName val="실행계획"/>
      <sheetName val="PC%계산DWMC"/>
      <sheetName val="VT원단위"/>
      <sheetName val="B053 (990701)공정실적PP%계산"/>
      <sheetName val="125PIECE"/>
      <sheetName val="5_WIRE적용LIST"/>
      <sheetName val="누계"/>
      <sheetName val="당월"/>
      <sheetName val="익월"/>
      <sheetName val="B053 (990701)공정능력PC%계산"/>
      <sheetName val="A-100전제"/>
      <sheetName val="Sheet13"/>
      <sheetName val="Pareto"/>
      <sheetName val="IP지급공수"/>
      <sheetName val="재료비집계표"/>
      <sheetName val="공정능력계산(외경)"/>
      <sheetName val="업무분장"/>
      <sheetName val="카메라"/>
      <sheetName val="초도발주서"/>
      <sheetName val="품의양"/>
      <sheetName val="MC&amp;다변화"/>
      <sheetName val="Parametres"/>
      <sheetName val="양식"/>
      <sheetName val="S50 "/>
      <sheetName val="engline"/>
      <sheetName val="초등학교내역서"/>
      <sheetName val="ASSETS"/>
      <sheetName val="Sc"/>
      <sheetName val="SO416"/>
      <sheetName val="용기 SIZE"/>
      <sheetName val="LJM"/>
      <sheetName val="CP"/>
      <sheetName val="Control"/>
      <sheetName val="AA"/>
      <sheetName val="MexiqueVentes97"/>
      <sheetName val="4DR"/>
      <sheetName val="28.8부"/>
      <sheetName val="09 sales"/>
      <sheetName val="노동부"/>
      <sheetName val="ISRDATA"/>
      <sheetName val="settings"/>
      <sheetName val="FMEAPRO3"/>
      <sheetName val="BAU"/>
      <sheetName val="54813M2001"/>
      <sheetName val="TEMP TORQUE"/>
      <sheetName val="기초DATA"/>
      <sheetName val="확정실적"/>
      <sheetName val="1부생산계획"/>
      <sheetName val="䠜품"/>
      <sheetName val="2. YF E.O 변경 계산서"/>
      <sheetName val="이력"/>
      <sheetName val="code"/>
      <sheetName val="RECL(터키)"/>
      <sheetName val="하나로통신"/>
      <sheetName val="Ext. Stone-P"/>
      <sheetName val="부품목록"/>
      <sheetName val="W-현원가"/>
      <sheetName val="DATA(이천)"/>
      <sheetName val="Configuration"/>
      <sheetName val="JournalSummary"/>
      <sheetName val="BND"/>
      <sheetName val="99³a½A¼³AoAU°eE¹"/>
      <sheetName val="WC별인원공수"/>
      <sheetName val="V"/>
      <sheetName val="효과금액비교"/>
      <sheetName val="계정"/>
      <sheetName val="TPR"/>
      <sheetName val="TWIST"/>
      <sheetName val="AVSSX"/>
      <sheetName val="NGS4"/>
      <sheetName val=" 6VSx12 GB KAPPA 일반제어 FRONT HEA"/>
      <sheetName val="전체LIST원본"/>
      <sheetName val="금형991202"/>
      <sheetName val="2월"/>
      <sheetName val="존4"/>
      <sheetName val="v1.0"/>
      <sheetName val="조립부치수(12)"/>
      <sheetName val="가공비"/>
      <sheetName val="1.변경범위"/>
      <sheetName val="세부"/>
      <sheetName val="법인+비법인"/>
      <sheetName val="LANOS"/>
      <sheetName val="LEGANZA"/>
      <sheetName val="NUBIRA"/>
      <sheetName val="CIELO발주"/>
      <sheetName val="giathanh1"/>
      <sheetName val="LKVL-CK-HT-GD1"/>
      <sheetName val="TONGKE-HT"/>
      <sheetName val="MH(PD)"/>
      <sheetName val="CORE(PD)"/>
      <sheetName val="생산품목"/>
      <sheetName val="품의서"/>
      <sheetName val="차수"/>
      <sheetName val="경비공통"/>
      <sheetName val="96연구소인건비"/>
      <sheetName val="EXP AC CONV-MAIN"/>
      <sheetName val="Apr"/>
      <sheetName val="Time"/>
      <sheetName val="Title"/>
      <sheetName val="주물"/>
      <sheetName val="PILOT품"/>
      <sheetName val="M96현황-동아"/>
      <sheetName val="프로젝트"/>
      <sheetName val="스틸금형"/>
      <sheetName val="82150-39000"/>
      <sheetName val="PIVOT"/>
      <sheetName val="환율반영"/>
      <sheetName val="417CPK"/>
      <sheetName val="부서별"/>
      <sheetName val="폼관조직"/>
      <sheetName val="BACKDATA"/>
      <sheetName val="980731"/>
      <sheetName val="설계내역서"/>
      <sheetName val="02년결과_VLOOK"/>
      <sheetName val="04년체제"/>
      <sheetName val="KUNGDEVI"/>
      <sheetName val="중요02월25일"/>
      <sheetName val="감독1130"/>
      <sheetName val="수입실적"/>
      <sheetName val="품의"/>
      <sheetName val="comps LFY+"/>
      <sheetName val="HDI implied"/>
      <sheetName val=" 02.금호타이어중국법인_평가모델 (20100917).x"/>
      <sheetName val="분석가정"/>
      <sheetName val="inv2"/>
      <sheetName val="조직도_99"/>
      <sheetName val="공정별공법-W.HSE-LH"/>
      <sheetName val="RS#39000비교"/>
      <sheetName val="3.3검토국"/>
      <sheetName val="JT3_0견적-구1"/>
      <sheetName val="GRUN_FRT"/>
      <sheetName val="2012년_APQP_년간_계획"/>
      <sheetName val="LX3_0_RR"/>
      <sheetName val="PROCEDURE_LIST"/>
      <sheetName val="Ellesmere_Port_(08)"/>
      <sheetName val="LP부품_용기_승인_Process"/>
      <sheetName val="3_3검토국"/>
      <sheetName val="GB-IC_Villingen_GG1"/>
      <sheetName val="GB_IC_Villingen_GG1"/>
      <sheetName val="외주현황_wq11"/>
      <sheetName val="실적_및_계획1"/>
      <sheetName val="2_대외공문1"/>
      <sheetName val="OEM_1"/>
      <sheetName val="FACT_B"/>
      <sheetName val="BOM_5-5-99_SEMIAUTO"/>
      <sheetName val="1_General"/>
      <sheetName val="2_Suplr_Data"/>
      <sheetName val="1.세부비교원가(내수)"/>
      <sheetName val="수출"/>
      <sheetName val="PPK"/>
      <sheetName val="PARAM"/>
      <sheetName val="DAT(목표)"/>
      <sheetName val="DIY지원"/>
      <sheetName val="LL"/>
      <sheetName val="총괄표"/>
      <sheetName val="Production Plan1"/>
      <sheetName val="CPK"/>
      <sheetName val="●목차"/>
      <sheetName val="비용명세1"/>
      <sheetName val="SPPLCPAN"/>
      <sheetName val="공정능력계산"/>
      <sheetName val="진천"/>
      <sheetName val="p2-1"/>
      <sheetName val="OLD"/>
      <sheetName val="CFLOW"/>
      <sheetName val="ysbcs3"/>
      <sheetName val="금형"/>
      <sheetName val="기구부품개발비"/>
      <sheetName val="인쇄물"/>
      <sheetName val="규격비"/>
      <sheetName val="Mock-Up"/>
      <sheetName val="PCB"/>
      <sheetName val="MEMORY"/>
      <sheetName val="분리멀티형"/>
      <sheetName val="낙찰가비교"/>
      <sheetName val="필라튜브"/>
      <sheetName val="내역서"/>
      <sheetName val="Summary"/>
      <sheetName val="B"/>
      <sheetName val="4-6.PS STRIKER 공정개선"/>
      <sheetName val="물류 인원절감"/>
      <sheetName val="PS SIDE OTR INR 공정개선 상세"/>
      <sheetName val="4-12. 박스 변경"/>
      <sheetName val="4-7.재료비 절감"/>
      <sheetName val="SL SIDE INR 공정개선"/>
      <sheetName val="4-19.스트레치필름 교체"/>
      <sheetName val="4-13.지게차운영"/>
      <sheetName val="공정개선 DATA"/>
      <sheetName val="참조1"/>
      <sheetName val="PLT 일 이동량"/>
      <sheetName val="계산DATA입력"/>
      <sheetName val="DS_MBR RR Side  - PcA"/>
      <sheetName val="Tables"/>
      <sheetName val="Assets-Deprec"/>
      <sheetName val="MASTER_LIST"/>
      <sheetName val="LDC"/>
      <sheetName val="HCCE01"/>
      <sheetName val="9914"/>
      <sheetName val="현지LOCAL계획"/>
      <sheetName val="major"/>
      <sheetName val="■종합"/>
      <sheetName val="CUSH(재료비)"/>
      <sheetName val="RECL(재료비)"/>
      <sheetName val="◑금형비(구매)"/>
      <sheetName val="용접비"/>
      <sheetName val="파이프(재료비)"/>
      <sheetName val="열처리(재료비)"/>
      <sheetName val="◑금형비"/>
      <sheetName val="◑볼륨(EV)"/>
      <sheetName val="볼륨"/>
      <sheetName val="임율"/>
      <sheetName val="◑CODE"/>
      <sheetName val="◑재질단가"/>
      <sheetName val="PRESS DATA"/>
      <sheetName val="MCT6"/>
      <sheetName val="TCA"/>
      <sheetName val="자체실적1Q"/>
      <sheetName val="내수1.8GL"/>
      <sheetName val="3.일반사상"/>
      <sheetName val="Pre_test"/>
      <sheetName val="5_WIRE적용LIST1"/>
      <sheetName val="진행_DATA_(2)"/>
      <sheetName val="2__YF_E_O_변경_계산서"/>
      <sheetName val="TEMP_TORQUE"/>
      <sheetName val="09_sales"/>
      <sheetName val="126_255"/>
      <sheetName val="28_8부"/>
      <sheetName val="FUEL_FILLER"/>
      <sheetName val="14_1부"/>
      <sheetName val="B053_(990701)공정실적PP%계산"/>
      <sheetName val="B053_(990701)공정능력PC%계산"/>
      <sheetName val="OPT손익_내수"/>
      <sheetName val="OPT손익_수출"/>
      <sheetName val="용기_SIZE"/>
      <sheetName val="EXP_AC_CONV-MAIN"/>
      <sheetName val="Actual In &amp; Out"/>
      <sheetName val="Type"/>
      <sheetName val="원단위"/>
      <sheetName val="2차-PROTO-(1)"/>
      <sheetName val="YTD"/>
      <sheetName val="Bu03"/>
      <sheetName val="냉연"/>
      <sheetName val="PRESENTATION"/>
      <sheetName val="결산"/>
      <sheetName val="板金定義"/>
      <sheetName val="구성비"/>
      <sheetName val="Prs(Roll)경비_RFQ_link"/>
      <sheetName val="カチオン・コストテーブル"/>
      <sheetName val="TABLE(TK)"/>
      <sheetName val="반송불량율"/>
      <sheetName val="계열사현황종합"/>
      <sheetName val="事務所引越見積書"/>
      <sheetName val="DONNEES"/>
      <sheetName val="rap"/>
      <sheetName val="GRAPHE"/>
      <sheetName val="Langues"/>
      <sheetName val="MOTO"/>
      <sheetName val="Sheet5"/>
      <sheetName val="Sheet6 (3)"/>
      <sheetName val="상용"/>
      <sheetName val="Inventory"/>
      <sheetName val="Orders"/>
      <sheetName val="ARec"/>
      <sheetName val="DNE"/>
      <sheetName val=" Sales"/>
      <sheetName val="Download"/>
      <sheetName val="Orders Entry"/>
      <sheetName val="Prior Month Orders"/>
      <sheetName val="ACF"/>
      <sheetName val="GAS"/>
      <sheetName val="PD"/>
      <sheetName val="Volga_손익표(모델등급수정-0812).xlsx"/>
      <sheetName val="항목별"/>
      <sheetName val="list"/>
      <sheetName val="(업체)Cover"/>
      <sheetName val="full (2)"/>
      <sheetName val="전체현황"/>
      <sheetName val="11"/>
      <sheetName val="그패프"/>
      <sheetName val="CLM-MP"/>
      <sheetName val="피엘"/>
      <sheetName val="Slownik"/>
      <sheetName val="Material"/>
      <sheetName val="연계"/>
      <sheetName val="등급 유효성"/>
      <sheetName val="업무분장 "/>
      <sheetName val="MOLD FLOW"/>
      <sheetName val="1)시방서 점검시트"/>
      <sheetName val="공구기구"/>
      <sheetName val="OUTPUT"/>
      <sheetName val="UnitPrices"/>
      <sheetName val="Analysis-Others Pg 4"/>
      <sheetName val="Dep"/>
      <sheetName val="PMI TB"/>
      <sheetName val="Gen TB"/>
      <sheetName val="EsActuals"/>
      <sheetName val="O-7"/>
      <sheetName val="Checks"/>
      <sheetName val="Inputs"/>
      <sheetName val="Balance Sheet Inputs"/>
      <sheetName val="최신"/>
      <sheetName val="Volumes"/>
      <sheetName val="RDLEVLST"/>
      <sheetName val="BM_NEW2"/>
      <sheetName val="21.실내기밀添1"/>
      <sheetName val="HWL99BS"/>
      <sheetName val="2014.10"/>
      <sheetName val="D2SB 轮罩 中通道"/>
      <sheetName val="CBD Kolben"/>
      <sheetName val="71336(R)"/>
      <sheetName val="AN43"/>
      <sheetName val="현장"/>
      <sheetName val="RHN"/>
      <sheetName val="Aufträge"/>
      <sheetName val="date"/>
      <sheetName val="금형품의서"/>
      <sheetName val="91"/>
      <sheetName val="++++"/>
      <sheetName val="CNC810M"/>
      <sheetName val="------"/>
      <sheetName val="RATING"/>
      <sheetName val=" 6VSx12 GB U2 (1.4) FRONT HEAD("/>
      <sheetName val="2"/>
      <sheetName val="P.O (LOCAL)"/>
      <sheetName val="Issues List"/>
      <sheetName val="K-60 HEAD LAMP"/>
      <sheetName val="Source"/>
      <sheetName val="부하(성남)"/>
      <sheetName val="공문"/>
      <sheetName val="InspectionData"/>
      <sheetName val="지점장"/>
      <sheetName val="Setup"/>
      <sheetName val="1.2내수"/>
      <sheetName val="FOB현황"/>
      <sheetName val="KMCWD"/>
      <sheetName val="경쟁실분"/>
      <sheetName val="JANG_DOM"/>
      <sheetName val="PRO"/>
      <sheetName val="TOTAL(INJ)"/>
      <sheetName val="Resin"/>
      <sheetName val="ORIGIN"/>
      <sheetName val="Base Table"/>
      <sheetName val="D300726-1"/>
      <sheetName val="Q13"/>
      <sheetName val="Q11"/>
      <sheetName val="Q23"/>
      <sheetName val="Q12"/>
      <sheetName val="검토서"/>
      <sheetName val="Q11(자체)"/>
      <sheetName val="생산및 출하실적누계"/>
      <sheetName val="'94자산"/>
      <sheetName val="일반경비"/>
      <sheetName val="표2"/>
      <sheetName val="Validation"/>
      <sheetName val="PP%계산(단차1차)"/>
      <sheetName val="レシオ表AD"/>
      <sheetName val="総合B"/>
      <sheetName val="_94자산"/>
      <sheetName val="OCT"/>
      <sheetName val="매각단가"/>
      <sheetName val="8월차잔"/>
      <sheetName val="Table"/>
      <sheetName val="SHUNT "/>
      <sheetName val="Cover "/>
      <sheetName val="Revision"/>
      <sheetName val="Controlplan"/>
      <sheetName val="3-2.관리계획서(B)"/>
      <sheetName val="Eq. Mobilization"/>
      <sheetName val="712"/>
      <sheetName val="GK_XDBASE"/>
      <sheetName val="PS일계획"/>
      <sheetName val="MAIN WIR'G"/>
      <sheetName val="GB-IC_Villingen_GG2"/>
      <sheetName val="GB_IC_Villingen_GG2"/>
      <sheetName val="외주현황_wq12"/>
      <sheetName val="실적_및_계획2"/>
      <sheetName val="2_대외공문2"/>
      <sheetName val="OEM_2"/>
      <sheetName val="Ellesmere_Port_(08)1"/>
      <sheetName val="PROCEDURE_LIST1"/>
      <sheetName val="LX3_0_RR1"/>
      <sheetName val="JT3_0견적-구11"/>
      <sheetName val="1_General1"/>
      <sheetName val="2_Suplr_Data1"/>
      <sheetName val="2012년_APQP_년간_계획1"/>
      <sheetName val="LP부품_용기_승인_Process1"/>
      <sheetName val="BOM_5-5-99_SEMIAUTO1"/>
      <sheetName val="FACT_B1"/>
      <sheetName val="GRUN_FRT1"/>
      <sheetName val="공정별공법-W_HSE-LH"/>
      <sheetName val="3_3검토국1"/>
      <sheetName val="Balance_Sheet_Inputs"/>
      <sheetName val="S50_"/>
      <sheetName val="내수1_8GL"/>
      <sheetName val="4-6_PS_STRIKER_공정개선"/>
      <sheetName val="물류_인원절감"/>
      <sheetName val="PS_SIDE_OTR_INR_공정개선_상세"/>
      <sheetName val="4-12__박스_변경"/>
      <sheetName val="4-7_재료비_절감"/>
      <sheetName val="SL_SIDE_INR_공정개선"/>
      <sheetName val="4-19_스트레치필름_교체"/>
      <sheetName val="4-13_지게차운영"/>
      <sheetName val="공정개선_DATA"/>
      <sheetName val="PLT_일_이동량"/>
      <sheetName val="1_세부비교원가(내수)"/>
      <sheetName val="DS_MBR_RR_Side__-_PcA"/>
      <sheetName val="_6VSx12_GB_KAPPA_일반제어_FRONT_HEA"/>
      <sheetName val="v1_0"/>
      <sheetName val="MOLD_FLOW"/>
      <sheetName val="_Sales"/>
      <sheetName val="Orders_Entry"/>
      <sheetName val="Prior_Month_Orders"/>
      <sheetName val="3_일반사상"/>
      <sheetName val="1_변경범위"/>
      <sheetName val="comps_LFY+"/>
      <sheetName val="HDI_implied"/>
      <sheetName val="_02_금호타이어중국법인_평가모델_(20100917)_x"/>
      <sheetName val="Td계산기"/>
      <sheetName val="cr2000분석"/>
      <sheetName val="CASE ASM"/>
      <sheetName val="원가계산서 1"/>
      <sheetName val="원가계산서 2"/>
      <sheetName val="원가계산서 3"/>
      <sheetName val="3.SCHEDULES"/>
      <sheetName val="전산품의"/>
      <sheetName val="자재소요"/>
      <sheetName val="판매계획"/>
      <sheetName val="CVT산정"/>
      <sheetName val="KXV01"/>
      <sheetName val="매출 집계 자료_구매가"/>
      <sheetName val="유효성"/>
      <sheetName val="比모듈조립비"/>
      <sheetName val="Macro1"/>
      <sheetName val="31323-4A005(PPK)"/>
      <sheetName val="표준"/>
      <sheetName val="95제조원가"/>
      <sheetName val="변동인원"/>
      <sheetName val="xxxxxx"/>
      <sheetName val="二.POSITION.XLS"/>
      <sheetName val="품목코드"/>
      <sheetName val="항목(1)"/>
      <sheetName val="96월경계 (2)"/>
      <sheetName val="주E95711"/>
      <sheetName val="Formula SGTM List_2"/>
      <sheetName val="Formula Add items"/>
      <sheetName val="LOB"/>
      <sheetName val="A4 Vehicle Channels"/>
      <sheetName val="채산"/>
      <sheetName val="P&amp;L PP"/>
      <sheetName val="Flash-pp"/>
      <sheetName val="PY-pp"/>
      <sheetName val="MYF-pp"/>
      <sheetName val="MX628EX"/>
      <sheetName val="표지★"/>
      <sheetName val="BASE"/>
      <sheetName val="총품목현황"/>
      <sheetName val="10월"/>
      <sheetName val="BACKUP_Don't Del"/>
      <sheetName val="SECTION 3 - ASSESSMENT"/>
      <sheetName val="Linearity"/>
      <sheetName val="5_WIRE적용LIST2"/>
      <sheetName val="진행_DATA_(2)1"/>
      <sheetName val="2__YF_E_O_변경_계산서1"/>
      <sheetName val="TEMP_TORQUE1"/>
      <sheetName val="09_sales1"/>
      <sheetName val="126_2551"/>
      <sheetName val="28_8부1"/>
      <sheetName val="FUEL_FILLER1"/>
      <sheetName val="14_1부1"/>
      <sheetName val="B053_(990701)공정실적PP%계산1"/>
      <sheetName val="B053_(990701)공정능력PC%계산1"/>
      <sheetName val="OPT손익_내수1"/>
      <sheetName val="OPT손익_수출1"/>
      <sheetName val="용기_SIZE1"/>
      <sheetName val="EXP_AC_CONV-MAIN1"/>
      <sheetName val="Ext__Stone-P"/>
      <sheetName val="PRESS_DATA"/>
      <sheetName val="Actual_In_&amp;_Out"/>
      <sheetName val="21_실내기밀添1"/>
      <sheetName val="3"/>
      <sheetName val="4"/>
      <sheetName val="미결업무"/>
      <sheetName val="프래스페인트"/>
      <sheetName val="Chart of Accounts"/>
      <sheetName val="Jig&amp;설비"/>
      <sheetName val="공정불량율 현황"/>
      <sheetName val="PCB&amp;SW"/>
      <sheetName val="자재비&amp;시사출"/>
      <sheetName val="해외세목"/>
      <sheetName val="ÀÔ·Â"/>
      <sheetName val="ÁÖÇà"/>
      <sheetName val="°Ë±â°©Áö"/>
      <sheetName val="ÃßÀÌµµ"/>
      <sheetName val="¿ÜÁÖÇöÈ².wq1"/>
      <sheetName val="Áý°è"/>
      <sheetName val="½ÇÀû ¹× °èÈ¹"/>
      <sheetName val="SCS III"/>
      <sheetName val="Synthesis"/>
      <sheetName val="대외공문"/>
      <sheetName val="매출집계-RMB"/>
      <sheetName val="단가"/>
      <sheetName val="뒤차축소"/>
      <sheetName val="부표1"/>
      <sheetName val="부표2"/>
      <sheetName val="부표3"/>
      <sheetName val="부표4"/>
      <sheetName val="부표5"/>
      <sheetName val="5-1차수정"/>
      <sheetName val="AP CAP1"/>
      <sheetName val="Definitions"/>
      <sheetName val="choices"/>
      <sheetName val="GMB생산계획_실적"/>
      <sheetName val="일일납품실적"/>
      <sheetName val="CAPA"/>
      <sheetName val="일일생산계획_실적"/>
      <sheetName val="불량현황 BJ #24"/>
      <sheetName val="이름정의"/>
      <sheetName val="형번별일일계획수량"/>
      <sheetName val="일일생산매출계획_실적"/>
      <sheetName val="현황"/>
      <sheetName val="공수"/>
      <sheetName val="품-고객품질(데이타) "/>
      <sheetName val="금장산업"/>
      <sheetName val="도원"/>
      <sheetName val="부흥"/>
      <sheetName val="영신정밀"/>
      <sheetName val="영화정공"/>
      <sheetName val="인재"/>
      <sheetName val="진테크"/>
      <sheetName val="MDH"/>
      <sheetName val="기타"/>
      <sheetName val="지그"/>
      <sheetName val="지그 사진"/>
      <sheetName val="5"/>
      <sheetName val="6"/>
      <sheetName val="7"/>
      <sheetName val="8"/>
      <sheetName val="부품"/>
      <sheetName val="P1"/>
      <sheetName val="P2"/>
      <sheetName val="P3"/>
      <sheetName val="P4"/>
      <sheetName val="P5"/>
      <sheetName val="P6"/>
      <sheetName val="P7"/>
      <sheetName val="P8"/>
      <sheetName val="P9"/>
      <sheetName val="9"/>
      <sheetName val="10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2"/>
      <sheetName val="33"/>
      <sheetName val="금형 사진"/>
      <sheetName val="T1"/>
      <sheetName val="T2"/>
      <sheetName val="T3"/>
      <sheetName val="T4"/>
      <sheetName val="25"/>
      <sheetName val="30"/>
      <sheetName val="31"/>
      <sheetName val="34"/>
      <sheetName val="36"/>
      <sheetName val="37"/>
      <sheetName val="38"/>
      <sheetName val="39"/>
      <sheetName val="CPK2"/>
      <sheetName val="추가예산"/>
      <sheetName val="RR저항Cp"/>
      <sheetName val="MPL 技連"/>
      <sheetName val="342E BLOCK"/>
      <sheetName val="p0"/>
      <sheetName val="_02_________________20100917__2"/>
      <sheetName val="OT"/>
      <sheetName val="5.WIREÀû¿ëLIST"/>
      <sheetName val="2.´ë¿Ü°ø¹®"/>
      <sheetName val="°¡°ÝÇ¥"/>
      <sheetName val="¿ù»ý»ê"/>
      <sheetName val="»ý»ê_P"/>
      <sheetName val="±ÝÇüºñ"/>
      <sheetName val="º»ºÎº°ÆÀº°9911"/>
      <sheetName val="±¸µ¿"/>
      <sheetName val="±â¾È"/>
      <sheetName val="ÇùÁ¶Àü"/>
      <sheetName val="ÀÛ¾÷Á¦Ç°±º"/>
      <sheetName val="Â÷Á¾"/>
      <sheetName val="È¯À²"/>
      <sheetName val="»ç¿ëÀÚÄÚµå1"/>
      <sheetName val="»ç¿ëÀÚÄÚµå2"/>
      <sheetName val="Á¦Ç°"/>
      <sheetName val="¸ÅÃâ¼º°Ý"/>
      <sheetName val="Áö¿ª"/>
      <sheetName val="a14½Ç"/>
      <sheetName val="PC%°è»ê"/>
      <sheetName val="¸í´Ü"/>
      <sheetName val="ÀÔÇÏÀÌ·Â"/>
      <sheetName val="Á÷¿ø½Å»ó"/>
      <sheetName val="CD-½ÇÀû"/>
      <sheetName val="¡ÜÇöÈ²"/>
      <sheetName val="Ç¥Áö"/>
      <sheetName val="Á¤¹Ì½Ã°£"/>
      <sheetName val="ÀÛ¼º¾ç½Ä"/>
      <sheetName val="¿ÜÁÖÇöÈ²_wq1"/>
      <sheetName val="2_´ë¿Ü°ø¹®"/>
      <sheetName val="6¿ù¼öºÒ"/>
      <sheetName val="ºÒ·®Çö»óº°END"/>
      <sheetName val="°øÁ¤´É·Â¿Ü°æ"/>
      <sheetName val="요구사항 분석"/>
      <sheetName val="수량"/>
      <sheetName val="SCP 4"/>
      <sheetName val="SCP 5 D2UXT"/>
      <sheetName val="SCP 6 D2UX"/>
      <sheetName val="Invest (MAC)"/>
      <sheetName val="980710"/>
      <sheetName val="LOV"/>
      <sheetName val="CompHeadernames"/>
      <sheetName val="Headernames"/>
      <sheetName val="①매출"/>
      <sheetName val="AC"/>
      <sheetName val="Lookup"/>
      <sheetName val="B (CM Details)"/>
      <sheetName val="AC (CM Details)"/>
      <sheetName val="Prior"/>
      <sheetName val="Voreinstellungen"/>
      <sheetName val="Eingabe"/>
      <sheetName val="MEAS"/>
      <sheetName val="Cap'l Input"/>
      <sheetName val="NSR"/>
      <sheetName val="삼양통상 (검사)"/>
      <sheetName val="6월"/>
      <sheetName val="DBL LPG시험"/>
      <sheetName val="Sheet16"/>
      <sheetName val="DUY"/>
      <sheetName val="Your Salary"/>
      <sheetName val="TOTAL"/>
      <sheetName val="HANH"/>
      <sheetName val="HIEU"/>
      <sheetName val="PHUNG"/>
      <sheetName val="전사집계"/>
      <sheetName val="사업부별"/>
      <sheetName val="반도체"/>
      <sheetName val="DATASHT2"/>
      <sheetName val="TONG HOP"/>
      <sheetName val="97물량"/>
      <sheetName val="98년BS"/>
      <sheetName val="잉여금"/>
      <sheetName val="사업부손익"/>
      <sheetName val="손익계산서"/>
      <sheetName val="증감내역"/>
      <sheetName val="매출채권"/>
      <sheetName val="Proce(WH)"/>
      <sheetName val="Actualizacion"/>
      <sheetName val="PART C"/>
      <sheetName val="Details"/>
      <sheetName val="Mname"/>
      <sheetName val="실행철강하도"/>
      <sheetName val="전체"/>
      <sheetName val="원가계산서"/>
      <sheetName val="일위대가"/>
      <sheetName val="입찰안"/>
      <sheetName val="defect code"/>
      <sheetName val="정규직"/>
      <sheetName val="기초자료"/>
      <sheetName val="승용STEEL"/>
      <sheetName val="Non-Current Assets"/>
      <sheetName val="부문손익"/>
      <sheetName val="DB_FG"/>
      <sheetName val="LIET KE HANG HOA"/>
      <sheetName val="DTHU-T8"/>
      <sheetName val="MQR"/>
      <sheetName val="3-ADJ"/>
      <sheetName val="링크용"/>
      <sheetName val="전체지분도"/>
      <sheetName val="RULE SA05-09"/>
      <sheetName val="顧客クレーム"/>
      <sheetName val="Entry screen"/>
      <sheetName val="Assessment matrix"/>
      <sheetName val="일반 공차표"/>
      <sheetName val="년간PSI"/>
      <sheetName val="실행VS예상"/>
      <sheetName val="summary STOCK AMT"/>
      <sheetName val="english"/>
      <sheetName val="LG-BATTERY"/>
      <sheetName val="マスタ"/>
      <sheetName val="981030"/>
      <sheetName val="경비"/>
      <sheetName val="FAB별"/>
      <sheetName val="Sale &amp; Inventory"/>
      <sheetName val="COMPLETION"/>
      <sheetName val="계산정보"/>
      <sheetName val="Assumptions"/>
      <sheetName val="상정안건"/>
      <sheetName val="ss"/>
      <sheetName val="GB-IC_Villingen_GG4"/>
      <sheetName val="GB_IC_Villingen_GG4"/>
      <sheetName val="외주현황_wq14"/>
      <sheetName val="실적_및_계획4"/>
      <sheetName val="OEM_4"/>
      <sheetName val="2_대외공문4"/>
      <sheetName val="5_WIRE적용LIST4"/>
      <sheetName val="JT3_0견적-구13"/>
      <sheetName val="Ellesmere_Port_(08)3"/>
      <sheetName val="PROCEDURE_LIST3"/>
      <sheetName val="LX3_0_RR3"/>
      <sheetName val="LP부품_용기_승인_Process3"/>
      <sheetName val="FACT_B3"/>
      <sheetName val="BOM_5-5-99_SEMIAUTO3"/>
      <sheetName val="1_General3"/>
      <sheetName val="2_Suplr_Data3"/>
      <sheetName val="진행_DATA_(2)3"/>
      <sheetName val="2__YF_E_O_변경_계산서3"/>
      <sheetName val="GRUN_FRT3"/>
      <sheetName val="2012년_APQP_년간_계획3"/>
      <sheetName val="TEMP_TORQUE3"/>
      <sheetName val="09_sales3"/>
      <sheetName val="FUEL_FILLER3"/>
      <sheetName val="126_2553"/>
      <sheetName val="28_8부3"/>
      <sheetName val="OPT손익_내수3"/>
      <sheetName val="OPT손익_수출3"/>
      <sheetName val="용기_SIZE3"/>
      <sheetName val="14_1부3"/>
      <sheetName val="B053_(990701)공정실적PP%계산3"/>
      <sheetName val="B053_(990701)공정능력PC%계산3"/>
      <sheetName val="EXP_AC_CONV-MAIN3"/>
      <sheetName val="공정별공법-W_HSE-LH2"/>
      <sheetName val="1_변경범위2"/>
      <sheetName val="comps_LFY+2"/>
      <sheetName val="HDI_implied2"/>
      <sheetName val="_02_금호타이어중국법인_평가모델_(20100917)_2"/>
      <sheetName val="3_3검토국3"/>
      <sheetName val="Ext__Stone-P2"/>
      <sheetName val="1_세부비교원가(내수)2"/>
      <sheetName val="Actual_In_&amp;_Out2"/>
      <sheetName val="DS_MBR_RR_Side__-_PcA2"/>
      <sheetName val="4-6_PS_STRIKER_공정개선2"/>
      <sheetName val="물류_인원절감2"/>
      <sheetName val="PS_SIDE_OTR_INR_공정개선_상세2"/>
      <sheetName val="4-12__박스_변경2"/>
      <sheetName val="4-7_재료비_절감2"/>
      <sheetName val="SL_SIDE_INR_공정개선2"/>
      <sheetName val="4-19_스트레치필름_교체2"/>
      <sheetName val="4-13_지게차운영2"/>
      <sheetName val="공정개선_DATA2"/>
      <sheetName val="PLT_일_이동량2"/>
      <sheetName val="PRESS_DATA2"/>
      <sheetName val="S50_2"/>
      <sheetName val="내수1_8GL2"/>
      <sheetName val="_6VSx12_GB_KAPPA_일반제어_FRONT_HE2"/>
      <sheetName val="v1_02"/>
      <sheetName val="3_일반사상2"/>
      <sheetName val="2014_101"/>
      <sheetName val="CBD_Kolben1"/>
      <sheetName val="1_2내수1"/>
      <sheetName val="Production_Plan11"/>
      <sheetName val="업무분장_1"/>
      <sheetName val="21_실내기밀添12"/>
      <sheetName val="MOLD_FLOW2"/>
      <sheetName val="Volga_손익표(모델등급수정-0812)_xlsx1"/>
      <sheetName val="1)시방서_점검시트1"/>
      <sheetName val="Balance_Sheet_Inputs2"/>
      <sheetName val="D2SB_轮罩_中通道1"/>
      <sheetName val="3_SCHEDULES1"/>
      <sheetName val="Eq__Mobilization1"/>
      <sheetName val="Cover_1"/>
      <sheetName val="3-2_관리계획서(B)1"/>
      <sheetName val="Analysis-Others_Pg_41"/>
      <sheetName val="PMI_TB1"/>
      <sheetName val="Gen_TB1"/>
      <sheetName val="Sheet6_(3)1"/>
      <sheetName val="_Sales2"/>
      <sheetName val="Orders_Entry2"/>
      <sheetName val="Prior_Month_Orders2"/>
      <sheetName val="MAIN_WIR'G1"/>
      <sheetName val="_6VSx12_GB_U2_(1_4)_FRONT_HEAD1"/>
      <sheetName val="Base_Table1"/>
      <sheetName val="생산및_출하실적누계1"/>
      <sheetName val="二_POSITION_XLS1"/>
      <sheetName val="지그_사진1"/>
      <sheetName val="금형_사진1"/>
      <sheetName val="원가계산서_11"/>
      <sheetName val="원가계산서_21"/>
      <sheetName val="원가계산서_31"/>
      <sheetName val="CASE_ASM1"/>
      <sheetName val="품-고객품질(데이타)_1"/>
      <sheetName val="GB-IC_Villingen_GG3"/>
      <sheetName val="GB_IC_Villingen_GG3"/>
      <sheetName val="외주현황_wq13"/>
      <sheetName val="실적_및_계획3"/>
      <sheetName val="OEM_3"/>
      <sheetName val="2_대외공문3"/>
      <sheetName val="5_WIRE적용LIST3"/>
      <sheetName val="JT3_0견적-구12"/>
      <sheetName val="Ellesmere_Port_(08)2"/>
      <sheetName val="PROCEDURE_LIST2"/>
      <sheetName val="LX3_0_RR2"/>
      <sheetName val="LP부품_용기_승인_Process2"/>
      <sheetName val="FACT_B2"/>
      <sheetName val="BOM_5-5-99_SEMIAUTO2"/>
      <sheetName val="1_General2"/>
      <sheetName val="2_Suplr_Data2"/>
      <sheetName val="진행_DATA_(2)2"/>
      <sheetName val="2__YF_E_O_변경_계산서2"/>
      <sheetName val="GRUN_FRT2"/>
      <sheetName val="2012년_APQP_년간_계획2"/>
      <sheetName val="TEMP_TORQUE2"/>
      <sheetName val="09_sales2"/>
      <sheetName val="FUEL_FILLER2"/>
      <sheetName val="126_2552"/>
      <sheetName val="28_8부2"/>
      <sheetName val="OPT손익_내수2"/>
      <sheetName val="OPT손익_수출2"/>
      <sheetName val="용기_SIZE2"/>
      <sheetName val="14_1부2"/>
      <sheetName val="B053_(990701)공정실적PP%계산2"/>
      <sheetName val="B053_(990701)공정능력PC%계산2"/>
      <sheetName val="EXP_AC_CONV-MAIN2"/>
      <sheetName val="공정별공법-W_HSE-LH1"/>
      <sheetName val="1_변경범위1"/>
      <sheetName val="comps_LFY+1"/>
      <sheetName val="HDI_implied1"/>
      <sheetName val="_02_금호타이어중국법인_평가모델_(20100917)_1"/>
      <sheetName val="3_3검토국2"/>
      <sheetName val="Ext__Stone-P1"/>
      <sheetName val="1_세부비교원가(내수)1"/>
      <sheetName val="Actual_In_&amp;_Out1"/>
      <sheetName val="DS_MBR_RR_Side__-_PcA1"/>
      <sheetName val="4-6_PS_STRIKER_공정개선1"/>
      <sheetName val="물류_인원절감1"/>
      <sheetName val="PS_SIDE_OTR_INR_공정개선_상세1"/>
      <sheetName val="4-12__박스_변경1"/>
      <sheetName val="4-7_재료비_절감1"/>
      <sheetName val="SL_SIDE_INR_공정개선1"/>
      <sheetName val="4-19_스트레치필름_교체1"/>
      <sheetName val="4-13_지게차운영1"/>
      <sheetName val="공정개선_DATA1"/>
      <sheetName val="PLT_일_이동량1"/>
      <sheetName val="PRESS_DATA1"/>
      <sheetName val="S50_1"/>
      <sheetName val="내수1_8GL1"/>
      <sheetName val="_6VSx12_GB_KAPPA_일반제어_FRONT_HE1"/>
      <sheetName val="v1_01"/>
      <sheetName val="3_일반사상1"/>
      <sheetName val="2014_10"/>
      <sheetName val="CBD_Kolben"/>
      <sheetName val="1_2내수"/>
      <sheetName val="Production_Plan1"/>
      <sheetName val="업무분장_"/>
      <sheetName val="21_실내기밀添11"/>
      <sheetName val="MOLD_FLOW1"/>
      <sheetName val="Volga_손익표(모델등급수정-0812)_xlsx"/>
      <sheetName val="1)시방서_점검시트"/>
      <sheetName val="Balance_Sheet_Inputs1"/>
      <sheetName val="D2SB_轮罩_中通道"/>
      <sheetName val="3_SCHEDULES"/>
      <sheetName val="Eq__Mobilization"/>
      <sheetName val="Cover_"/>
      <sheetName val="3-2_관리계획서(B)"/>
      <sheetName val="Analysis-Others_Pg_4"/>
      <sheetName val="PMI_TB"/>
      <sheetName val="Gen_TB"/>
      <sheetName val="Sheet6_(3)"/>
      <sheetName val="_Sales1"/>
      <sheetName val="Orders_Entry1"/>
      <sheetName val="Prior_Month_Orders1"/>
      <sheetName val="MAIN_WIR'G"/>
      <sheetName val="_6VSx12_GB_U2_(1_4)_FRONT_HEAD("/>
      <sheetName val="Base_Table"/>
      <sheetName val="생산및_출하실적누계"/>
      <sheetName val="二_POSITION_XLS"/>
      <sheetName val="지그_사진"/>
      <sheetName val="금형_사진"/>
      <sheetName val="원가계산서_1"/>
      <sheetName val="원가계산서_2"/>
      <sheetName val="원가계산서_3"/>
      <sheetName val="CASE_ASM"/>
      <sheetName val="품-고객품질(데이타)_"/>
      <sheetName val="SAW Load"/>
      <sheetName val="송전기본"/>
      <sheetName val="MAT"/>
      <sheetName val="보고서출력용"/>
      <sheetName val="보고서용자동매크로"/>
      <sheetName val="Value Analysis - Sheet 1"/>
      <sheetName val="윤영환"/>
      <sheetName val="총"/>
      <sheetName val="LINE 운영안"/>
      <sheetName val="전력계획"/>
      <sheetName val="R&amp;R(DATA)"/>
      <sheetName val="팀별종합"/>
      <sheetName val="열간단조자동원가계산서"/>
      <sheetName val="5kgf"/>
      <sheetName val="용연"/>
      <sheetName val="1-12월"/>
      <sheetName val="▶제조"/>
      <sheetName val="▶판매관련"/>
      <sheetName val="8월판매계획"/>
      <sheetName val="목록 "/>
      <sheetName val="월계획"/>
      <sheetName val="설비별계획대비실적 "/>
      <sheetName val="생산계획"/>
      <sheetName val="생산실적"/>
      <sheetName val="자재"/>
      <sheetName val="적정재고"/>
      <sheetName val="Sheet9"/>
      <sheetName val="주간계획"/>
      <sheetName val="주간"/>
      <sheetName val="JW"/>
      <sheetName val="Sheet3"/>
      <sheetName val="Sheet4"/>
      <sheetName val="Sheet1 (2)"/>
      <sheetName val="운임.환차손-Y"/>
      <sheetName val="PNL4 (1)"/>
      <sheetName val="양산이관승인서류_v1_14_0109.xlsx"/>
      <sheetName val="General info"/>
      <sheetName val="매출_집계_자료_구매가"/>
      <sheetName val="08"/>
      <sheetName val="공정능력평가표(1차하중)"/>
      <sheetName val="INDEX"/>
      <sheetName val="tesa micro hite"/>
      <sheetName val="AAP34507631"/>
      <sheetName val="AAP73831403"/>
      <sheetName val="ADE73429601(02)"/>
      <sheetName val="Instructions"/>
      <sheetName val="Check Retrieve"/>
      <sheetName val="본부재고"/>
      <sheetName val="Purchasing"/>
      <sheetName val="MCK68518802"/>
      <sheetName val="품번별"/>
      <sheetName val="총괄"/>
      <sheetName val="집계내역_9월"/>
      <sheetName val="차체부품 INS REPORT(갑)"/>
      <sheetName val="제조원가"/>
      <sheetName val="CBD"/>
      <sheetName val="CASTING CONDITION"/>
      <sheetName val="SALE"/>
      <sheetName val="독일GLS"/>
      <sheetName val="CARBOLINE분석"/>
      <sheetName val="Cover"/>
      <sheetName val="Panel Graphs"/>
      <sheetName val="JanSub_Plan"/>
      <sheetName val="Non-Current_Assets"/>
      <sheetName val="Panel_Graphs"/>
      <sheetName val="내역"/>
      <sheetName val="1_Support"/>
      <sheetName val="A4_Vehicle_Channels"/>
      <sheetName val="full_(2)"/>
      <sheetName val="SHUNT_"/>
      <sheetName val="B_(CM_Details)"/>
      <sheetName val="AC_(CM_Details)"/>
      <sheetName val="BACKUP_Don't_Del"/>
      <sheetName val="SECTION_3_-_ASSESSMENT"/>
      <sheetName val="PART_C"/>
      <sheetName val="NY6"/>
      <sheetName val="NY66"/>
      <sheetName val="금구류"/>
      <sheetName val="원단류"/>
      <sheetName val="산줄"/>
      <sheetName val="조립지적"/>
      <sheetName val="업무계획1"/>
      <sheetName val="X3"/>
      <sheetName val="検索条件メイク"/>
      <sheetName val="47230-87001"/>
      <sheetName val="대구"/>
      <sheetName val="울산"/>
      <sheetName val="구미"/>
      <sheetName val="언양"/>
      <sheetName val="중연"/>
      <sheetName val="Macro"/>
      <sheetName val="DASH用係数"/>
      <sheetName val="C"/>
      <sheetName val="HOU143A"/>
      <sheetName val="人员信息"/>
      <sheetName val="과제"/>
      <sheetName val="공평7"/>
      <sheetName val="공평3"/>
      <sheetName val="첨부6)CAPA분석표"/>
      <sheetName val="actual data dump"/>
      <sheetName val="시산표"/>
      <sheetName val="제조 경영"/>
      <sheetName val="판가반영"/>
      <sheetName val="YOEMAGUM"/>
      <sheetName val="제품(양W)"/>
      <sheetName val="기계장치"/>
      <sheetName val="GB-IC_Villingen_GG5"/>
      <sheetName val="GB_IC_Villingen_GG5"/>
      <sheetName val="외주현황_wq15"/>
      <sheetName val="실적_및_계획5"/>
      <sheetName val="OEM_5"/>
      <sheetName val="2_대외공문5"/>
      <sheetName val="Ellesmere_Port_(08)4"/>
      <sheetName val="5_WIRE적용LIST5"/>
      <sheetName val="JT3_0견적-구14"/>
      <sheetName val="PROCEDURE_LIST4"/>
      <sheetName val="LX3_0_RR4"/>
      <sheetName val="LP부품_용기_승인_Process4"/>
      <sheetName val="FACT_B4"/>
      <sheetName val="BOM_5-5-99_SEMIAUTO4"/>
      <sheetName val="1_General4"/>
      <sheetName val="2_Suplr_Data4"/>
      <sheetName val="진행_DATA_(2)4"/>
      <sheetName val="2__YF_E_O_변경_계산서4"/>
      <sheetName val="GRUN_FRT4"/>
      <sheetName val="2012년_APQP_년간_계획4"/>
      <sheetName val="TEMP_TORQUE4"/>
      <sheetName val="09_sales4"/>
      <sheetName val="126_2554"/>
      <sheetName val="28_8부4"/>
      <sheetName val="FUEL_FILLER4"/>
      <sheetName val="OPT손익_내수4"/>
      <sheetName val="OPT손익_수출4"/>
      <sheetName val="용기_SIZE4"/>
      <sheetName val="14_1부4"/>
      <sheetName val="B053_(990701)공정실적PP%계산4"/>
      <sheetName val="B053_(990701)공정능력PC%계산4"/>
      <sheetName val="EXP_AC_CONV-MAIN4"/>
      <sheetName val="공정별공법-W_HSE-LH3"/>
      <sheetName val="1_변경범위3"/>
      <sheetName val="comps_LFY+3"/>
      <sheetName val="HDI_implied3"/>
      <sheetName val="_02_금호타이어중국법인_평가모델_(20100917)_3"/>
      <sheetName val="3_3검토국4"/>
      <sheetName val="1_세부비교원가(내수)3"/>
      <sheetName val="Ext__Stone-P3"/>
      <sheetName val="4-6_PS_STRIKER_공정개선3"/>
      <sheetName val="물류_인원절감3"/>
      <sheetName val="PS_SIDE_OTR_INR_공정개선_상세3"/>
      <sheetName val="4-12__박스_변경3"/>
      <sheetName val="4-7_재료비_절감3"/>
      <sheetName val="SL_SIDE_INR_공정개선3"/>
      <sheetName val="4-19_스트레치필름_교체3"/>
      <sheetName val="4-13_지게차운영3"/>
      <sheetName val="공정개선_DATA3"/>
      <sheetName val="PLT_일_이동량3"/>
      <sheetName val="DS_MBR_RR_Side__-_PcA3"/>
      <sheetName val="S50_3"/>
      <sheetName val="_6VSx12_GB_KAPPA_일반제어_FRONT_HE3"/>
      <sheetName val="v1_03"/>
      <sheetName val="PRESS_DATA3"/>
      <sheetName val="내수1_8GL3"/>
      <sheetName val="Actual_In_&amp;_Out3"/>
      <sheetName val="3_일반사상3"/>
      <sheetName val="Production_Plan12"/>
      <sheetName val="2014_102"/>
      <sheetName val="CBD_Kolben2"/>
      <sheetName val="업무분장_2"/>
      <sheetName val="1_2내수2"/>
      <sheetName val="21_실내기밀添13"/>
      <sheetName val="MOLD_FLOW3"/>
      <sheetName val="Volga_손익표(모델등급수정-0812)_xlsx2"/>
      <sheetName val="1)시방서_점검시트2"/>
      <sheetName val="Balance_Sheet_Inputs3"/>
      <sheetName val="D2SB_轮罩_中通道2"/>
      <sheetName val="3_SCHEDULES2"/>
      <sheetName val="Eq__Mobilization2"/>
      <sheetName val="Cover_2"/>
      <sheetName val="3-2_관리계획서(B)2"/>
      <sheetName val="Analysis-Others_Pg_42"/>
      <sheetName val="PMI_TB2"/>
      <sheetName val="Gen_TB2"/>
      <sheetName val="Sheet6_(3)2"/>
      <sheetName val="_Sales3"/>
      <sheetName val="Orders_Entry3"/>
      <sheetName val="Prior_Month_Orders3"/>
      <sheetName val="MAIN_WIR'G2"/>
      <sheetName val="_6VSx12_GB_U2_(1_4)_FRONT_HEAD2"/>
      <sheetName val="Base_Table2"/>
      <sheetName val="생산및_출하실적누계2"/>
      <sheetName val="二_POSITION_XLS2"/>
      <sheetName val="지그_사진2"/>
      <sheetName val="금형_사진2"/>
      <sheetName val="품-고객품질(데이타)_2"/>
      <sheetName val="원가계산서_12"/>
      <sheetName val="원가계산서_22"/>
      <sheetName val="원가계산서_32"/>
      <sheetName val="CASE_ASM2"/>
      <sheetName val="AP_CAP1"/>
      <sheetName val="불량현황_BJ_#24"/>
      <sheetName val="매출_집계_자료_구매가1"/>
      <sheetName val="Cap'l_Input"/>
      <sheetName val="P&amp;L_PP"/>
      <sheetName val="DBL_LPG시험"/>
      <sheetName val="삼양통상_(검사)"/>
      <sheetName val="SAW_Load"/>
      <sheetName val="SCS_III"/>
      <sheetName val="¿ÜÁÖÇöÈ²_wq11"/>
      <sheetName val="½ÇÀû_¹×_°èÈ¹"/>
      <sheetName val="5_WIREÀû¿ëLIST"/>
      <sheetName val="2_´ë¿Ü°ø¹®1"/>
      <sheetName val="MPL_技連"/>
      <sheetName val="342E_BLOCK"/>
      <sheetName val="SCP_4"/>
      <sheetName val="SCP_5_D2UXT"/>
      <sheetName val="SCP_6_D2UX"/>
      <sheetName val="Invest_(MAC)"/>
      <sheetName val="tesa_micro_hite"/>
      <sheetName val="Value_Analysis_-_Sheet_1"/>
      <sheetName val="LINE_운영안"/>
      <sheetName val="등급_유효성"/>
      <sheetName val="Check_Retrieve"/>
      <sheetName val="General_info"/>
      <sheetName val="목록_"/>
      <sheetName val="설비별계획대비실적_"/>
      <sheetName val="Sheet1_(2)"/>
      <sheetName val="운임_환차손-Y"/>
      <sheetName val="입고DATA"/>
      <sheetName val="Segments"/>
      <sheetName val="간이연락"/>
      <sheetName val="설치공사2"/>
      <sheetName val="1-1"/>
      <sheetName val="상세 계산 내역"/>
      <sheetName val="626TD"/>
      <sheetName val="재료(확정,11월19일)"/>
      <sheetName val="공수실적"/>
      <sheetName val="수불24"/>
      <sheetName val="Resource Estimation &amp; Tracking"/>
      <sheetName val="재고증감내역"/>
      <sheetName val="당월(1)"/>
      <sheetName val="MTL(AG)"/>
      <sheetName val="유일형"/>
      <sheetName val="자금운영"/>
      <sheetName val="UNICK"/>
      <sheetName val="1-C,D"/>
      <sheetName val="Detail Inc"/>
      <sheetName val="P&amp;L"/>
      <sheetName val="Change Record"/>
      <sheetName val="8-bin"/>
      <sheetName val="Exch"/>
      <sheetName val="Forex Anal"/>
      <sheetName val="Plant Data"/>
      <sheetName val="Changes"/>
      <sheetName val="OEM-Engr-Product Data"/>
      <sheetName val="A-A"/>
      <sheetName val="09년 1월이후 완료신작"/>
      <sheetName val="▶2ND"/>
      <sheetName val="기안지"/>
      <sheetName val="국내"/>
      <sheetName val="수정시산표"/>
      <sheetName val="GTEC"/>
      <sheetName val="당좌예금"/>
      <sheetName val="시설업체주소록"/>
      <sheetName val="Calculations"/>
      <sheetName val="XGPROD"/>
      <sheetName val="BACKUP_Don't_Del1"/>
      <sheetName val="SECTION_3_-_ASSESSMENT1"/>
      <sheetName val="Non-Current_Assets1"/>
      <sheetName val="A4_Vehicle_Channels1"/>
      <sheetName val="full_(2)1"/>
      <sheetName val="PART_C1"/>
      <sheetName val="B_(CM_Details)1"/>
      <sheetName val="AC_(CM_Details)1"/>
      <sheetName val="SHUNT_1"/>
      <sheetName val="양산이관승인서류_v1_14_0109_xlsx"/>
      <sheetName val="차체부품_INS_REPORT(갑)"/>
      <sheetName val="Issues_List"/>
      <sheetName val="P_O_(LOCAL)"/>
      <sheetName val="요구사항_분석"/>
      <sheetName val="Panel_Graphs1"/>
      <sheetName val="K-60_HEAD_LAMP"/>
      <sheetName val="96월경계_(2)"/>
      <sheetName val="제조_경영"/>
      <sheetName val="Resource_Estimation_&amp;_Tracking"/>
      <sheetName val="경제성분석"/>
      <sheetName val="누TB"/>
      <sheetName val="선급비용"/>
      <sheetName val="출하현황"/>
      <sheetName val="월간"/>
      <sheetName val="대차"/>
      <sheetName val="DICTIONARY"/>
      <sheetName val="96갑지"/>
      <sheetName val="의왕F사"/>
      <sheetName val="가공사"/>
      <sheetName val="620200"/>
      <sheetName val="1.개발개요"/>
      <sheetName val="KD율"/>
      <sheetName val="user透视"/>
      <sheetName val="a01+a02透视"/>
      <sheetName val="길이별중량"/>
      <sheetName val="단중표"/>
      <sheetName val="길이별중량-1"/>
      <sheetName val="01"/>
      <sheetName val="02"/>
      <sheetName val="03"/>
      <sheetName val="04"/>
      <sheetName val="05"/>
      <sheetName val="06"/>
      <sheetName val="07"/>
      <sheetName val="09"/>
      <sheetName val="업체별작업"/>
      <sheetName val="형번작업"/>
      <sheetName val="일자별생산"/>
      <sheetName val="유해물질성적서(Cr3가)"/>
      <sheetName val="요약대차"/>
      <sheetName val="표준대차대조표(1)"/>
      <sheetName val="SP"/>
      <sheetName val="品目共通"/>
      <sheetName val="사업소계"/>
      <sheetName val="Based Data_WACC"/>
      <sheetName val="Dept Exp"/>
      <sheetName val="File_Table"/>
      <sheetName val="15产能分析"/>
      <sheetName val="94B"/>
      <sheetName val="PL_INJECTION"/>
      <sheetName val="Sheet8"/>
      <sheetName val="J"/>
      <sheetName val="com_cutWm21"/>
      <sheetName val="경비1"/>
      <sheetName val="FO-BO-ER"/>
      <sheetName val="highlight"/>
      <sheetName val="ld-sd-dt"/>
      <sheetName val="ld-sd"/>
      <sheetName val="누적실적"/>
      <sheetName val="실적"/>
      <sheetName val="누적계획"/>
      <sheetName val="계획"/>
      <sheetName val="Parameter"/>
      <sheetName val="자재중금속성적서"/>
      <sheetName val="040915"/>
      <sheetName val="개발투자비-금형비"/>
      <sheetName val="부품원가"/>
      <sheetName val="SPL"/>
      <sheetName val="SPL(Mesh)"/>
      <sheetName val="1주"/>
      <sheetName val="2주"/>
      <sheetName val="3주"/>
      <sheetName val="4주"/>
      <sheetName val="1월"/>
      <sheetName val="5330"/>
      <sheetName val="8230"/>
      <sheetName val="5330-10"/>
      <sheetName val="Adj(Actual_Summary_July)"/>
      <sheetName val="dummy"/>
      <sheetName val="CF_Current_Detail(July)"/>
      <sheetName val="Matrici Rischio"/>
      <sheetName val="9609추"/>
      <sheetName val="MTL$-INTER"/>
      <sheetName val="CAR"/>
      <sheetName val="게이지 R&amp;R (방법1)"/>
      <sheetName val="MPL_技連1"/>
      <sheetName val="342E_BLOCK1"/>
      <sheetName val="1_변경범위4"/>
      <sheetName val="S50_4"/>
      <sheetName val="업무분장_3"/>
      <sheetName val="Production_Plan13"/>
      <sheetName val="Volga_손익표(모델등급수정-0812)_xlsx3"/>
      <sheetName val="1)시방서_점검시트3"/>
      <sheetName val="Analysis-Others_Pg_43"/>
      <sheetName val="PMI_TB3"/>
      <sheetName val="Gen_TB3"/>
      <sheetName val="Sheet6_(3)3"/>
      <sheetName val="CBD_Kolben3"/>
      <sheetName val="2014_103"/>
      <sheetName val="MAIN_WIR'G3"/>
      <sheetName val="_6VSx12_GB_U2_(1_4)_FRONT_HEAD3"/>
      <sheetName val="Eq__Mobilization3"/>
      <sheetName val="CASE_ASM3"/>
      <sheetName val="원가계산서_13"/>
      <sheetName val="원가계산서_23"/>
      <sheetName val="원가계산서_33"/>
      <sheetName val="1_2내수3"/>
      <sheetName val="D2SB_轮罩_中通道3"/>
      <sheetName val="Base_Table3"/>
      <sheetName val="생산및_출하실적누계3"/>
      <sheetName val="매출_집계_자료_구매가2"/>
      <sheetName val="MPL_技連2"/>
      <sheetName val="342E_BLOCK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/>
      <sheetData sheetId="1355"/>
      <sheetData sheetId="1356"/>
      <sheetData sheetId="1357"/>
      <sheetData sheetId="1358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정검사 현황"/>
      <sheetName val="공정 부적합List "/>
      <sheetName val="공정 부적합_설비,유형별"/>
      <sheetName val="검사 LOT수"/>
      <sheetName val="설비LIST"/>
      <sheetName val="Sheet1"/>
      <sheetName val="공정검사 현황_2018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_BOQ"/>
      <sheetName val="Sheet1"/>
    </sheetNames>
    <sheetDataSet>
      <sheetData sheetId="0" refreshError="1">
        <row r="7">
          <cell r="A7">
            <v>1.02</v>
          </cell>
          <cell r="C7">
            <v>1</v>
          </cell>
          <cell r="D7" t="str">
            <v>COMMON WORKS / CÔNG TÁC CHUNG</v>
          </cell>
        </row>
        <row r="8">
          <cell r="C8">
            <v>1</v>
          </cell>
          <cell r="D8" t="str">
            <v>COMMON WORKS</v>
          </cell>
        </row>
        <row r="10">
          <cell r="C10">
            <v>1</v>
          </cell>
          <cell r="D10" t="str">
            <v>COMMON WORKS</v>
          </cell>
        </row>
        <row r="11">
          <cell r="D11" t="str">
            <v>Temporary works
Công tác tạm</v>
          </cell>
        </row>
        <row r="12">
          <cell r="A12" t="str">
            <v>BoQ_1</v>
          </cell>
          <cell r="B12">
            <v>1</v>
          </cell>
          <cell r="C12">
            <v>1</v>
          </cell>
          <cell r="D12" t="str">
            <v>Tem.p Guard Post &amp; Security rental fee</v>
          </cell>
          <cell r="F12" t="str">
            <v>CONG_TAC_CHUNG</v>
          </cell>
          <cell r="G12" t="str">
            <v>CONG_TAC_TAM</v>
          </cell>
          <cell r="H12" t="str">
            <v>Bao_ve</v>
          </cell>
          <cell r="L12" t="str">
            <v>Month</v>
          </cell>
          <cell r="M12">
            <v>3</v>
          </cell>
          <cell r="O12">
            <v>15000000</v>
          </cell>
          <cell r="P12">
            <v>0</v>
          </cell>
          <cell r="Q12">
            <v>0</v>
          </cell>
          <cell r="R12">
            <v>15300000</v>
          </cell>
          <cell r="S12">
            <v>45900000</v>
          </cell>
          <cell r="T12">
            <v>15300000</v>
          </cell>
          <cell r="U12">
            <v>45900000</v>
          </cell>
        </row>
        <row r="13">
          <cell r="D13" t="str">
            <v>Permit works / Công tác giấy phép</v>
          </cell>
        </row>
        <row r="14">
          <cell r="A14" t="str">
            <v>BoQ_2</v>
          </cell>
          <cell r="B14">
            <v>2</v>
          </cell>
          <cell r="C14">
            <v>2</v>
          </cell>
          <cell r="D14" t="str">
            <v>Water connection fee:  storm water, waste water / Thủ tục xin phép đấu nối  nước mưa, nước thải với Capella</v>
          </cell>
          <cell r="F14" t="str">
            <v>CONG_TAC_CHUNG</v>
          </cell>
          <cell r="G14" t="str">
            <v>CONG_TAC_GIAY_PHEP</v>
          </cell>
          <cell r="H14" t="str">
            <v>Dau_noi</v>
          </cell>
          <cell r="I14" t="str">
            <v>Nước thải, nước mưa</v>
          </cell>
          <cell r="L14" t="str">
            <v>Lot</v>
          </cell>
          <cell r="M14">
            <v>1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W14" t="str">
            <v>by Vinatech</v>
          </cell>
        </row>
        <row r="15">
          <cell r="A15" t="str">
            <v>BoQ_3</v>
          </cell>
          <cell r="B15">
            <v>3</v>
          </cell>
          <cell r="C15">
            <v>3</v>
          </cell>
          <cell r="D15" t="str">
            <v>Environmental Permit and acceptance / Giấy phép môi trường và nghiệm thu môi trường</v>
          </cell>
          <cell r="F15" t="str">
            <v>CONG_TAC_CHUNG</v>
          </cell>
          <cell r="G15" t="str">
            <v>CONG_TAC_GIAY_PHEP</v>
          </cell>
          <cell r="H15" t="str">
            <v>Giay_phep</v>
          </cell>
          <cell r="I15" t="str">
            <v>Môi trường</v>
          </cell>
          <cell r="L15" t="str">
            <v>Lot</v>
          </cell>
          <cell r="M15">
            <v>1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 t="str">
            <v>BoQ_4</v>
          </cell>
          <cell r="B16">
            <v>4</v>
          </cell>
          <cell r="C16">
            <v>4</v>
          </cell>
          <cell r="D16" t="str">
            <v>Design fee/ Chi phí thiết kế</v>
          </cell>
          <cell r="F16" t="str">
            <v>CONG_TAC_CHUNG</v>
          </cell>
          <cell r="G16" t="str">
            <v>CONG_TAC_GIAY_PHEP</v>
          </cell>
          <cell r="H16" t="str">
            <v>Thiet_ke</v>
          </cell>
          <cell r="I16" t="str">
            <v>Thiết kế</v>
          </cell>
          <cell r="L16" t="str">
            <v>Lot</v>
          </cell>
          <cell r="M16">
            <v>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 t="str">
            <v>BoQ_5</v>
          </cell>
          <cell r="B17">
            <v>5</v>
          </cell>
          <cell r="C17">
            <v>5</v>
          </cell>
          <cell r="D17" t="str">
            <v>Observing water  fee/ Chi phí kiểm tra, đo đạc quan trắc nước thải</v>
          </cell>
          <cell r="E17" t="str">
            <v>không bao gồm / Not included</v>
          </cell>
          <cell r="F17" t="str">
            <v>CONG_TAC_CHUNG</v>
          </cell>
          <cell r="G17" t="str">
            <v>CONG_TAC_GIAY_PHEP</v>
          </cell>
          <cell r="H17" t="str">
            <v>Kiem_tra</v>
          </cell>
          <cell r="I17" t="str">
            <v>Nước thải, nước mưa</v>
          </cell>
          <cell r="L17" t="str">
            <v>Lot</v>
          </cell>
          <cell r="M17">
            <v>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W17" t="str">
            <v>by Vinatech</v>
          </cell>
        </row>
        <row r="18">
          <cell r="A18" t="str">
            <v>BoQ_6</v>
          </cell>
          <cell r="B18">
            <v>6</v>
          </cell>
          <cell r="C18">
            <v>6</v>
          </cell>
          <cell r="D18" t="str">
            <v>Acceptance fee  / Chi phí nghiệm thu xây dựng</v>
          </cell>
          <cell r="F18" t="str">
            <v>CONG_TAC_CHUNG</v>
          </cell>
          <cell r="G18" t="str">
            <v>CONG_TAC_GIAY_PHEP</v>
          </cell>
          <cell r="H18" t="str">
            <v>Nghiem_thu</v>
          </cell>
          <cell r="I18" t="str">
            <v>Xây dựng</v>
          </cell>
          <cell r="L18" t="str">
            <v>Lot</v>
          </cell>
          <cell r="M18">
            <v>1</v>
          </cell>
          <cell r="O18">
            <v>200000000</v>
          </cell>
          <cell r="P18">
            <v>0</v>
          </cell>
          <cell r="Q18">
            <v>0</v>
          </cell>
          <cell r="R18">
            <v>204000000</v>
          </cell>
          <cell r="S18">
            <v>204000000</v>
          </cell>
          <cell r="T18">
            <v>204000000</v>
          </cell>
          <cell r="U18">
            <v>204000000</v>
          </cell>
        </row>
        <row r="19">
          <cell r="C19" t="str">
            <v>I</v>
          </cell>
          <cell r="D19" t="str">
            <v>THI CÔNG PHÁ DỠ HIỆN TRẠNG</v>
          </cell>
          <cell r="U19">
            <v>1278047146.7759998</v>
          </cell>
          <cell r="V19">
            <v>0</v>
          </cell>
        </row>
        <row r="20">
          <cell r="C20">
            <v>1</v>
          </cell>
          <cell r="D20" t="str">
            <v>THI CÔNG PHÁ DỠ NHÀ XƯỞNG+VĂN PHÒNG
DEMOLISH FACTORY+OFFICE</v>
          </cell>
        </row>
        <row r="21">
          <cell r="A21" t="str">
            <v>BoQ_7</v>
          </cell>
          <cell r="B21">
            <v>7</v>
          </cell>
          <cell r="C21">
            <v>1</v>
          </cell>
          <cell r="D21" t="str">
            <v>Tháo dỡ hệ thống cửa, khung thép bảo vệ
Dismantle the door system, protective steel frame</v>
          </cell>
          <cell r="F21" t="str">
            <v>CONG_TAC_PHA_DO_HIEN_TRANG</v>
          </cell>
          <cell r="G21" t="str">
            <v>PHA_DO_NHA_XUONG</v>
          </cell>
          <cell r="H21" t="str">
            <v>PHA_DO</v>
          </cell>
          <cell r="I21" t="str">
            <v>Cửa</v>
          </cell>
          <cell r="L21" t="str">
            <v>m2</v>
          </cell>
          <cell r="M21">
            <v>209.92000000000002</v>
          </cell>
          <cell r="O21">
            <v>25000</v>
          </cell>
          <cell r="P21">
            <v>0</v>
          </cell>
          <cell r="Q21">
            <v>0</v>
          </cell>
          <cell r="R21">
            <v>25500</v>
          </cell>
          <cell r="S21">
            <v>5352960</v>
          </cell>
          <cell r="T21">
            <v>25500</v>
          </cell>
          <cell r="U21">
            <v>5352960</v>
          </cell>
        </row>
        <row r="22">
          <cell r="A22" t="str">
            <v>BoQ_8</v>
          </cell>
          <cell r="B22">
            <v>8</v>
          </cell>
          <cell r="C22">
            <v>7</v>
          </cell>
          <cell r="D22" t="str">
            <v>Tháo dỡ hệ thống thiết bị điện gắn trần, tường
Dismantling the system of ceiling and wall mounted electrical equipment</v>
          </cell>
          <cell r="F22" t="str">
            <v>CONG_TAC_PHA_DO_HIEN_TRANG</v>
          </cell>
          <cell r="G22" t="str">
            <v>PHA_DO_NHA_XUONG</v>
          </cell>
          <cell r="H22" t="str">
            <v>PHA_DO</v>
          </cell>
          <cell r="I22" t="str">
            <v>Thiết bị điện</v>
          </cell>
          <cell r="L22" t="str">
            <v>m2</v>
          </cell>
          <cell r="M22">
            <v>6509</v>
          </cell>
          <cell r="O22">
            <v>6000</v>
          </cell>
          <cell r="P22">
            <v>0</v>
          </cell>
          <cell r="Q22">
            <v>0</v>
          </cell>
          <cell r="R22">
            <v>6120</v>
          </cell>
          <cell r="S22">
            <v>39835080</v>
          </cell>
          <cell r="T22">
            <v>6120</v>
          </cell>
          <cell r="U22">
            <v>39835080</v>
          </cell>
        </row>
        <row r="23">
          <cell r="A23" t="str">
            <v>BoQ_9</v>
          </cell>
          <cell r="B23">
            <v>9</v>
          </cell>
          <cell r="C23">
            <v>8</v>
          </cell>
          <cell r="D23" t="str">
            <v>Tháo dỡ hệ thống  PCCC
Dismantle the fire protection system</v>
          </cell>
          <cell r="F23" t="str">
            <v>CONG_TAC_PHA_DO_HIEN_TRANG</v>
          </cell>
          <cell r="G23" t="str">
            <v>PHA_DO_NHA_XUONG</v>
          </cell>
          <cell r="H23" t="str">
            <v>PHA_DO</v>
          </cell>
          <cell r="I23" t="str">
            <v>Hệ thống PCCC</v>
          </cell>
          <cell r="L23" t="str">
            <v>m2</v>
          </cell>
          <cell r="M23">
            <v>1952.6999999999998</v>
          </cell>
          <cell r="O23">
            <v>10000</v>
          </cell>
          <cell r="P23">
            <v>0</v>
          </cell>
          <cell r="Q23">
            <v>0</v>
          </cell>
          <cell r="R23">
            <v>10200</v>
          </cell>
          <cell r="S23">
            <v>19917540</v>
          </cell>
          <cell r="T23">
            <v>10200</v>
          </cell>
          <cell r="U23">
            <v>19917540</v>
          </cell>
        </row>
        <row r="24">
          <cell r="A24" t="str">
            <v>BoQ_10</v>
          </cell>
          <cell r="B24">
            <v>10</v>
          </cell>
          <cell r="C24">
            <v>9</v>
          </cell>
          <cell r="D24" t="str">
            <v>Tháo dỡ thiết bị wc, đường ống nước
Dismantling wc equipment, water pipes</v>
          </cell>
          <cell r="F24" t="str">
            <v>CONG_TAC_PHA_DO_HIEN_TRANG</v>
          </cell>
          <cell r="G24" t="str">
            <v>PHA_DO_NHA_XUONG</v>
          </cell>
          <cell r="H24" t="str">
            <v>PHA_DO</v>
          </cell>
          <cell r="I24" t="str">
            <v>ThiÊts bị vệ sinh, đường ống</v>
          </cell>
          <cell r="L24" t="str">
            <v>lot</v>
          </cell>
          <cell r="M24">
            <v>1</v>
          </cell>
          <cell r="O24">
            <v>20000000</v>
          </cell>
          <cell r="P24">
            <v>0</v>
          </cell>
          <cell r="Q24">
            <v>0</v>
          </cell>
          <cell r="R24">
            <v>20400000</v>
          </cell>
          <cell r="S24">
            <v>20400000</v>
          </cell>
          <cell r="T24">
            <v>20400000</v>
          </cell>
          <cell r="U24">
            <v>20400000</v>
          </cell>
        </row>
        <row r="25">
          <cell r="A25" t="str">
            <v>BoQ_11</v>
          </cell>
          <cell r="B25">
            <v>11</v>
          </cell>
          <cell r="C25">
            <v>10</v>
          </cell>
          <cell r="D25" t="str">
            <v>Tháo dỡ hệ thống trần thạch cao 600x600
Dismantling false ceiling system 600x600</v>
          </cell>
          <cell r="F25" t="str">
            <v>CONG_TAC_PHA_DO_HIEN_TRANG</v>
          </cell>
          <cell r="G25" t="str">
            <v>PHA_DO_NHA_XUONG</v>
          </cell>
          <cell r="H25" t="str">
            <v>PHA_DO</v>
          </cell>
          <cell r="I25" t="str">
            <v>Trần thạch cao</v>
          </cell>
          <cell r="L25" t="str">
            <v>m2</v>
          </cell>
          <cell r="M25">
            <v>6509</v>
          </cell>
          <cell r="O25">
            <v>5000</v>
          </cell>
          <cell r="P25">
            <v>0</v>
          </cell>
          <cell r="Q25">
            <v>0</v>
          </cell>
          <cell r="R25">
            <v>5100</v>
          </cell>
          <cell r="S25">
            <v>33195900</v>
          </cell>
          <cell r="T25">
            <v>5100</v>
          </cell>
          <cell r="U25">
            <v>33195900</v>
          </cell>
        </row>
        <row r="26">
          <cell r="A26" t="str">
            <v>BoQ_12</v>
          </cell>
          <cell r="B26">
            <v>12</v>
          </cell>
          <cell r="C26">
            <v>11</v>
          </cell>
          <cell r="D26" t="str">
            <v>Tháo dỡ hệ thống khung thép đỡ trần thạch cao 600x600
Dismantling the steel frame system supporting the gypsum ceiling 600x600</v>
          </cell>
          <cell r="F26" t="str">
            <v>CONG_TAC_PHA_DO_HIEN_TRANG</v>
          </cell>
          <cell r="G26" t="str">
            <v>PHA_DO_NHA_XUONG</v>
          </cell>
          <cell r="H26" t="str">
            <v>PHA_DO</v>
          </cell>
          <cell r="I26" t="str">
            <v>Khung thép đỡ trần thạch cao</v>
          </cell>
          <cell r="L26" t="str">
            <v>m2</v>
          </cell>
          <cell r="M26">
            <v>4909</v>
          </cell>
          <cell r="O26">
            <v>5000</v>
          </cell>
          <cell r="P26">
            <v>0</v>
          </cell>
          <cell r="Q26">
            <v>0</v>
          </cell>
          <cell r="R26">
            <v>5100</v>
          </cell>
          <cell r="S26">
            <v>25035900</v>
          </cell>
          <cell r="T26">
            <v>5100</v>
          </cell>
          <cell r="U26">
            <v>25035900</v>
          </cell>
        </row>
        <row r="27">
          <cell r="A27" t="str">
            <v>BoQ_13</v>
          </cell>
          <cell r="B27">
            <v>13</v>
          </cell>
          <cell r="C27">
            <v>12</v>
          </cell>
          <cell r="D27" t="str">
            <v>Tháo dỡ vách panel
Dismantling panel walls</v>
          </cell>
          <cell r="F27" t="str">
            <v>CONG_TAC_PHA_DO_HIEN_TRANG</v>
          </cell>
          <cell r="G27" t="str">
            <v>PHA_DO_NHA_XUONG</v>
          </cell>
          <cell r="H27" t="str">
            <v>PHA_DO</v>
          </cell>
          <cell r="I27" t="str">
            <v>Vách panel</v>
          </cell>
          <cell r="L27" t="str">
            <v>m2</v>
          </cell>
          <cell r="M27">
            <v>548.04000000000008</v>
          </cell>
          <cell r="O27">
            <v>17000</v>
          </cell>
          <cell r="P27">
            <v>0</v>
          </cell>
          <cell r="Q27">
            <v>0</v>
          </cell>
          <cell r="R27">
            <v>17340</v>
          </cell>
          <cell r="S27">
            <v>9503013.6000000015</v>
          </cell>
          <cell r="T27">
            <v>17340</v>
          </cell>
          <cell r="U27">
            <v>9503013.6000000015</v>
          </cell>
        </row>
        <row r="28">
          <cell r="A28" t="str">
            <v>BoQ_14</v>
          </cell>
          <cell r="B28">
            <v>14</v>
          </cell>
          <cell r="C28">
            <v>13</v>
          </cell>
          <cell r="D28" t="str">
            <v>Phá dỡ tường xây ngăn phòng 110mm
Demolition of building walls 110mm</v>
          </cell>
          <cell r="F28" t="str">
            <v>CONG_TAC_PHA_DO_HIEN_TRANG</v>
          </cell>
          <cell r="G28" t="str">
            <v>PHA_DO_NHA_XUONG</v>
          </cell>
          <cell r="H28" t="str">
            <v>PHA_DO</v>
          </cell>
          <cell r="I28" t="str">
            <v>Tường xây 110</v>
          </cell>
          <cell r="L28" t="str">
            <v>m2</v>
          </cell>
          <cell r="M28">
            <v>1186.1879999999999</v>
          </cell>
          <cell r="O28">
            <v>35000</v>
          </cell>
          <cell r="P28">
            <v>0</v>
          </cell>
          <cell r="Q28">
            <v>0</v>
          </cell>
          <cell r="R28">
            <v>35700</v>
          </cell>
          <cell r="S28">
            <v>42346911.599999994</v>
          </cell>
          <cell r="T28">
            <v>35700</v>
          </cell>
          <cell r="U28">
            <v>42346911.599999994</v>
          </cell>
        </row>
        <row r="29">
          <cell r="A29" t="str">
            <v>BoQ_15</v>
          </cell>
          <cell r="B29">
            <v>15</v>
          </cell>
          <cell r="C29">
            <v>14</v>
          </cell>
          <cell r="D29" t="str">
            <v>Phá dỡ tường xây  220
Demolition of building walls 220mm</v>
          </cell>
          <cell r="F29" t="str">
            <v>CONG_TAC_PHA_DO_HIEN_TRANG</v>
          </cell>
          <cell r="G29" t="str">
            <v>PHA_DO_NHA_XUONG</v>
          </cell>
          <cell r="H29" t="str">
            <v>PHA_DO</v>
          </cell>
          <cell r="I29" t="str">
            <v>Tường xây 220</v>
          </cell>
          <cell r="L29" t="str">
            <v>m2</v>
          </cell>
          <cell r="M29">
            <v>153.6</v>
          </cell>
          <cell r="O29">
            <v>50000</v>
          </cell>
          <cell r="P29">
            <v>0</v>
          </cell>
          <cell r="Q29">
            <v>0</v>
          </cell>
          <cell r="R29">
            <v>51000</v>
          </cell>
          <cell r="S29">
            <v>7833600</v>
          </cell>
          <cell r="T29">
            <v>51000</v>
          </cell>
          <cell r="U29">
            <v>7833600</v>
          </cell>
        </row>
        <row r="30">
          <cell r="A30" t="str">
            <v>BoQ_16</v>
          </cell>
          <cell r="B30">
            <v>16</v>
          </cell>
          <cell r="C30">
            <v>15</v>
          </cell>
          <cell r="D30" t="str">
            <v>Phá dỡ đục tường bao xây  220 mở rộng cửa
Demolition and perforation of the wall, construction of 220, widening the door</v>
          </cell>
          <cell r="F30" t="str">
            <v>CONG_TAC_PHA_DO_HIEN_TRANG</v>
          </cell>
          <cell r="G30" t="str">
            <v>PHA_DO_NHA_XUONG</v>
          </cell>
          <cell r="H30" t="str">
            <v>PHA_DO</v>
          </cell>
          <cell r="I30" t="str">
            <v>Tường xây 220</v>
          </cell>
          <cell r="L30" t="str">
            <v>m2</v>
          </cell>
          <cell r="M30">
            <v>66.599999999999994</v>
          </cell>
          <cell r="O30">
            <v>50000</v>
          </cell>
          <cell r="P30">
            <v>0</v>
          </cell>
          <cell r="Q30">
            <v>0</v>
          </cell>
          <cell r="R30">
            <v>51000</v>
          </cell>
          <cell r="S30">
            <v>3396599.9999999995</v>
          </cell>
          <cell r="T30">
            <v>51000</v>
          </cell>
          <cell r="U30">
            <v>3396599.9999999995</v>
          </cell>
        </row>
        <row r="31">
          <cell r="A31" t="str">
            <v>BoQ_17</v>
          </cell>
          <cell r="B31">
            <v>17</v>
          </cell>
          <cell r="C31">
            <v>16</v>
          </cell>
          <cell r="D31" t="str">
            <v>Phá dỡ đục tường bao xây  220 lắp cửa thông gió, hút khói
Demolishing and perforating the wall, building 220, installing ventilation and smoke extraction doors</v>
          </cell>
          <cell r="F31" t="str">
            <v>CONG_TAC_PHA_DO_HIEN_TRANG</v>
          </cell>
          <cell r="G31" t="str">
            <v>PHA_DO_NHA_XUONG</v>
          </cell>
          <cell r="H31" t="str">
            <v>PHA_DO</v>
          </cell>
          <cell r="I31" t="str">
            <v>Tường xây 220</v>
          </cell>
          <cell r="L31" t="str">
            <v>Lỗ</v>
          </cell>
          <cell r="M31">
            <v>8</v>
          </cell>
          <cell r="O31">
            <v>200000</v>
          </cell>
          <cell r="P31">
            <v>0</v>
          </cell>
          <cell r="Q31">
            <v>0</v>
          </cell>
          <cell r="R31">
            <v>204000</v>
          </cell>
          <cell r="S31">
            <v>1632000</v>
          </cell>
          <cell r="T31">
            <v>204000</v>
          </cell>
          <cell r="U31">
            <v>1632000</v>
          </cell>
        </row>
        <row r="32">
          <cell r="A32" t="str">
            <v>BoQ_18</v>
          </cell>
          <cell r="B32">
            <v>18</v>
          </cell>
          <cell r="C32">
            <v>17</v>
          </cell>
          <cell r="D32" t="str">
            <v>Cắt đục tường bao xây  220 lắp ống nước âm tường
Cutting and chiseling the wall to build 220 to install wall-mounted water pipes</v>
          </cell>
          <cell r="F32" t="str">
            <v>CONG_TAC_PHA_DO_HIEN_TRANG</v>
          </cell>
          <cell r="G32" t="str">
            <v>PHA_DO_NHA_XUONG</v>
          </cell>
          <cell r="H32" t="str">
            <v>CAT_DUC</v>
          </cell>
          <cell r="I32" t="str">
            <v>Tường xây 220</v>
          </cell>
          <cell r="L32" t="str">
            <v>m</v>
          </cell>
          <cell r="M32">
            <v>175</v>
          </cell>
          <cell r="O32">
            <v>150000</v>
          </cell>
          <cell r="P32">
            <v>0</v>
          </cell>
          <cell r="Q32">
            <v>0</v>
          </cell>
          <cell r="R32">
            <v>153000</v>
          </cell>
          <cell r="S32">
            <v>26775000</v>
          </cell>
          <cell r="T32">
            <v>153000</v>
          </cell>
          <cell r="U32">
            <v>26775000</v>
          </cell>
        </row>
        <row r="33">
          <cell r="A33" t="str">
            <v>BoQ_19</v>
          </cell>
          <cell r="B33">
            <v>19</v>
          </cell>
          <cell r="C33">
            <v>18</v>
          </cell>
          <cell r="D33" t="str">
            <v>Phá dỡ nền văn phòng tầng 1,2, nền khu wc xưởng
Demolition of the toilet area</v>
          </cell>
          <cell r="F33" t="str">
            <v>CONG_TAC_PHA_DO_HIEN_TRANG</v>
          </cell>
          <cell r="G33" t="str">
            <v>PHA_DO_NHA_XUONG</v>
          </cell>
          <cell r="H33" t="str">
            <v>PHA_DO</v>
          </cell>
          <cell r="I33" t="str">
            <v>Nền nhà vệ sinh</v>
          </cell>
          <cell r="L33" t="str">
            <v>m2</v>
          </cell>
          <cell r="M33">
            <v>1663</v>
          </cell>
          <cell r="O33">
            <v>75000</v>
          </cell>
          <cell r="P33">
            <v>0</v>
          </cell>
          <cell r="Q33">
            <v>0</v>
          </cell>
          <cell r="R33">
            <v>76500</v>
          </cell>
          <cell r="S33">
            <v>127219500</v>
          </cell>
          <cell r="T33">
            <v>76500</v>
          </cell>
          <cell r="U33">
            <v>127219500</v>
          </cell>
        </row>
        <row r="34">
          <cell r="A34" t="str">
            <v>BoQ_20</v>
          </cell>
          <cell r="B34">
            <v>20</v>
          </cell>
          <cell r="C34">
            <v>19</v>
          </cell>
          <cell r="D34" t="str">
            <v>Phá dỡ gạch ốp tường khu wc các bức giữ lại tận dụng
Demolition of wall tiles in the WC area, the walls are kept and used</v>
          </cell>
          <cell r="F34" t="str">
            <v>CONG_TAC_PHA_DO_HIEN_TRANG</v>
          </cell>
          <cell r="G34" t="str">
            <v>PHA_DO_NHA_XUONG</v>
          </cell>
          <cell r="H34" t="str">
            <v>PHA_DO</v>
          </cell>
          <cell r="I34" t="str">
            <v>Gạch ốp tường</v>
          </cell>
          <cell r="L34" t="str">
            <v>m2</v>
          </cell>
          <cell r="M34">
            <v>271.00079999999997</v>
          </cell>
          <cell r="O34">
            <v>50000</v>
          </cell>
          <cell r="P34">
            <v>0</v>
          </cell>
          <cell r="Q34">
            <v>0</v>
          </cell>
          <cell r="R34">
            <v>51000</v>
          </cell>
          <cell r="S34">
            <v>13821040.799999999</v>
          </cell>
          <cell r="T34">
            <v>51000</v>
          </cell>
          <cell r="U34">
            <v>13821040.799999999</v>
          </cell>
        </row>
        <row r="35">
          <cell r="A35" t="str">
            <v>BoQ_21</v>
          </cell>
          <cell r="B35">
            <v>21</v>
          </cell>
          <cell r="C35">
            <v>20</v>
          </cell>
          <cell r="D35" t="str">
            <v>Phá dỡ cầu thang bộ
Demolition of stairs</v>
          </cell>
          <cell r="F35" t="str">
            <v>CONG_TAC_PHA_DO_HIEN_TRANG</v>
          </cell>
          <cell r="G35" t="str">
            <v>PHA_DO_NHA_XUONG</v>
          </cell>
          <cell r="H35" t="str">
            <v>PHA_DO</v>
          </cell>
          <cell r="I35" t="str">
            <v>Cầu thang</v>
          </cell>
          <cell r="L35" t="str">
            <v>lot</v>
          </cell>
          <cell r="M35">
            <v>1</v>
          </cell>
          <cell r="O35">
            <v>10000000</v>
          </cell>
          <cell r="P35">
            <v>0</v>
          </cell>
          <cell r="Q35">
            <v>0</v>
          </cell>
          <cell r="R35">
            <v>10200000</v>
          </cell>
          <cell r="S35">
            <v>10200000</v>
          </cell>
          <cell r="T35">
            <v>10200000</v>
          </cell>
          <cell r="U35">
            <v>10200000</v>
          </cell>
        </row>
        <row r="36">
          <cell r="A36" t="str">
            <v>BoQ_22</v>
          </cell>
          <cell r="B36">
            <v>22</v>
          </cell>
          <cell r="C36">
            <v>21</v>
          </cell>
          <cell r="D36" t="str">
            <v>Cắt đục bê tông sàn vị trí mở cầu thang bộ
Cutting and chiseling the concrete floor at the opening position for stairs and goods ladders</v>
          </cell>
          <cell r="F36" t="str">
            <v>CONG_TAC_PHA_DO_HIEN_TRANG</v>
          </cell>
          <cell r="G36" t="str">
            <v>PHA_DO_NHA_XUONG</v>
          </cell>
          <cell r="H36" t="str">
            <v>CAT_DUC</v>
          </cell>
          <cell r="I36" t="str">
            <v>Cầu thang</v>
          </cell>
          <cell r="L36" t="str">
            <v>lỗ</v>
          </cell>
          <cell r="M36">
            <v>1</v>
          </cell>
          <cell r="O36">
            <v>1500000</v>
          </cell>
          <cell r="P36">
            <v>0</v>
          </cell>
          <cell r="Q36">
            <v>0</v>
          </cell>
          <cell r="R36">
            <v>1530000</v>
          </cell>
          <cell r="S36">
            <v>1530000</v>
          </cell>
          <cell r="T36">
            <v>1530000</v>
          </cell>
          <cell r="U36">
            <v>1530000</v>
          </cell>
        </row>
        <row r="37">
          <cell r="A37" t="str">
            <v>BoQ_23</v>
          </cell>
          <cell r="B37">
            <v>23</v>
          </cell>
          <cell r="C37">
            <v>22</v>
          </cell>
          <cell r="D37" t="str">
            <v>Cắt tạo lỗ, rãnh thu nước khu bếp
Drill hole, water trench for kitchen</v>
          </cell>
          <cell r="F37" t="str">
            <v>CONG_TAC_PHA_DO_HIEN_TRANG</v>
          </cell>
          <cell r="G37" t="str">
            <v>PHA_DO_NHA_XUONG</v>
          </cell>
          <cell r="H37" t="str">
            <v>CAT_RANH</v>
          </cell>
          <cell r="I37" t="str">
            <v>Rãnh thu nước</v>
          </cell>
          <cell r="L37" t="str">
            <v>m</v>
          </cell>
          <cell r="M37">
            <v>0</v>
          </cell>
          <cell r="O37">
            <v>650000</v>
          </cell>
          <cell r="P37">
            <v>0</v>
          </cell>
          <cell r="Q37">
            <v>0</v>
          </cell>
          <cell r="R37">
            <v>663000</v>
          </cell>
          <cell r="S37">
            <v>0</v>
          </cell>
          <cell r="T37">
            <v>663000</v>
          </cell>
          <cell r="U37">
            <v>0</v>
          </cell>
        </row>
        <row r="38">
          <cell r="A38" t="str">
            <v>BoQ_24</v>
          </cell>
          <cell r="B38">
            <v>24</v>
          </cell>
          <cell r="C38">
            <v>23</v>
          </cell>
          <cell r="D38" t="str">
            <v>Thu gom xà bần
Collecting debris</v>
          </cell>
          <cell r="F38" t="str">
            <v>CONG_TAC_PHA_DO_HIEN_TRANG</v>
          </cell>
          <cell r="G38" t="str">
            <v>PHA_DO_NHA_XUONG</v>
          </cell>
          <cell r="H38" t="str">
            <v>THU_GOM</v>
          </cell>
          <cell r="I38" t="str">
            <v>Xà bần</v>
          </cell>
          <cell r="L38" t="str">
            <v>m3</v>
          </cell>
          <cell r="M38">
            <v>1181.6220319999998</v>
          </cell>
          <cell r="O38">
            <v>300000</v>
          </cell>
          <cell r="P38">
            <v>0</v>
          </cell>
          <cell r="Q38">
            <v>0</v>
          </cell>
          <cell r="R38">
            <v>306000</v>
          </cell>
          <cell r="S38">
            <v>361576341.79199994</v>
          </cell>
          <cell r="T38">
            <v>306000</v>
          </cell>
          <cell r="U38">
            <v>361576341.79199994</v>
          </cell>
        </row>
        <row r="39">
          <cell r="A39" t="str">
            <v>BoQ_25</v>
          </cell>
          <cell r="B39">
            <v>25</v>
          </cell>
          <cell r="C39">
            <v>24</v>
          </cell>
          <cell r="D39" t="str">
            <v>Vận chuyển
Transport</v>
          </cell>
          <cell r="F39" t="str">
            <v>CONG_TAC_PHA_DO_HIEN_TRANG</v>
          </cell>
          <cell r="G39" t="str">
            <v>PHA_DO_NHA_XUONG</v>
          </cell>
          <cell r="H39" t="str">
            <v>VAN_CHUYEN</v>
          </cell>
          <cell r="I39" t="str">
            <v>Xà bần</v>
          </cell>
          <cell r="L39" t="str">
            <v>m3</v>
          </cell>
          <cell r="M39">
            <v>1181.6220319999998</v>
          </cell>
          <cell r="O39">
            <v>100000</v>
          </cell>
          <cell r="P39">
            <v>0</v>
          </cell>
          <cell r="Q39">
            <v>0</v>
          </cell>
          <cell r="R39">
            <v>102000</v>
          </cell>
          <cell r="S39">
            <v>120525447.26399997</v>
          </cell>
          <cell r="T39">
            <v>102000</v>
          </cell>
          <cell r="U39">
            <v>120525447.26399997</v>
          </cell>
        </row>
        <row r="40">
          <cell r="A40" t="str">
            <v>BoQ_26</v>
          </cell>
          <cell r="B40">
            <v>26</v>
          </cell>
          <cell r="C40">
            <v>25</v>
          </cell>
          <cell r="D40" t="str">
            <v>Giàn giáo thi công
Construction scaffolding</v>
          </cell>
          <cell r="F40" t="str">
            <v>CONG_TAC_PHA_DO_HIEN_TRANG</v>
          </cell>
          <cell r="G40" t="str">
            <v>PHA_DO_NHA_XUONG</v>
          </cell>
          <cell r="H40" t="str">
            <v>GIAN_GIAO</v>
          </cell>
          <cell r="L40" t="str">
            <v>Lot</v>
          </cell>
          <cell r="M40">
            <v>1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  <row r="41">
          <cell r="C41">
            <v>25</v>
          </cell>
          <cell r="D41" t="str">
            <v>THI CÔNG PHÁ DỠ SÀN LỬNG TRỤC 12-13;G-C 
DEMOLISH MEZZANINE FLOOR AT AXIS 12-13;G-C</v>
          </cell>
        </row>
        <row r="42">
          <cell r="A42" t="str">
            <v>BoQ_27</v>
          </cell>
          <cell r="B42">
            <v>27</v>
          </cell>
          <cell r="C42">
            <v>26</v>
          </cell>
          <cell r="D42" t="str">
            <v>Tháo dỡ lan can, cầu thang
Dismantling railings, stairs</v>
          </cell>
          <cell r="F42" t="str">
            <v>CONG_TAC_PHA_DO_HIEN_TRANG</v>
          </cell>
          <cell r="G42" t="str">
            <v>PHA_DO_TANG_LUNG</v>
          </cell>
          <cell r="H42" t="str">
            <v>THAO_DO</v>
          </cell>
          <cell r="I42" t="str">
            <v>Lan can</v>
          </cell>
          <cell r="L42" t="str">
            <v>lot</v>
          </cell>
          <cell r="M42">
            <v>1</v>
          </cell>
          <cell r="O42">
            <v>5000000</v>
          </cell>
          <cell r="P42">
            <v>0</v>
          </cell>
          <cell r="Q42">
            <v>0</v>
          </cell>
          <cell r="R42">
            <v>5100000</v>
          </cell>
          <cell r="S42">
            <v>5100000</v>
          </cell>
          <cell r="T42">
            <v>5100000</v>
          </cell>
          <cell r="U42">
            <v>5100000</v>
          </cell>
        </row>
        <row r="43">
          <cell r="A43" t="str">
            <v>BoQ_28</v>
          </cell>
          <cell r="B43">
            <v>28</v>
          </cell>
          <cell r="C43">
            <v>27</v>
          </cell>
          <cell r="D43" t="str">
            <v>Tháo dỡ thép tấm chải sàn
Dismantling the brushed steel plate</v>
          </cell>
          <cell r="F43" t="str">
            <v>CONG_TAC_PHA_DO_HIEN_TRANG</v>
          </cell>
          <cell r="G43" t="str">
            <v>PHA_DO_TANG_LUNG</v>
          </cell>
          <cell r="H43" t="str">
            <v>THAO_DO</v>
          </cell>
          <cell r="I43" t="str">
            <v>Tấm trải nền</v>
          </cell>
          <cell r="L43" t="str">
            <v>m2</v>
          </cell>
          <cell r="M43">
            <v>464</v>
          </cell>
          <cell r="O43">
            <v>50000</v>
          </cell>
          <cell r="P43">
            <v>0</v>
          </cell>
          <cell r="Q43">
            <v>0</v>
          </cell>
          <cell r="R43">
            <v>51000</v>
          </cell>
          <cell r="S43">
            <v>23664000</v>
          </cell>
          <cell r="T43">
            <v>51000</v>
          </cell>
          <cell r="U43">
            <v>23664000</v>
          </cell>
        </row>
        <row r="44">
          <cell r="A44" t="str">
            <v>BoQ_29</v>
          </cell>
          <cell r="B44">
            <v>29</v>
          </cell>
          <cell r="C44">
            <v>28</v>
          </cell>
          <cell r="D44" t="str">
            <v>Tháo dỡ hệ khung cột, dầm  đỡ sàn lửng
Dismantling the column frame system, mezzanine floor support beams</v>
          </cell>
          <cell r="F44" t="str">
            <v>CONG_TAC_PHA_DO_HIEN_TRANG</v>
          </cell>
          <cell r="G44" t="str">
            <v>PHA_DO_TANG_LUNG</v>
          </cell>
          <cell r="H44" t="str">
            <v>THAO_DO</v>
          </cell>
          <cell r="L44" t="str">
            <v>m2</v>
          </cell>
          <cell r="M44">
            <v>464</v>
          </cell>
          <cell r="O44">
            <v>50000</v>
          </cell>
          <cell r="P44">
            <v>0</v>
          </cell>
          <cell r="Q44">
            <v>0</v>
          </cell>
          <cell r="R44">
            <v>51000</v>
          </cell>
          <cell r="S44">
            <v>23664000</v>
          </cell>
          <cell r="T44">
            <v>51000</v>
          </cell>
          <cell r="U44">
            <v>23664000</v>
          </cell>
        </row>
        <row r="45">
          <cell r="A45" t="str">
            <v>BoQ_30</v>
          </cell>
          <cell r="B45">
            <v>30</v>
          </cell>
          <cell r="C45">
            <v>29</v>
          </cell>
          <cell r="D45" t="str">
            <v>Thu gom 
Collecting</v>
          </cell>
          <cell r="F45" t="str">
            <v>CONG_TAC_PHA_DO_HIEN_TRANG</v>
          </cell>
          <cell r="G45" t="str">
            <v>PHA_DO_TANG_LUNG</v>
          </cell>
          <cell r="H45" t="str">
            <v>THU_GOM</v>
          </cell>
          <cell r="L45" t="str">
            <v>lot</v>
          </cell>
          <cell r="M45">
            <v>1</v>
          </cell>
          <cell r="O45">
            <v>5000000</v>
          </cell>
          <cell r="P45">
            <v>0</v>
          </cell>
          <cell r="Q45">
            <v>0</v>
          </cell>
          <cell r="R45">
            <v>5100000</v>
          </cell>
          <cell r="S45">
            <v>5100000</v>
          </cell>
          <cell r="T45">
            <v>5100000</v>
          </cell>
          <cell r="U45">
            <v>5100000</v>
          </cell>
        </row>
        <row r="46">
          <cell r="A46" t="str">
            <v>BoQ_31</v>
          </cell>
          <cell r="B46">
            <v>31</v>
          </cell>
          <cell r="C46">
            <v>30</v>
          </cell>
          <cell r="D46" t="str">
            <v>Vận chuyển
Transport</v>
          </cell>
          <cell r="F46" t="str">
            <v>CONG_TAC_PHA_DO_HIEN_TRANG</v>
          </cell>
          <cell r="G46" t="str">
            <v>PHA_DO_TANG_LUNG</v>
          </cell>
          <cell r="H46" t="str">
            <v>VAN_CHUYEN</v>
          </cell>
          <cell r="L46" t="str">
            <v>lot</v>
          </cell>
          <cell r="M46">
            <v>1</v>
          </cell>
          <cell r="O46">
            <v>2500000</v>
          </cell>
          <cell r="P46">
            <v>0</v>
          </cell>
          <cell r="Q46">
            <v>0</v>
          </cell>
          <cell r="R46">
            <v>2550000</v>
          </cell>
          <cell r="S46">
            <v>2550000</v>
          </cell>
          <cell r="T46">
            <v>2550000</v>
          </cell>
          <cell r="U46">
            <v>2550000</v>
          </cell>
        </row>
        <row r="47">
          <cell r="C47">
            <v>31</v>
          </cell>
          <cell r="D47" t="str">
            <v>THI CÔNG PHÁ DỠ KHO TRỤC 12-14;A-C 
DEMOLISH STORAGE AT AXIS 12-14;A-C</v>
          </cell>
        </row>
        <row r="48">
          <cell r="A48" t="str">
            <v>BoQ_32</v>
          </cell>
          <cell r="B48">
            <v>32</v>
          </cell>
          <cell r="C48">
            <v>32</v>
          </cell>
          <cell r="D48" t="str">
            <v>Tháo dỡ hệ thống thiết bị điện gắn trần, tường
Dismantling the system of ceiling and wall mounted electrical equipment</v>
          </cell>
          <cell r="F48" t="str">
            <v>CONG_TAC_PHA_DO_HIEN_TRANG</v>
          </cell>
          <cell r="G48" t="str">
            <v>PHA_DO_KHO</v>
          </cell>
          <cell r="L48" t="str">
            <v>lot</v>
          </cell>
          <cell r="M48">
            <v>1</v>
          </cell>
          <cell r="O48">
            <v>15000000</v>
          </cell>
          <cell r="P48">
            <v>0</v>
          </cell>
          <cell r="Q48">
            <v>0</v>
          </cell>
          <cell r="R48">
            <v>15300000</v>
          </cell>
          <cell r="S48">
            <v>15300000</v>
          </cell>
          <cell r="T48">
            <v>15300000</v>
          </cell>
          <cell r="U48">
            <v>15300000</v>
          </cell>
        </row>
        <row r="49">
          <cell r="A49" t="str">
            <v>BoQ_33</v>
          </cell>
          <cell r="B49">
            <v>33</v>
          </cell>
          <cell r="C49">
            <v>33</v>
          </cell>
          <cell r="D49" t="str">
            <v>Tháo dỡ mái tôn
Dismantling the corrugated iron roof</v>
          </cell>
          <cell r="F49" t="str">
            <v>CONG_TAC_PHA_DO_HIEN_TRANG</v>
          </cell>
          <cell r="G49" t="str">
            <v>PHA_DO_KHO</v>
          </cell>
          <cell r="L49" t="str">
            <v>m2</v>
          </cell>
          <cell r="M49">
            <v>320</v>
          </cell>
          <cell r="O49">
            <v>25000</v>
          </cell>
          <cell r="P49">
            <v>0</v>
          </cell>
          <cell r="Q49">
            <v>0</v>
          </cell>
          <cell r="R49">
            <v>25500</v>
          </cell>
          <cell r="S49">
            <v>8160000</v>
          </cell>
          <cell r="T49">
            <v>25500</v>
          </cell>
          <cell r="U49">
            <v>8160000</v>
          </cell>
        </row>
        <row r="50">
          <cell r="A50" t="str">
            <v>BoQ_34</v>
          </cell>
          <cell r="B50">
            <v>34</v>
          </cell>
          <cell r="C50">
            <v>34</v>
          </cell>
          <cell r="D50" t="str">
            <v>Tháo dỡ vách tôn panel
Dismantling panel walls</v>
          </cell>
          <cell r="F50" t="str">
            <v>CONG_TAC_PHA_DO_HIEN_TRANG</v>
          </cell>
          <cell r="G50" t="str">
            <v>PHA_DO_KHO</v>
          </cell>
          <cell r="L50" t="str">
            <v>m2</v>
          </cell>
          <cell r="M50">
            <v>256</v>
          </cell>
          <cell r="O50">
            <v>17000</v>
          </cell>
          <cell r="P50">
            <v>0</v>
          </cell>
          <cell r="Q50">
            <v>0</v>
          </cell>
          <cell r="R50">
            <v>17340</v>
          </cell>
          <cell r="S50">
            <v>4439040</v>
          </cell>
          <cell r="T50">
            <v>17340</v>
          </cell>
          <cell r="U50">
            <v>4439040</v>
          </cell>
        </row>
        <row r="51">
          <cell r="A51" t="str">
            <v>BoQ_35</v>
          </cell>
          <cell r="B51">
            <v>35</v>
          </cell>
          <cell r="C51">
            <v>35</v>
          </cell>
          <cell r="D51" t="str">
            <v>Tháo dỡ xà gồ, kèo mái
Dismantle purlins, roof trusses</v>
          </cell>
          <cell r="F51" t="str">
            <v>CONG_TAC_PHA_DO_HIEN_TRANG</v>
          </cell>
          <cell r="G51" t="str">
            <v>PHA_DO_KHO</v>
          </cell>
          <cell r="L51" t="str">
            <v>m2</v>
          </cell>
          <cell r="M51">
            <v>320</v>
          </cell>
          <cell r="O51">
            <v>50000</v>
          </cell>
          <cell r="P51">
            <v>0</v>
          </cell>
          <cell r="Q51">
            <v>0</v>
          </cell>
          <cell r="R51">
            <v>51000</v>
          </cell>
          <cell r="S51">
            <v>16320000</v>
          </cell>
          <cell r="T51">
            <v>51000</v>
          </cell>
          <cell r="U51">
            <v>16320000</v>
          </cell>
        </row>
        <row r="52">
          <cell r="A52" t="str">
            <v>BoQ_36</v>
          </cell>
          <cell r="B52">
            <v>36</v>
          </cell>
          <cell r="C52">
            <v>36</v>
          </cell>
          <cell r="D52" t="str">
            <v>Phá dỡ nền bê tông
Demolition of the concrete floor</v>
          </cell>
          <cell r="F52" t="str">
            <v>CONG_TAC_PHA_DO_HIEN_TRANG</v>
          </cell>
          <cell r="G52" t="str">
            <v>PHA_DO_KHO</v>
          </cell>
          <cell r="L52" t="str">
            <v>lot</v>
          </cell>
          <cell r="M52">
            <v>1</v>
          </cell>
          <cell r="O52">
            <v>25000000</v>
          </cell>
          <cell r="P52">
            <v>0</v>
          </cell>
          <cell r="Q52">
            <v>0</v>
          </cell>
          <cell r="R52">
            <v>25500000</v>
          </cell>
          <cell r="S52">
            <v>25500000</v>
          </cell>
          <cell r="T52">
            <v>25500000</v>
          </cell>
          <cell r="U52">
            <v>25500000</v>
          </cell>
        </row>
        <row r="53">
          <cell r="A53" t="str">
            <v>BoQ_37</v>
          </cell>
          <cell r="B53">
            <v>37</v>
          </cell>
          <cell r="C53">
            <v>37</v>
          </cell>
          <cell r="D53" t="str">
            <v>Thu gom xà bần
Collecting debris</v>
          </cell>
          <cell r="F53" t="str">
            <v>CONG_TAC_PHA_DO_HIEN_TRANG</v>
          </cell>
          <cell r="G53" t="str">
            <v>PHA_DO_KHO</v>
          </cell>
          <cell r="L53" t="str">
            <v>lot</v>
          </cell>
          <cell r="M53">
            <v>1</v>
          </cell>
          <cell r="O53">
            <v>35000000</v>
          </cell>
          <cell r="P53">
            <v>0</v>
          </cell>
          <cell r="Q53">
            <v>0</v>
          </cell>
          <cell r="R53">
            <v>35700000</v>
          </cell>
          <cell r="S53">
            <v>35700000</v>
          </cell>
          <cell r="T53">
            <v>35700000</v>
          </cell>
          <cell r="U53">
            <v>35700000</v>
          </cell>
        </row>
        <row r="54">
          <cell r="A54" t="str">
            <v>BoQ_38</v>
          </cell>
          <cell r="B54">
            <v>38</v>
          </cell>
          <cell r="C54">
            <v>38</v>
          </cell>
          <cell r="D54" t="str">
            <v>Vận chuyển
Transport</v>
          </cell>
          <cell r="F54" t="str">
            <v>CONG_TAC_PHA_DO_HIEN_TRANG</v>
          </cell>
          <cell r="G54" t="str">
            <v>PHA_DO_KHO</v>
          </cell>
          <cell r="L54" t="str">
            <v>lot</v>
          </cell>
          <cell r="M54">
            <v>1</v>
          </cell>
          <cell r="O54">
            <v>15000000</v>
          </cell>
          <cell r="P54">
            <v>0</v>
          </cell>
          <cell r="Q54">
            <v>0</v>
          </cell>
          <cell r="R54">
            <v>15300000</v>
          </cell>
          <cell r="S54">
            <v>15300000</v>
          </cell>
          <cell r="T54">
            <v>15300000</v>
          </cell>
          <cell r="U54">
            <v>15300000</v>
          </cell>
        </row>
        <row r="55">
          <cell r="C55">
            <v>39</v>
          </cell>
          <cell r="D55" t="str">
            <v>THI CÔNG PHÁ DỠ KHU PHỤ TRỢ 
CONSTRUCTION OF AUXILIARY AUXILIALS</v>
          </cell>
        </row>
        <row r="56">
          <cell r="A56" t="str">
            <v>BoQ_39</v>
          </cell>
          <cell r="B56">
            <v>39</v>
          </cell>
          <cell r="C56">
            <v>40</v>
          </cell>
          <cell r="D56" t="str">
            <v>Tháo dỡ hệ thống cửa 
Dismantling the door system</v>
          </cell>
          <cell r="F56" t="str">
            <v>CONG_TAC_PHA_DO_HIEN_TRANG</v>
          </cell>
          <cell r="G56" t="str">
            <v>PHA_DO_PHU_TRO</v>
          </cell>
          <cell r="L56" t="str">
            <v>lot</v>
          </cell>
          <cell r="M56">
            <v>1</v>
          </cell>
          <cell r="O56">
            <v>2500000</v>
          </cell>
          <cell r="P56">
            <v>0</v>
          </cell>
          <cell r="Q56">
            <v>0</v>
          </cell>
          <cell r="R56">
            <v>2550000</v>
          </cell>
          <cell r="S56">
            <v>2550000</v>
          </cell>
          <cell r="T56">
            <v>2550000</v>
          </cell>
          <cell r="U56">
            <v>2550000</v>
          </cell>
        </row>
        <row r="57">
          <cell r="A57" t="str">
            <v>BoQ_40</v>
          </cell>
          <cell r="B57">
            <v>40</v>
          </cell>
          <cell r="C57">
            <v>41</v>
          </cell>
          <cell r="D57" t="str">
            <v>Tháo dỡ hệ thống thiết bị điện nước gắn trần, tường
Dismantling the system of ceiling and wall mounted electrical equipment</v>
          </cell>
          <cell r="F57" t="str">
            <v>CONG_TAC_PHA_DO_HIEN_TRANG</v>
          </cell>
          <cell r="G57" t="str">
            <v>PHA_DO_PHU_TRO</v>
          </cell>
          <cell r="L57" t="str">
            <v>lot</v>
          </cell>
          <cell r="M57">
            <v>1</v>
          </cell>
          <cell r="O57">
            <v>5000000</v>
          </cell>
          <cell r="P57">
            <v>0</v>
          </cell>
          <cell r="Q57">
            <v>0</v>
          </cell>
          <cell r="R57">
            <v>5100000</v>
          </cell>
          <cell r="S57">
            <v>5100000</v>
          </cell>
          <cell r="T57">
            <v>5100000</v>
          </cell>
          <cell r="U57">
            <v>5100000</v>
          </cell>
        </row>
        <row r="58">
          <cell r="A58" t="str">
            <v>BoQ_41</v>
          </cell>
          <cell r="B58">
            <v>41</v>
          </cell>
          <cell r="C58">
            <v>42</v>
          </cell>
          <cell r="D58" t="str">
            <v>Tháo dỡ mái tôn
Dismantling the corrugated iron roof</v>
          </cell>
          <cell r="F58" t="str">
            <v>CONG_TAC_PHA_DO_HIEN_TRANG</v>
          </cell>
          <cell r="G58" t="str">
            <v>PHA_DO_PHU_TRO</v>
          </cell>
          <cell r="L58" t="str">
            <v>m2</v>
          </cell>
          <cell r="M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A59" t="str">
            <v>BoQ_42</v>
          </cell>
          <cell r="B59">
            <v>42</v>
          </cell>
          <cell r="C59">
            <v>43</v>
          </cell>
          <cell r="D59" t="str">
            <v>Tháo dỡ xà gồ, cột kèo mái
Dismantle purlins, roof trusses</v>
          </cell>
          <cell r="F59" t="str">
            <v>CONG_TAC_PHA_DO_HIEN_TRANG</v>
          </cell>
          <cell r="G59" t="str">
            <v>PHA_DO_PHU_TRO</v>
          </cell>
          <cell r="L59" t="str">
            <v>m2</v>
          </cell>
          <cell r="M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</row>
        <row r="60">
          <cell r="A60" t="str">
            <v>BoQ_43</v>
          </cell>
          <cell r="B60">
            <v>43</v>
          </cell>
          <cell r="C60">
            <v>44</v>
          </cell>
          <cell r="D60" t="str">
            <v>Phá dỡ tường xây
Demolition of building walls</v>
          </cell>
          <cell r="F60" t="str">
            <v>CONG_TAC_PHA_DO_HIEN_TRANG</v>
          </cell>
          <cell r="G60" t="str">
            <v>PHA_DO_PHU_TRO</v>
          </cell>
          <cell r="L60" t="str">
            <v>m2</v>
          </cell>
          <cell r="M60">
            <v>101.267</v>
          </cell>
          <cell r="O60">
            <v>50000</v>
          </cell>
          <cell r="P60">
            <v>0</v>
          </cell>
          <cell r="Q60">
            <v>0</v>
          </cell>
          <cell r="R60">
            <v>51000</v>
          </cell>
          <cell r="S60">
            <v>5164617</v>
          </cell>
          <cell r="T60">
            <v>51000</v>
          </cell>
          <cell r="U60">
            <v>5164617</v>
          </cell>
        </row>
        <row r="61">
          <cell r="A61" t="str">
            <v>BoQ_44</v>
          </cell>
          <cell r="B61">
            <v>44</v>
          </cell>
          <cell r="C61">
            <v>45</v>
          </cell>
          <cell r="D61" t="str">
            <v>Phá dỡ nền bê tông
Demolition of the concrete floor</v>
          </cell>
          <cell r="F61" t="str">
            <v>CONG_TAC_PHA_DO_HIEN_TRANG</v>
          </cell>
          <cell r="G61" t="str">
            <v>PHA_DO_PHU_TRO</v>
          </cell>
          <cell r="L61" t="str">
            <v>m2</v>
          </cell>
          <cell r="M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</row>
        <row r="62">
          <cell r="A62" t="str">
            <v>BoQ_45</v>
          </cell>
          <cell r="B62">
            <v>45</v>
          </cell>
          <cell r="C62">
            <v>46</v>
          </cell>
          <cell r="D62" t="str">
            <v>Thu gom xà bần
Collecting debris</v>
          </cell>
          <cell r="F62" t="str">
            <v>CONG_TAC_PHA_DO_HIEN_TRANG</v>
          </cell>
          <cell r="G62" t="str">
            <v>PHA_DO_PHU_TRO</v>
          </cell>
          <cell r="L62" t="str">
            <v>m3</v>
          </cell>
          <cell r="M62">
            <v>22.278739999999999</v>
          </cell>
          <cell r="O62">
            <v>300000</v>
          </cell>
          <cell r="P62">
            <v>0</v>
          </cell>
          <cell r="Q62">
            <v>0</v>
          </cell>
          <cell r="R62">
            <v>306000</v>
          </cell>
          <cell r="S62">
            <v>6817294.4399999995</v>
          </cell>
          <cell r="T62">
            <v>306000</v>
          </cell>
          <cell r="U62">
            <v>6817294.4399999995</v>
          </cell>
        </row>
        <row r="63">
          <cell r="A63" t="str">
            <v>BoQ_46</v>
          </cell>
          <cell r="B63">
            <v>46</v>
          </cell>
          <cell r="C63">
            <v>47</v>
          </cell>
          <cell r="D63" t="str">
            <v>Vận chuyển
Transport</v>
          </cell>
          <cell r="F63" t="str">
            <v>CONG_TAC_PHA_DO_HIEN_TRANG</v>
          </cell>
          <cell r="G63" t="str">
            <v>PHA_DO_PHU_TRO</v>
          </cell>
          <cell r="L63" t="str">
            <v>m3</v>
          </cell>
          <cell r="M63">
            <v>22.278739999999999</v>
          </cell>
          <cell r="O63">
            <v>100000</v>
          </cell>
          <cell r="P63">
            <v>0</v>
          </cell>
          <cell r="Q63">
            <v>0</v>
          </cell>
          <cell r="R63">
            <v>102000</v>
          </cell>
          <cell r="S63">
            <v>2272431.48</v>
          </cell>
          <cell r="T63">
            <v>102000</v>
          </cell>
          <cell r="U63">
            <v>2272431.48</v>
          </cell>
        </row>
        <row r="64">
          <cell r="C64">
            <v>48</v>
          </cell>
          <cell r="D64" t="str">
            <v>THI CÔNG PHÁ DỠ NHÀ BẢO VỆ
EASY CONSTRUCTION OF PROTECTION HOUSE</v>
          </cell>
        </row>
        <row r="65">
          <cell r="A65" t="str">
            <v>BoQ_47</v>
          </cell>
          <cell r="B65">
            <v>47</v>
          </cell>
          <cell r="C65">
            <v>49</v>
          </cell>
          <cell r="D65" t="str">
            <v>Tháo dỡ hệ thống cửa 
Dismantling the door system</v>
          </cell>
          <cell r="F65" t="str">
            <v>CONG_TAC_PHA_DO_HIEN_TRANG</v>
          </cell>
          <cell r="G65" t="str">
            <v>PHA_DO_PHU_BAO_VE</v>
          </cell>
          <cell r="L65" t="str">
            <v>lot</v>
          </cell>
          <cell r="M65">
            <v>1</v>
          </cell>
          <cell r="O65">
            <v>75000</v>
          </cell>
          <cell r="P65">
            <v>0</v>
          </cell>
          <cell r="Q65">
            <v>0</v>
          </cell>
          <cell r="R65">
            <v>76500</v>
          </cell>
          <cell r="S65">
            <v>76500</v>
          </cell>
          <cell r="T65">
            <v>76500</v>
          </cell>
          <cell r="U65">
            <v>76500</v>
          </cell>
        </row>
        <row r="66">
          <cell r="A66" t="str">
            <v>BoQ_48</v>
          </cell>
          <cell r="B66">
            <v>48</v>
          </cell>
          <cell r="C66">
            <v>50</v>
          </cell>
          <cell r="D66" t="str">
            <v>Tháo dỡ hệ thống thiết bị điện nước gắn trần, tường
Dismantling the system of ceiling and wall mounted electrical equipment</v>
          </cell>
          <cell r="F66" t="str">
            <v>CONG_TAC_PHA_DO_HIEN_TRANG</v>
          </cell>
          <cell r="G66" t="str">
            <v>PHA_DO_PHU_BAO_VE</v>
          </cell>
          <cell r="L66" t="str">
            <v>lot</v>
          </cell>
          <cell r="M66">
            <v>1</v>
          </cell>
          <cell r="O66">
            <v>4500000</v>
          </cell>
          <cell r="P66">
            <v>0</v>
          </cell>
          <cell r="Q66">
            <v>0</v>
          </cell>
          <cell r="R66">
            <v>4590000</v>
          </cell>
          <cell r="S66">
            <v>4590000</v>
          </cell>
          <cell r="T66">
            <v>4590000</v>
          </cell>
          <cell r="U66">
            <v>4590000</v>
          </cell>
        </row>
        <row r="67">
          <cell r="A67" t="str">
            <v>BoQ_49</v>
          </cell>
          <cell r="B67">
            <v>49</v>
          </cell>
          <cell r="C67">
            <v>51</v>
          </cell>
          <cell r="D67" t="str">
            <v>Phá dỡ lớp vữa tường xây
Demolition of plastering layer of walls</v>
          </cell>
          <cell r="F67" t="str">
            <v>CONG_TAC_PHA_DO_HIEN_TRANG</v>
          </cell>
          <cell r="G67" t="str">
            <v>PHA_DO_PHU_BAO_VE</v>
          </cell>
          <cell r="L67" t="str">
            <v>m2</v>
          </cell>
          <cell r="M67">
            <v>140</v>
          </cell>
          <cell r="O67">
            <v>25000</v>
          </cell>
          <cell r="P67">
            <v>0</v>
          </cell>
          <cell r="Q67">
            <v>0</v>
          </cell>
          <cell r="R67">
            <v>25500</v>
          </cell>
          <cell r="S67">
            <v>3570000</v>
          </cell>
          <cell r="T67">
            <v>25500</v>
          </cell>
          <cell r="U67">
            <v>3570000</v>
          </cell>
        </row>
        <row r="68">
          <cell r="A68" t="str">
            <v>BoQ_50</v>
          </cell>
          <cell r="B68">
            <v>50</v>
          </cell>
          <cell r="C68">
            <v>52</v>
          </cell>
          <cell r="D68" t="str">
            <v>Phá dỡ kết cấu bê tông
Demolition of the concrete floor</v>
          </cell>
          <cell r="F68" t="str">
            <v>CONG_TAC_PHA_DO_HIEN_TRANG</v>
          </cell>
          <cell r="G68" t="str">
            <v>PHA_DO_PHU_BAO_VE</v>
          </cell>
          <cell r="L68" t="str">
            <v>lot</v>
          </cell>
          <cell r="M68">
            <v>1</v>
          </cell>
          <cell r="O68">
            <v>15000000</v>
          </cell>
          <cell r="P68">
            <v>0</v>
          </cell>
          <cell r="Q68">
            <v>0</v>
          </cell>
          <cell r="R68">
            <v>15300000</v>
          </cell>
          <cell r="S68">
            <v>15300000</v>
          </cell>
          <cell r="T68">
            <v>15300000</v>
          </cell>
          <cell r="U68">
            <v>15300000</v>
          </cell>
        </row>
        <row r="69">
          <cell r="A69" t="str">
            <v>BoQ_51</v>
          </cell>
          <cell r="B69">
            <v>51</v>
          </cell>
          <cell r="C69">
            <v>53</v>
          </cell>
          <cell r="D69" t="str">
            <v>Thu gom xà bần
Collecting debris</v>
          </cell>
          <cell r="F69" t="str">
            <v>CONG_TAC_PHA_DO_HIEN_TRANG</v>
          </cell>
          <cell r="G69" t="str">
            <v>PHA_DO_PHU_BAO_VE</v>
          </cell>
          <cell r="L69" t="str">
            <v>m3</v>
          </cell>
          <cell r="M69">
            <v>48.96</v>
          </cell>
          <cell r="O69">
            <v>270000</v>
          </cell>
          <cell r="P69">
            <v>0</v>
          </cell>
          <cell r="Q69">
            <v>0</v>
          </cell>
          <cell r="R69">
            <v>275400</v>
          </cell>
          <cell r="S69">
            <v>13483584</v>
          </cell>
          <cell r="T69">
            <v>275400</v>
          </cell>
          <cell r="U69">
            <v>13483584</v>
          </cell>
        </row>
        <row r="70">
          <cell r="A70" t="str">
            <v>BoQ_52</v>
          </cell>
          <cell r="B70">
            <v>52</v>
          </cell>
          <cell r="C70">
            <v>54</v>
          </cell>
          <cell r="D70" t="str">
            <v>Vận chuyển
Transport</v>
          </cell>
          <cell r="F70" t="str">
            <v>CONG_TAC_PHA_DO_HIEN_TRANG</v>
          </cell>
          <cell r="G70" t="str">
            <v>PHA_DO_PHU_BAO_VE</v>
          </cell>
          <cell r="L70" t="str">
            <v>m3</v>
          </cell>
          <cell r="M70">
            <v>48.96</v>
          </cell>
          <cell r="O70">
            <v>150000</v>
          </cell>
          <cell r="P70">
            <v>0</v>
          </cell>
          <cell r="Q70">
            <v>0</v>
          </cell>
          <cell r="R70">
            <v>153000</v>
          </cell>
          <cell r="S70">
            <v>7490880</v>
          </cell>
          <cell r="T70">
            <v>153000</v>
          </cell>
          <cell r="U70">
            <v>7490880</v>
          </cell>
        </row>
        <row r="71">
          <cell r="C71">
            <v>48</v>
          </cell>
          <cell r="D71" t="str">
            <v>THI CÔNG PHÁ DỠ NHÀ XE 
EASY CONSTRUCTION OF VEHICLES</v>
          </cell>
        </row>
        <row r="72">
          <cell r="A72" t="str">
            <v>BoQ_53</v>
          </cell>
          <cell r="B72">
            <v>53</v>
          </cell>
          <cell r="C72">
            <v>55</v>
          </cell>
          <cell r="D72" t="str">
            <v>Tháo dỡ mái tôn
Dismantling the corrugated iron roof</v>
          </cell>
          <cell r="F72" t="str">
            <v>CONG_TAC_PHA_DO_HIEN_TRANG</v>
          </cell>
          <cell r="G72" t="str">
            <v>PHA_DO_PHU_NHA_XE</v>
          </cell>
          <cell r="L72" t="str">
            <v>m2</v>
          </cell>
          <cell r="M72">
            <v>320</v>
          </cell>
          <cell r="O72">
            <v>25000</v>
          </cell>
          <cell r="P72">
            <v>0</v>
          </cell>
          <cell r="Q72">
            <v>0</v>
          </cell>
          <cell r="R72">
            <v>25500</v>
          </cell>
          <cell r="S72">
            <v>8160000</v>
          </cell>
          <cell r="T72">
            <v>25500</v>
          </cell>
          <cell r="U72">
            <v>8160000</v>
          </cell>
        </row>
        <row r="73">
          <cell r="A73" t="str">
            <v>BoQ_54</v>
          </cell>
          <cell r="B73">
            <v>54</v>
          </cell>
          <cell r="C73">
            <v>56</v>
          </cell>
          <cell r="D73" t="str">
            <v>Tháo dỡ xà gồ, cột kèo mái
Dismantle purlins, roof trusses</v>
          </cell>
          <cell r="F73" t="str">
            <v>CONG_TAC_PHA_DO_HIEN_TRANG</v>
          </cell>
          <cell r="G73" t="str">
            <v>PHA_DO_PHU_NHA_XE</v>
          </cell>
          <cell r="L73" t="str">
            <v>m2</v>
          </cell>
          <cell r="M73">
            <v>320</v>
          </cell>
          <cell r="O73">
            <v>25000</v>
          </cell>
          <cell r="P73">
            <v>0</v>
          </cell>
          <cell r="Q73">
            <v>0</v>
          </cell>
          <cell r="R73">
            <v>25500</v>
          </cell>
          <cell r="S73">
            <v>8160000</v>
          </cell>
          <cell r="T73">
            <v>25500</v>
          </cell>
          <cell r="U73">
            <v>8160000</v>
          </cell>
        </row>
        <row r="74">
          <cell r="A74" t="str">
            <v>BoQ_55</v>
          </cell>
          <cell r="B74">
            <v>55</v>
          </cell>
          <cell r="C74">
            <v>57</v>
          </cell>
          <cell r="D74" t="str">
            <v>Tháo dỡ hàng rào thép
Dismantle the steel fence</v>
          </cell>
          <cell r="F74" t="str">
            <v>CONG_TAC_PHA_DO_HIEN_TRANG</v>
          </cell>
          <cell r="G74" t="str">
            <v>PHA_DO_PHU_NHA_XE</v>
          </cell>
          <cell r="L74" t="str">
            <v>m</v>
          </cell>
          <cell r="M74">
            <v>84</v>
          </cell>
          <cell r="O74">
            <v>75000</v>
          </cell>
          <cell r="P74">
            <v>0</v>
          </cell>
          <cell r="Q74">
            <v>0</v>
          </cell>
          <cell r="R74">
            <v>76500</v>
          </cell>
          <cell r="S74">
            <v>6426000</v>
          </cell>
          <cell r="T74">
            <v>76500</v>
          </cell>
          <cell r="U74">
            <v>6426000</v>
          </cell>
        </row>
        <row r="75">
          <cell r="A75" t="str">
            <v>BoQ_56</v>
          </cell>
          <cell r="B75">
            <v>56</v>
          </cell>
          <cell r="C75">
            <v>58</v>
          </cell>
          <cell r="D75" t="str">
            <v>Phá dỡ tường xây bó nền
Demolition of building walls</v>
          </cell>
          <cell r="F75" t="str">
            <v>CONG_TAC_PHA_DO_HIEN_TRANG</v>
          </cell>
          <cell r="G75" t="str">
            <v>PHA_DO_PHU_NHA_XE</v>
          </cell>
          <cell r="L75" t="str">
            <v>m</v>
          </cell>
          <cell r="M75">
            <v>84</v>
          </cell>
          <cell r="O75">
            <v>75000</v>
          </cell>
          <cell r="P75">
            <v>0</v>
          </cell>
          <cell r="Q75">
            <v>0</v>
          </cell>
          <cell r="R75">
            <v>76500</v>
          </cell>
          <cell r="S75">
            <v>6426000</v>
          </cell>
          <cell r="T75">
            <v>76500</v>
          </cell>
          <cell r="U75">
            <v>6426000</v>
          </cell>
        </row>
        <row r="76">
          <cell r="A76" t="str">
            <v>BoQ_57</v>
          </cell>
          <cell r="B76">
            <v>57</v>
          </cell>
          <cell r="C76">
            <v>59</v>
          </cell>
          <cell r="D76" t="str">
            <v>Phá dỡ nền bê tông
Demolition of the concrete floor</v>
          </cell>
          <cell r="F76" t="str">
            <v>CONG_TAC_PHA_DO_HIEN_TRANG</v>
          </cell>
          <cell r="G76" t="str">
            <v>PHA_DO_PHU_NHA_XE</v>
          </cell>
          <cell r="L76" t="str">
            <v>m2</v>
          </cell>
          <cell r="M76">
            <v>320</v>
          </cell>
          <cell r="O76">
            <v>100000</v>
          </cell>
          <cell r="P76">
            <v>0</v>
          </cell>
          <cell r="Q76">
            <v>0</v>
          </cell>
          <cell r="R76">
            <v>102000</v>
          </cell>
          <cell r="S76">
            <v>32640000</v>
          </cell>
          <cell r="T76">
            <v>102000</v>
          </cell>
          <cell r="U76">
            <v>32640000</v>
          </cell>
        </row>
        <row r="77">
          <cell r="A77" t="str">
            <v>BoQ_58</v>
          </cell>
          <cell r="B77">
            <v>58</v>
          </cell>
          <cell r="C77">
            <v>60</v>
          </cell>
          <cell r="D77" t="str">
            <v>Thu gom xà bần
Collecting debris</v>
          </cell>
          <cell r="F77" t="str">
            <v>CONG_TAC_PHA_DO_HIEN_TRANG</v>
          </cell>
          <cell r="G77" t="str">
            <v>PHA_DO_PHU_NHA_XE</v>
          </cell>
          <cell r="L77" t="str">
            <v>m3</v>
          </cell>
          <cell r="M77">
            <v>89.872</v>
          </cell>
          <cell r="O77">
            <v>270000</v>
          </cell>
          <cell r="P77">
            <v>0</v>
          </cell>
          <cell r="Q77">
            <v>0</v>
          </cell>
          <cell r="R77">
            <v>275400</v>
          </cell>
          <cell r="S77">
            <v>24750748.800000001</v>
          </cell>
          <cell r="T77">
            <v>275400</v>
          </cell>
          <cell r="U77">
            <v>24750748.800000001</v>
          </cell>
        </row>
        <row r="78">
          <cell r="A78" t="str">
            <v>BoQ_59</v>
          </cell>
          <cell r="B78">
            <v>59</v>
          </cell>
          <cell r="C78">
            <v>61</v>
          </cell>
          <cell r="D78" t="str">
            <v>Vận chuyển
Transport</v>
          </cell>
          <cell r="F78" t="str">
            <v>CONG_TAC_PHA_DO_HIEN_TRANG</v>
          </cell>
          <cell r="G78" t="str">
            <v>PHA_DO_PHU_NHA_XE</v>
          </cell>
          <cell r="L78" t="str">
            <v>m3</v>
          </cell>
          <cell r="M78">
            <v>89.872</v>
          </cell>
          <cell r="O78">
            <v>150000</v>
          </cell>
          <cell r="P78">
            <v>0</v>
          </cell>
          <cell r="Q78">
            <v>0</v>
          </cell>
          <cell r="R78">
            <v>153000</v>
          </cell>
          <cell r="S78">
            <v>13750416</v>
          </cell>
          <cell r="T78">
            <v>153000</v>
          </cell>
          <cell r="U78">
            <v>13750416</v>
          </cell>
        </row>
        <row r="79">
          <cell r="C79">
            <v>62</v>
          </cell>
          <cell r="D79" t="str">
            <v>THÁO DỠ  NGOÀI NHÀ
EASY TO REMOVE OUT OF HOME</v>
          </cell>
        </row>
        <row r="80">
          <cell r="A80" t="str">
            <v>BoQ_60</v>
          </cell>
          <cell r="B80">
            <v>60</v>
          </cell>
          <cell r="C80">
            <v>63</v>
          </cell>
          <cell r="D80" t="str">
            <v>Cắt đục bê tông nền đường đi lại hệ thống đường cấp, thoát nước</v>
          </cell>
          <cell r="F80" t="str">
            <v>CONG_TAC_PHA_DO_HIEN_TRANG</v>
          </cell>
          <cell r="G80" t="str">
            <v>PHA_DO_PHU_NGOAI_NHA</v>
          </cell>
          <cell r="L80" t="str">
            <v>Lot</v>
          </cell>
          <cell r="M80">
            <v>1</v>
          </cell>
          <cell r="O80">
            <v>3500000</v>
          </cell>
          <cell r="P80">
            <v>0</v>
          </cell>
          <cell r="Q80">
            <v>0</v>
          </cell>
          <cell r="R80">
            <v>3570000</v>
          </cell>
          <cell r="S80">
            <v>3570000</v>
          </cell>
          <cell r="T80">
            <v>3570000</v>
          </cell>
          <cell r="U80">
            <v>3570000</v>
          </cell>
        </row>
        <row r="81">
          <cell r="A81" t="str">
            <v>BoQ_61</v>
          </cell>
          <cell r="B81">
            <v>61</v>
          </cell>
          <cell r="C81">
            <v>64</v>
          </cell>
          <cell r="D81" t="str">
            <v>Tháo bỏ ống thoát nước mưa ngoài nhà</v>
          </cell>
          <cell r="F81" t="str">
            <v>CONG_TAC_PHA_DO_HIEN_TRANG</v>
          </cell>
          <cell r="G81" t="str">
            <v>PHA_DO_PHU_NGOAI_NHA</v>
          </cell>
          <cell r="L81" t="str">
            <v>m</v>
          </cell>
          <cell r="M81">
            <v>224</v>
          </cell>
          <cell r="O81">
            <v>10000</v>
          </cell>
          <cell r="P81">
            <v>0</v>
          </cell>
          <cell r="Q81">
            <v>0</v>
          </cell>
          <cell r="R81">
            <v>10200</v>
          </cell>
          <cell r="S81">
            <v>2284800</v>
          </cell>
          <cell r="T81">
            <v>10200</v>
          </cell>
          <cell r="U81">
            <v>2284800</v>
          </cell>
        </row>
        <row r="82">
          <cell r="A82" t="str">
            <v>BoQ_62</v>
          </cell>
          <cell r="B82">
            <v>62</v>
          </cell>
          <cell r="C82">
            <v>64</v>
          </cell>
          <cell r="D82" t="str">
            <v>Hút bể phốt</v>
          </cell>
          <cell r="F82" t="str">
            <v>CONG_TAC_PHA_DO_HIEN_TRANG</v>
          </cell>
          <cell r="G82" t="str">
            <v>PHA_DO_PHU_NGOAI_NHA</v>
          </cell>
          <cell r="L82" t="str">
            <v>Bể</v>
          </cell>
          <cell r="M82">
            <v>2</v>
          </cell>
          <cell r="O82">
            <v>7500000</v>
          </cell>
          <cell r="P82">
            <v>0</v>
          </cell>
          <cell r="Q82">
            <v>0</v>
          </cell>
          <cell r="R82">
            <v>7650000</v>
          </cell>
          <cell r="S82">
            <v>15300000</v>
          </cell>
          <cell r="T82">
            <v>7650000</v>
          </cell>
          <cell r="U82">
            <v>15300000</v>
          </cell>
        </row>
        <row r="83">
          <cell r="A83" t="str">
            <v>BoQ_63</v>
          </cell>
          <cell r="B83">
            <v>63</v>
          </cell>
          <cell r="C83">
            <v>65</v>
          </cell>
          <cell r="D83" t="str">
            <v>Tháo dỡ mái canopy hiện trạng</v>
          </cell>
          <cell r="F83" t="str">
            <v>CONG_TAC_PHA_DO_HIEN_TRANG</v>
          </cell>
          <cell r="G83" t="str">
            <v>PHA_DO_PHU_NGOAI_NHA</v>
          </cell>
          <cell r="L83" t="str">
            <v>cái</v>
          </cell>
          <cell r="M83">
            <v>4</v>
          </cell>
          <cell r="O83">
            <v>2500000</v>
          </cell>
          <cell r="P83">
            <v>0</v>
          </cell>
          <cell r="Q83">
            <v>0</v>
          </cell>
          <cell r="R83">
            <v>2550000</v>
          </cell>
          <cell r="S83">
            <v>10200000</v>
          </cell>
          <cell r="T83">
            <v>2550000</v>
          </cell>
          <cell r="U83">
            <v>10200000</v>
          </cell>
        </row>
        <row r="84">
          <cell r="A84" t="str">
            <v>BoQ_64</v>
          </cell>
          <cell r="B84">
            <v>64</v>
          </cell>
          <cell r="C84">
            <v>66</v>
          </cell>
          <cell r="D84" t="str">
            <v>Tháo dỡ quạt, mái che quạt thông gió ngoài nhà bỏ đi</v>
          </cell>
          <cell r="F84" t="str">
            <v>CONG_TAC_PHA_DO_HIEN_TRANG</v>
          </cell>
          <cell r="G84" t="str">
            <v>PHA_DO_PHU_NGOAI_NHA</v>
          </cell>
          <cell r="L84" t="str">
            <v>lot</v>
          </cell>
          <cell r="M84">
            <v>1</v>
          </cell>
          <cell r="O84">
            <v>7500000</v>
          </cell>
          <cell r="P84">
            <v>0</v>
          </cell>
          <cell r="Q84">
            <v>0</v>
          </cell>
          <cell r="R84">
            <v>7650000</v>
          </cell>
          <cell r="S84">
            <v>7650000</v>
          </cell>
          <cell r="T84">
            <v>7650000</v>
          </cell>
          <cell r="U84">
            <v>7650000</v>
          </cell>
        </row>
        <row r="85">
          <cell r="A85" t="str">
            <v>BoQ_65</v>
          </cell>
          <cell r="B85">
            <v>65</v>
          </cell>
          <cell r="C85">
            <v>67</v>
          </cell>
          <cell r="D85" t="str">
            <v xml:space="preserve">Tháo dỡ khu hút thuốc </v>
          </cell>
          <cell r="F85" t="str">
            <v>CONG_TAC_PHA_DO_HIEN_TRANG</v>
          </cell>
          <cell r="G85" t="str">
            <v>PHA_DO_PHU_NGOAI_NHA</v>
          </cell>
          <cell r="L85" t="str">
            <v>cái</v>
          </cell>
          <cell r="M85">
            <v>3</v>
          </cell>
          <cell r="O85">
            <v>5000000</v>
          </cell>
          <cell r="P85">
            <v>0</v>
          </cell>
          <cell r="Q85">
            <v>0</v>
          </cell>
          <cell r="R85">
            <v>5100000</v>
          </cell>
          <cell r="S85">
            <v>15300000</v>
          </cell>
          <cell r="T85">
            <v>5100000</v>
          </cell>
          <cell r="U85">
            <v>15300000</v>
          </cell>
        </row>
        <row r="86">
          <cell r="A86" t="str">
            <v>BoQ_66</v>
          </cell>
          <cell r="B86">
            <v>66</v>
          </cell>
          <cell r="C86">
            <v>68</v>
          </cell>
          <cell r="D86" t="str">
            <v>Tháo dỡ chòi bảo vệ cổng phụ</v>
          </cell>
          <cell r="F86" t="str">
            <v>CONG_TAC_PHA_DO_HIEN_TRANG</v>
          </cell>
          <cell r="G86" t="str">
            <v>PHA_DO_PHU_NGOAI_NHA</v>
          </cell>
          <cell r="L86" t="str">
            <v>lot</v>
          </cell>
          <cell r="M86">
            <v>1</v>
          </cell>
          <cell r="O86">
            <v>1000000</v>
          </cell>
          <cell r="P86">
            <v>0</v>
          </cell>
          <cell r="Q86">
            <v>0</v>
          </cell>
          <cell r="R86">
            <v>1020000</v>
          </cell>
          <cell r="S86">
            <v>1020000</v>
          </cell>
          <cell r="T86">
            <v>1020000</v>
          </cell>
          <cell r="U86">
            <v>1020000</v>
          </cell>
        </row>
        <row r="87">
          <cell r="A87" t="str">
            <v>BoQ_67</v>
          </cell>
          <cell r="B87">
            <v>67</v>
          </cell>
          <cell r="C87">
            <v>69</v>
          </cell>
          <cell r="D87" t="str">
            <v>Vận chuyển
Transport</v>
          </cell>
          <cell r="F87" t="str">
            <v>CONG_TAC_PHA_DO_HIEN_TRANG</v>
          </cell>
          <cell r="G87" t="str">
            <v>PHA_DO_PHU_NGOAI_NHA</v>
          </cell>
          <cell r="L87" t="str">
            <v>lot</v>
          </cell>
          <cell r="M87">
            <v>1</v>
          </cell>
          <cell r="O87">
            <v>5000000</v>
          </cell>
          <cell r="P87">
            <v>0</v>
          </cell>
          <cell r="Q87">
            <v>0</v>
          </cell>
          <cell r="R87">
            <v>5100000</v>
          </cell>
          <cell r="S87">
            <v>5100000</v>
          </cell>
          <cell r="T87">
            <v>5100000</v>
          </cell>
          <cell r="U87">
            <v>5100000</v>
          </cell>
        </row>
        <row r="88">
          <cell r="C88">
            <v>2</v>
          </cell>
          <cell r="D88" t="str">
            <v>FACTORY &amp; OFFICE</v>
          </cell>
        </row>
        <row r="89">
          <cell r="C89" t="str">
            <v>A</v>
          </cell>
          <cell r="D89" t="str">
            <v xml:space="preserve">OFFICE &amp; CATEEN </v>
          </cell>
        </row>
        <row r="90">
          <cell r="C90">
            <v>1</v>
          </cell>
          <cell r="D90" t="str">
            <v>CẢI TẠO WC TRỤC 1,3-A,B tầng 1
RENOVATION WC Axis 1,3-A,B 1st floor</v>
          </cell>
        </row>
        <row r="91">
          <cell r="A91" t="str">
            <v>BoQ_68</v>
          </cell>
          <cell r="B91">
            <v>68</v>
          </cell>
          <cell r="C91">
            <v>1</v>
          </cell>
          <cell r="D91" t="str">
            <v xml:space="preserve">Đào đất 
Excavation </v>
          </cell>
          <cell r="F91" t="str">
            <v>VAN_PHONG_CANTEN</v>
          </cell>
          <cell r="G91" t="str">
            <v>Cong_tac_dat</v>
          </cell>
          <cell r="H91" t="str">
            <v>Dao_dat</v>
          </cell>
          <cell r="L91" t="str">
            <v>lot</v>
          </cell>
          <cell r="M91">
            <v>1</v>
          </cell>
          <cell r="O91">
            <v>10000000</v>
          </cell>
          <cell r="P91">
            <v>0</v>
          </cell>
          <cell r="Q91">
            <v>0</v>
          </cell>
          <cell r="R91">
            <v>10200000</v>
          </cell>
          <cell r="S91">
            <v>10200000</v>
          </cell>
          <cell r="T91">
            <v>10200000</v>
          </cell>
          <cell r="U91">
            <v>10200000</v>
          </cell>
        </row>
        <row r="92">
          <cell r="A92" t="str">
            <v>BoQ_69</v>
          </cell>
          <cell r="B92">
            <v>69</v>
          </cell>
          <cell r="C92">
            <v>70</v>
          </cell>
          <cell r="D92" t="str">
            <v>Lấp đất móng
Backfilling soil for foundation</v>
          </cell>
          <cell r="F92" t="str">
            <v>VAN_PHONG_CANTEN</v>
          </cell>
          <cell r="G92" t="str">
            <v>Cong_tac_dat</v>
          </cell>
          <cell r="H92" t="str">
            <v>Lap_dat</v>
          </cell>
          <cell r="L92" t="str">
            <v>lot</v>
          </cell>
          <cell r="M92">
            <v>1</v>
          </cell>
          <cell r="N92">
            <v>5000000</v>
          </cell>
          <cell r="O92">
            <v>0</v>
          </cell>
          <cell r="P92">
            <v>5100000</v>
          </cell>
          <cell r="Q92">
            <v>5100000</v>
          </cell>
          <cell r="R92">
            <v>0</v>
          </cell>
          <cell r="S92">
            <v>0</v>
          </cell>
          <cell r="T92">
            <v>5100000</v>
          </cell>
          <cell r="U92">
            <v>5100000</v>
          </cell>
        </row>
        <row r="93">
          <cell r="A93" t="str">
            <v>BoQ_70</v>
          </cell>
          <cell r="B93">
            <v>70</v>
          </cell>
          <cell r="C93">
            <v>71</v>
          </cell>
          <cell r="D93" t="str">
            <v>Vận chuyển đất ra hồ
Transport surplus soil to lake</v>
          </cell>
          <cell r="F93" t="str">
            <v>VAN_PHONG_CANTEN</v>
          </cell>
          <cell r="G93" t="str">
            <v>Cong_tac_dat</v>
          </cell>
          <cell r="H93" t="str">
            <v>Van_chuyen_dat</v>
          </cell>
          <cell r="L93" t="str">
            <v>lot</v>
          </cell>
          <cell r="M93">
            <v>1</v>
          </cell>
          <cell r="O93">
            <v>5000000</v>
          </cell>
          <cell r="P93">
            <v>0</v>
          </cell>
          <cell r="Q93">
            <v>0</v>
          </cell>
          <cell r="R93">
            <v>5100000</v>
          </cell>
          <cell r="S93">
            <v>5100000</v>
          </cell>
          <cell r="T93">
            <v>5100000</v>
          </cell>
          <cell r="U93">
            <v>5100000</v>
          </cell>
        </row>
        <row r="94">
          <cell r="A94" t="str">
            <v>BoQ_71</v>
          </cell>
          <cell r="B94">
            <v>71</v>
          </cell>
          <cell r="C94">
            <v>72</v>
          </cell>
          <cell r="D94" t="str">
            <v xml:space="preserve">Đầm nền đất hiện trạng
Natural soil well compacted, k = 0.95 </v>
          </cell>
          <cell r="F94" t="str">
            <v>VAN_PHONG_CANTEN</v>
          </cell>
          <cell r="G94" t="str">
            <v>Cong_tac_dat</v>
          </cell>
          <cell r="H94" t="str">
            <v>Dam_dat</v>
          </cell>
          <cell r="I94" t="str">
            <v>Nền</v>
          </cell>
          <cell r="J94" t="str">
            <v>Đất</v>
          </cell>
          <cell r="K94" t="str">
            <v>K95</v>
          </cell>
          <cell r="L94" t="str">
            <v>lot</v>
          </cell>
          <cell r="M94">
            <v>1</v>
          </cell>
          <cell r="O94">
            <v>5000000</v>
          </cell>
          <cell r="P94">
            <v>0</v>
          </cell>
          <cell r="Q94">
            <v>0</v>
          </cell>
          <cell r="R94">
            <v>5100000</v>
          </cell>
          <cell r="S94">
            <v>5100000</v>
          </cell>
          <cell r="T94">
            <v>5100000</v>
          </cell>
          <cell r="U94">
            <v>5100000</v>
          </cell>
        </row>
        <row r="95">
          <cell r="A95" t="str">
            <v>BoQ_72</v>
          </cell>
          <cell r="B95">
            <v>72</v>
          </cell>
          <cell r="C95">
            <v>73</v>
          </cell>
          <cell r="D95" t="str">
            <v>Bê tông lót mác 100, đá 10x20 mm, dày 100 mm
Lean concrete grade 100, stone 10x20, 100mm thk</v>
          </cell>
          <cell r="F95" t="str">
            <v>VAN_PHONG_CANTEN</v>
          </cell>
          <cell r="G95" t="str">
            <v>Cong_tac_be_tong</v>
          </cell>
          <cell r="H95" t="str">
            <v>Be_tong</v>
          </cell>
          <cell r="I95" t="str">
            <v>Móng</v>
          </cell>
          <cell r="J95" t="str">
            <v>M100</v>
          </cell>
          <cell r="K95" t="str">
            <v>Đá 1x2</v>
          </cell>
          <cell r="L95" t="str">
            <v>m3</v>
          </cell>
          <cell r="M95">
            <v>1.6368</v>
          </cell>
          <cell r="N95">
            <v>720000</v>
          </cell>
          <cell r="O95">
            <v>110000</v>
          </cell>
          <cell r="P95">
            <v>734400</v>
          </cell>
          <cell r="Q95">
            <v>1202065.9199999999</v>
          </cell>
          <cell r="R95">
            <v>112200</v>
          </cell>
          <cell r="S95">
            <v>183648.96</v>
          </cell>
          <cell r="T95">
            <v>846600</v>
          </cell>
          <cell r="U95">
            <v>1385714.8800000001</v>
          </cell>
        </row>
        <row r="96">
          <cell r="A96" t="str">
            <v>BoQ_73</v>
          </cell>
          <cell r="B96">
            <v>73</v>
          </cell>
          <cell r="C96">
            <v>74</v>
          </cell>
          <cell r="D96" t="str">
            <v>Bê tông kết cấu mác300, đá 10x20 mm
Concrete grade 300, stone aggregate 10x20.</v>
          </cell>
          <cell r="F96" t="str">
            <v>VAN_PHONG_CANTEN</v>
          </cell>
          <cell r="G96" t="str">
            <v>Cong_tac_be_tong</v>
          </cell>
          <cell r="H96" t="str">
            <v>Be_tong</v>
          </cell>
          <cell r="I96" t="str">
            <v>Móng</v>
          </cell>
          <cell r="J96" t="str">
            <v>M300</v>
          </cell>
          <cell r="K96" t="str">
            <v>Đá 1x2</v>
          </cell>
          <cell r="L96" t="str">
            <v>m3</v>
          </cell>
          <cell r="M96">
            <v>17.6736</v>
          </cell>
          <cell r="N96">
            <v>910000</v>
          </cell>
          <cell r="O96">
            <v>110000</v>
          </cell>
          <cell r="P96">
            <v>928200</v>
          </cell>
          <cell r="Q96">
            <v>16404635.52</v>
          </cell>
          <cell r="R96">
            <v>112200</v>
          </cell>
          <cell r="S96">
            <v>1982977.9200000002</v>
          </cell>
          <cell r="T96">
            <v>1040400</v>
          </cell>
          <cell r="U96">
            <v>18387613.440000001</v>
          </cell>
        </row>
        <row r="97">
          <cell r="A97" t="str">
            <v>BoQ_74</v>
          </cell>
          <cell r="B97">
            <v>74</v>
          </cell>
          <cell r="C97">
            <v>75</v>
          </cell>
          <cell r="D97" t="str">
            <v>Ván khuôn móng, giằng móng, cột
Foundation &amp; ground beam, colum</v>
          </cell>
          <cell r="E97" t="str">
            <v>Thép hộp và ván phủ phim
Steel boxes &amp; Plywood form</v>
          </cell>
          <cell r="F97" t="str">
            <v>VAN_PHONG_CANTEN</v>
          </cell>
          <cell r="G97" t="str">
            <v>Cong_tac_van_khuon</v>
          </cell>
          <cell r="H97" t="str">
            <v>Van_khuon</v>
          </cell>
          <cell r="I97" t="str">
            <v>Móng</v>
          </cell>
          <cell r="J97" t="str">
            <v>Gỗ</v>
          </cell>
          <cell r="L97" t="str">
            <v>m²</v>
          </cell>
          <cell r="M97">
            <v>37.199999999999996</v>
          </cell>
          <cell r="N97">
            <v>70000</v>
          </cell>
          <cell r="O97">
            <v>110000</v>
          </cell>
          <cell r="P97">
            <v>71400</v>
          </cell>
          <cell r="Q97">
            <v>2656079.9999999995</v>
          </cell>
          <cell r="R97">
            <v>112200</v>
          </cell>
          <cell r="S97">
            <v>4173839.9999999995</v>
          </cell>
          <cell r="T97">
            <v>183600</v>
          </cell>
          <cell r="U97">
            <v>6829919.9999999991</v>
          </cell>
        </row>
        <row r="98">
          <cell r="A98" t="str">
            <v>BoQ_75</v>
          </cell>
          <cell r="B98">
            <v>75</v>
          </cell>
          <cell r="C98">
            <v>75</v>
          </cell>
          <cell r="D98" t="str">
            <v>Khoan cấy thép giằng móng đỡ tường và móng hiện trạng 
Drilling and transplanting steel to support the existing wall and foundation</v>
          </cell>
          <cell r="E98" t="str">
            <v>CB-240T &amp; CB-300V</v>
          </cell>
          <cell r="F98" t="str">
            <v>VAN_PHONG_CANTEN</v>
          </cell>
          <cell r="G98" t="str">
            <v>Cong_tac_cot_thep</v>
          </cell>
          <cell r="H98" t="str">
            <v>Khoan_cay_thep</v>
          </cell>
          <cell r="I98" t="str">
            <v>Móng</v>
          </cell>
          <cell r="L98" t="str">
            <v>mũi</v>
          </cell>
          <cell r="M98">
            <v>36</v>
          </cell>
          <cell r="N98">
            <v>170000</v>
          </cell>
          <cell r="O98">
            <v>100000</v>
          </cell>
          <cell r="P98">
            <v>173400</v>
          </cell>
          <cell r="Q98">
            <v>6242400</v>
          </cell>
          <cell r="R98">
            <v>102000</v>
          </cell>
          <cell r="S98">
            <v>3672000</v>
          </cell>
          <cell r="T98">
            <v>275400</v>
          </cell>
          <cell r="U98">
            <v>9914400</v>
          </cell>
        </row>
        <row r="99">
          <cell r="A99" t="str">
            <v>BoQ_76</v>
          </cell>
          <cell r="B99">
            <v>76</v>
          </cell>
          <cell r="C99">
            <v>76</v>
          </cell>
          <cell r="D99" t="str">
            <v>Thép móng, giằng móng
Manufacture and assemble of reinforcement for Foundation,colum</v>
          </cell>
          <cell r="E99" t="str">
            <v>CB-240T &amp; CB-300V</v>
          </cell>
          <cell r="F99" t="str">
            <v>VAN_PHONG_CANTEN</v>
          </cell>
          <cell r="G99" t="str">
            <v>Cong_tac_cot_thep</v>
          </cell>
          <cell r="H99" t="str">
            <v>Cot_thep</v>
          </cell>
          <cell r="I99" t="str">
            <v>Móng, dầm giằng</v>
          </cell>
          <cell r="L99" t="str">
            <v>ton</v>
          </cell>
          <cell r="M99">
            <v>0.39600000000000002</v>
          </cell>
          <cell r="N99">
            <v>14500000</v>
          </cell>
          <cell r="O99">
            <v>2300000</v>
          </cell>
          <cell r="P99">
            <v>14790000</v>
          </cell>
          <cell r="Q99">
            <v>5856840</v>
          </cell>
          <cell r="R99">
            <v>2346000</v>
          </cell>
          <cell r="S99">
            <v>929016</v>
          </cell>
          <cell r="T99">
            <v>17136000</v>
          </cell>
          <cell r="U99">
            <v>6785856</v>
          </cell>
        </row>
        <row r="100">
          <cell r="A100" t="str">
            <v>BoQ_77</v>
          </cell>
          <cell r="B100">
            <v>77</v>
          </cell>
          <cell r="C100">
            <v>77</v>
          </cell>
          <cell r="D100" t="str">
            <v>Xây tường 220
Brick wall, thk 220mm</v>
          </cell>
          <cell r="F100" t="str">
            <v>VAN_PHONG_CANTEN</v>
          </cell>
          <cell r="G100" t="str">
            <v>Cong_tac_xay_trat</v>
          </cell>
          <cell r="H100" t="str">
            <v>Xay_tuong</v>
          </cell>
          <cell r="I100" t="str">
            <v>Tường</v>
          </cell>
          <cell r="J100" t="str">
            <v>Gạch</v>
          </cell>
          <cell r="K100" t="str">
            <v>Thk 220mm</v>
          </cell>
          <cell r="L100" t="str">
            <v>m3</v>
          </cell>
          <cell r="M100">
            <v>14.541120000000001</v>
          </cell>
          <cell r="N100">
            <v>950000</v>
          </cell>
          <cell r="O100">
            <v>700000</v>
          </cell>
          <cell r="P100">
            <v>969000</v>
          </cell>
          <cell r="Q100">
            <v>14090345.280000001</v>
          </cell>
          <cell r="R100">
            <v>714000</v>
          </cell>
          <cell r="S100">
            <v>10382359.680000002</v>
          </cell>
          <cell r="T100">
            <v>1683000</v>
          </cell>
          <cell r="U100">
            <v>24472704.960000001</v>
          </cell>
        </row>
        <row r="101">
          <cell r="A101" t="str">
            <v>BoQ_78</v>
          </cell>
          <cell r="B101">
            <v>78</v>
          </cell>
          <cell r="C101">
            <v>78</v>
          </cell>
          <cell r="D101" t="str">
            <v>Xây tường 110
Brick wall, thk 110mm</v>
          </cell>
          <cell r="F101" t="str">
            <v>VAN_PHONG_CANTEN</v>
          </cell>
          <cell r="G101" t="str">
            <v>Cong_tac_xay_trat</v>
          </cell>
          <cell r="H101" t="str">
            <v>Xay_tuong</v>
          </cell>
          <cell r="I101" t="str">
            <v>Tường</v>
          </cell>
          <cell r="J101" t="str">
            <v>Gạch</v>
          </cell>
          <cell r="K101" t="str">
            <v>Thk 110mm</v>
          </cell>
          <cell r="L101" t="str">
            <v>m3</v>
          </cell>
          <cell r="M101">
            <v>0</v>
          </cell>
          <cell r="N101">
            <v>950000</v>
          </cell>
          <cell r="O101">
            <v>700000</v>
          </cell>
          <cell r="P101">
            <v>969000</v>
          </cell>
          <cell r="Q101">
            <v>0</v>
          </cell>
          <cell r="R101">
            <v>714000</v>
          </cell>
          <cell r="S101">
            <v>0</v>
          </cell>
          <cell r="T101">
            <v>1683000</v>
          </cell>
          <cell r="U101">
            <v>0</v>
          </cell>
        </row>
        <row r="102">
          <cell r="A102" t="str">
            <v>BoQ_79</v>
          </cell>
          <cell r="B102">
            <v>79</v>
          </cell>
          <cell r="C102">
            <v>79</v>
          </cell>
          <cell r="D102" t="str">
            <v xml:space="preserve">Chống thấm nhà hố thang
Waterproofing </v>
          </cell>
          <cell r="E102" t="str">
            <v>Sika 107</v>
          </cell>
          <cell r="F102" t="str">
            <v>VAN_PHONG_CANTEN</v>
          </cell>
          <cell r="G102" t="str">
            <v>Cong_tac_chong_tham</v>
          </cell>
          <cell r="H102" t="str">
            <v>Chong_tham</v>
          </cell>
          <cell r="I102" t="str">
            <v>Thang máy</v>
          </cell>
          <cell r="J102" t="str">
            <v>Sika 107</v>
          </cell>
          <cell r="L102" t="str">
            <v>m²</v>
          </cell>
          <cell r="M102">
            <v>0</v>
          </cell>
          <cell r="N102">
            <v>40000</v>
          </cell>
          <cell r="O102">
            <v>45000</v>
          </cell>
          <cell r="P102">
            <v>40800</v>
          </cell>
          <cell r="Q102">
            <v>0</v>
          </cell>
          <cell r="R102">
            <v>45900</v>
          </cell>
          <cell r="S102">
            <v>0</v>
          </cell>
          <cell r="T102">
            <v>86700</v>
          </cell>
          <cell r="U102">
            <v>0</v>
          </cell>
        </row>
        <row r="103">
          <cell r="A103" t="str">
            <v>BoQ_80</v>
          </cell>
          <cell r="B103">
            <v>80</v>
          </cell>
          <cell r="C103">
            <v>80</v>
          </cell>
          <cell r="D103" t="str">
            <v>Trụ và giằng tường
 Column, GT Bracing</v>
          </cell>
          <cell r="F103" t="str">
            <v>VAN_PHONG_CANTEN</v>
          </cell>
          <cell r="G103" t="str">
            <v>Cong_tac_be_tong</v>
          </cell>
          <cell r="H103" t="str">
            <v>Tru_giang</v>
          </cell>
          <cell r="I103" t="str">
            <v>Tường</v>
          </cell>
          <cell r="L103" t="str">
            <v>md</v>
          </cell>
          <cell r="M103">
            <v>10</v>
          </cell>
          <cell r="N103">
            <v>550000</v>
          </cell>
          <cell r="O103">
            <v>150000</v>
          </cell>
          <cell r="P103">
            <v>561000</v>
          </cell>
          <cell r="Q103">
            <v>5610000</v>
          </cell>
          <cell r="R103">
            <v>153000</v>
          </cell>
          <cell r="S103">
            <v>1530000</v>
          </cell>
          <cell r="T103">
            <v>714000</v>
          </cell>
          <cell r="U103">
            <v>7140000</v>
          </cell>
        </row>
        <row r="104">
          <cell r="A104" t="str">
            <v>BoQ_81</v>
          </cell>
          <cell r="B104">
            <v>81</v>
          </cell>
          <cell r="C104">
            <v>81</v>
          </cell>
          <cell r="D104" t="str">
            <v>Khung đỡ đá chậu rửa</v>
          </cell>
          <cell r="F104" t="str">
            <v>VAN_PHONG_CANTEN</v>
          </cell>
          <cell r="G104" t="str">
            <v>Cong_tac_co_khi</v>
          </cell>
          <cell r="H104" t="str">
            <v>Co_khi</v>
          </cell>
          <cell r="I104" t="str">
            <v>Khung chẩu rửa</v>
          </cell>
          <cell r="L104" t="str">
            <v>md</v>
          </cell>
          <cell r="M104">
            <v>3</v>
          </cell>
          <cell r="N104">
            <v>150000</v>
          </cell>
          <cell r="O104">
            <v>150000</v>
          </cell>
          <cell r="P104">
            <v>153000</v>
          </cell>
          <cell r="Q104">
            <v>459000</v>
          </cell>
          <cell r="R104">
            <v>153000</v>
          </cell>
          <cell r="S104">
            <v>459000</v>
          </cell>
          <cell r="T104">
            <v>306000</v>
          </cell>
          <cell r="U104">
            <v>918000</v>
          </cell>
        </row>
        <row r="105">
          <cell r="A105" t="str">
            <v>BoQ_82</v>
          </cell>
          <cell r="B105">
            <v>82</v>
          </cell>
          <cell r="C105">
            <v>82</v>
          </cell>
          <cell r="D105" t="str">
            <v>Ốp đá Granite dày 20mm
Granite stone 20mm Thk</v>
          </cell>
          <cell r="E105" t="str">
            <v>mặt chậu rửa</v>
          </cell>
          <cell r="F105" t="str">
            <v>VAN_PHONG_CANTEN</v>
          </cell>
          <cell r="G105" t="str">
            <v>Cong_tac_op_lat</v>
          </cell>
          <cell r="H105" t="str">
            <v>Op_tuong</v>
          </cell>
          <cell r="I105" t="str">
            <v>Chẩu rửa</v>
          </cell>
          <cell r="L105" t="str">
            <v>md</v>
          </cell>
          <cell r="M105">
            <v>6.6</v>
          </cell>
          <cell r="N105">
            <v>750000</v>
          </cell>
          <cell r="O105">
            <v>250000</v>
          </cell>
          <cell r="P105">
            <v>765000</v>
          </cell>
          <cell r="Q105">
            <v>5049000</v>
          </cell>
          <cell r="R105">
            <v>255000</v>
          </cell>
          <cell r="S105">
            <v>1683000</v>
          </cell>
          <cell r="T105">
            <v>1020000</v>
          </cell>
          <cell r="U105">
            <v>6732000</v>
          </cell>
        </row>
        <row r="106">
          <cell r="A106" t="str">
            <v>BoQ_83</v>
          </cell>
          <cell r="B106">
            <v>83</v>
          </cell>
          <cell r="C106">
            <v>82</v>
          </cell>
          <cell r="D106" t="str">
            <v>Trát tường gạch dày 1,5cm, lưới thép chống nứt
Plastering for brick wall surfaces 1,5cm, included wire-mesh steel for anti-crack</v>
          </cell>
          <cell r="E106" t="str">
            <v>Mortar grade 75</v>
          </cell>
          <cell r="F106" t="str">
            <v>VAN_PHONG_CANTEN</v>
          </cell>
          <cell r="G106" t="str">
            <v>Cong_tac_xay_trat</v>
          </cell>
          <cell r="H106" t="str">
            <v>Trat_tuong</v>
          </cell>
          <cell r="I106" t="str">
            <v>Tường</v>
          </cell>
          <cell r="J106" t="str">
            <v>M75</v>
          </cell>
          <cell r="K106" t="str">
            <v>Thk 1.5mm</v>
          </cell>
          <cell r="L106" t="str">
            <v>m²</v>
          </cell>
          <cell r="M106">
            <v>145.41120000000001</v>
          </cell>
          <cell r="N106">
            <v>65000</v>
          </cell>
          <cell r="O106">
            <v>85000</v>
          </cell>
          <cell r="P106">
            <v>66300</v>
          </cell>
          <cell r="Q106">
            <v>9640762.5600000005</v>
          </cell>
          <cell r="R106">
            <v>86700</v>
          </cell>
          <cell r="S106">
            <v>12607151.040000001</v>
          </cell>
          <cell r="T106">
            <v>153000</v>
          </cell>
          <cell r="U106">
            <v>22247913.600000001</v>
          </cell>
        </row>
        <row r="107">
          <cell r="A107" t="str">
            <v>BoQ_84</v>
          </cell>
          <cell r="B107">
            <v>84</v>
          </cell>
          <cell r="C107">
            <v>83</v>
          </cell>
          <cell r="D107" t="str">
            <v>Sơn bả tường có bả 
Emulsion Paint for wall surfaces (Included Putty layer)</v>
          </cell>
          <cell r="E107" t="str">
            <v>Sơn dulux ,Jotun cao cấp, bóng mờ</v>
          </cell>
          <cell r="F107" t="str">
            <v>VAN_PHONG_CANTEN</v>
          </cell>
          <cell r="G107" t="str">
            <v>Cong_tac_son_ba</v>
          </cell>
          <cell r="H107" t="str">
            <v>Son_nuoc</v>
          </cell>
          <cell r="I107" t="str">
            <v>Tường</v>
          </cell>
          <cell r="L107" t="str">
            <v>m²</v>
          </cell>
          <cell r="M107">
            <v>145.41120000000001</v>
          </cell>
          <cell r="N107">
            <v>40000</v>
          </cell>
          <cell r="O107">
            <v>45000</v>
          </cell>
          <cell r="P107">
            <v>40800</v>
          </cell>
          <cell r="Q107">
            <v>5932776.96</v>
          </cell>
          <cell r="R107">
            <v>45900</v>
          </cell>
          <cell r="S107">
            <v>6674374.0800000001</v>
          </cell>
          <cell r="T107">
            <v>86700</v>
          </cell>
          <cell r="U107">
            <v>12607151.040000001</v>
          </cell>
        </row>
        <row r="108">
          <cell r="A108" t="str">
            <v>BoQ_85</v>
          </cell>
          <cell r="B108">
            <v>85</v>
          </cell>
          <cell r="C108">
            <v>82</v>
          </cell>
          <cell r="D108" t="str">
            <v>Láng vữa nền nhà
Rolling mortar floor</v>
          </cell>
          <cell r="E108" t="str">
            <v xml:space="preserve">Toilet floor </v>
          </cell>
          <cell r="F108" t="str">
            <v>VAN_PHONG_CANTEN</v>
          </cell>
          <cell r="G108" t="str">
            <v>Cong_tac_op_lat</v>
          </cell>
          <cell r="H108" t="str">
            <v>Lang_nen</v>
          </cell>
          <cell r="I108" t="str">
            <v>Nhà vệ sinh</v>
          </cell>
          <cell r="L108" t="str">
            <v>m²</v>
          </cell>
          <cell r="M108">
            <v>81.599999999999994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</row>
        <row r="109">
          <cell r="A109" t="str">
            <v>BoQ_86</v>
          </cell>
          <cell r="B109">
            <v>86</v>
          </cell>
          <cell r="C109">
            <v>83</v>
          </cell>
          <cell r="D109" t="str">
            <v>Lát nền chống trơn 300x300
Non-slip ceramic tile 300x300</v>
          </cell>
          <cell r="E109" t="str">
            <v xml:space="preserve">Toilet floor </v>
          </cell>
          <cell r="F109" t="str">
            <v>VAN_PHONG_CANTEN</v>
          </cell>
          <cell r="G109" t="str">
            <v>Cong_tac_op_lat</v>
          </cell>
          <cell r="H109" t="str">
            <v>Lat_nen</v>
          </cell>
          <cell r="I109" t="str">
            <v>Nhà vệ sinh</v>
          </cell>
          <cell r="L109" t="str">
            <v>m²</v>
          </cell>
          <cell r="M109">
            <v>81.599999999999994</v>
          </cell>
          <cell r="N109">
            <v>125000</v>
          </cell>
          <cell r="O109">
            <v>75000</v>
          </cell>
          <cell r="P109">
            <v>127500</v>
          </cell>
          <cell r="Q109">
            <v>10404000</v>
          </cell>
          <cell r="R109">
            <v>76500</v>
          </cell>
          <cell r="S109">
            <v>6242400</v>
          </cell>
          <cell r="T109">
            <v>204000</v>
          </cell>
          <cell r="U109">
            <v>16646399.999999998</v>
          </cell>
        </row>
        <row r="110">
          <cell r="A110" t="str">
            <v>BoQ_87</v>
          </cell>
          <cell r="B110">
            <v>87</v>
          </cell>
          <cell r="C110">
            <v>84</v>
          </cell>
          <cell r="D110" t="str">
            <v>Ốp tường nhà vệ sinh 300x600
Ceramic tile 300x600</v>
          </cell>
          <cell r="E110" t="str">
            <v>Toilet wall</v>
          </cell>
          <cell r="F110" t="str">
            <v>VAN_PHONG_CANTEN</v>
          </cell>
          <cell r="G110" t="str">
            <v>Cong_tac_op_lat</v>
          </cell>
          <cell r="H110" t="str">
            <v>Op_tuong</v>
          </cell>
          <cell r="I110" t="str">
            <v>Nhà vệ sinh</v>
          </cell>
          <cell r="L110" t="str">
            <v>m²</v>
          </cell>
          <cell r="M110">
            <v>141.48000000000002</v>
          </cell>
          <cell r="N110">
            <v>145000</v>
          </cell>
          <cell r="O110">
            <v>75000</v>
          </cell>
          <cell r="P110">
            <v>147900</v>
          </cell>
          <cell r="Q110">
            <v>20924892.000000004</v>
          </cell>
          <cell r="R110">
            <v>76500</v>
          </cell>
          <cell r="S110">
            <v>10823220.000000002</v>
          </cell>
          <cell r="T110">
            <v>224400</v>
          </cell>
          <cell r="U110">
            <v>31748112.000000004</v>
          </cell>
        </row>
        <row r="111">
          <cell r="A111" t="str">
            <v>BoQ_88</v>
          </cell>
          <cell r="B111">
            <v>88</v>
          </cell>
          <cell r="C111">
            <v>85</v>
          </cell>
          <cell r="D111" t="str">
            <v>Water resistance Gypsum board ceiling 600x600x9mm thk
Trần thạch cao chịu nước nhà vệ sinh</v>
          </cell>
          <cell r="E111" t="str">
            <v>Vĩnh Tường, Gyproc, Boral</v>
          </cell>
          <cell r="F111" t="str">
            <v>VAN_PHONG_CANTEN</v>
          </cell>
          <cell r="G111" t="str">
            <v>Cong_tac_thach_cao</v>
          </cell>
          <cell r="H111" t="str">
            <v>Thach_cao</v>
          </cell>
          <cell r="I111" t="str">
            <v>Nhà vệ sinh</v>
          </cell>
          <cell r="L111" t="str">
            <v>m2</v>
          </cell>
          <cell r="M111">
            <v>81.599999999999994</v>
          </cell>
          <cell r="N111">
            <v>140000</v>
          </cell>
          <cell r="O111">
            <v>45000</v>
          </cell>
          <cell r="P111">
            <v>142800</v>
          </cell>
          <cell r="Q111">
            <v>11652480</v>
          </cell>
          <cell r="R111">
            <v>45900</v>
          </cell>
          <cell r="S111">
            <v>3745439.9999999995</v>
          </cell>
          <cell r="T111">
            <v>188700</v>
          </cell>
          <cell r="U111">
            <v>15397919.999999998</v>
          </cell>
        </row>
        <row r="112">
          <cell r="A112" t="str">
            <v>BoQ_89</v>
          </cell>
          <cell r="B112">
            <v>89</v>
          </cell>
          <cell r="C112">
            <v>86</v>
          </cell>
          <cell r="D112" t="str">
            <v>Vách ngăn nhà vệ sinh
HPL . Partition</v>
          </cell>
          <cell r="F112" t="str">
            <v>VAN_PHONG_CANTEN</v>
          </cell>
          <cell r="G112" t="str">
            <v>Cong_tac_khac</v>
          </cell>
          <cell r="H112" t="str">
            <v>Vach_ngan</v>
          </cell>
          <cell r="I112" t="str">
            <v>Nhà vệ sinh</v>
          </cell>
          <cell r="J112" t="str">
            <v>HPL</v>
          </cell>
          <cell r="L112" t="str">
            <v>m2</v>
          </cell>
          <cell r="M112">
            <v>96.704999999999998</v>
          </cell>
          <cell r="N112">
            <v>750000</v>
          </cell>
          <cell r="O112">
            <v>150000</v>
          </cell>
          <cell r="P112">
            <v>765000</v>
          </cell>
          <cell r="Q112">
            <v>73979325</v>
          </cell>
          <cell r="R112">
            <v>153000</v>
          </cell>
          <cell r="S112">
            <v>14795865</v>
          </cell>
          <cell r="T112">
            <v>918000</v>
          </cell>
          <cell r="U112">
            <v>88775190</v>
          </cell>
        </row>
        <row r="113">
          <cell r="A113" t="str">
            <v>BoQ_90</v>
          </cell>
          <cell r="B113">
            <v>90</v>
          </cell>
          <cell r="C113">
            <v>87</v>
          </cell>
          <cell r="D113" t="str">
            <v>Phụ kiện vách ngăn
Partition accessories</v>
          </cell>
          <cell r="F113" t="str">
            <v>VAN_PHONG_CANTEN</v>
          </cell>
          <cell r="G113" t="str">
            <v>Cong_tac_khac</v>
          </cell>
          <cell r="H113" t="str">
            <v>Vach_ngan</v>
          </cell>
          <cell r="I113" t="str">
            <v>Nhà vệ sinh</v>
          </cell>
          <cell r="J113" t="str">
            <v>Phụ kiện</v>
          </cell>
          <cell r="L113" t="str">
            <v>m2</v>
          </cell>
          <cell r="M113">
            <v>96.704999999999998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</row>
        <row r="114">
          <cell r="A114" t="str">
            <v>BoQ_91</v>
          </cell>
          <cell r="B114">
            <v>91</v>
          </cell>
          <cell r="C114">
            <v>88</v>
          </cell>
          <cell r="D114" t="str">
            <v>Vận chuyển
Transportation</v>
          </cell>
          <cell r="F114" t="str">
            <v>VAN_PHONG_CANTEN</v>
          </cell>
          <cell r="G114" t="str">
            <v>Cong_tac_khac</v>
          </cell>
          <cell r="H114" t="str">
            <v>Van_chuyen</v>
          </cell>
          <cell r="L114" t="str">
            <v>lot</v>
          </cell>
          <cell r="M114">
            <v>1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</row>
        <row r="115">
          <cell r="A115" t="str">
            <v>BoQ_92</v>
          </cell>
          <cell r="B115">
            <v>92</v>
          </cell>
          <cell r="C115">
            <v>89</v>
          </cell>
          <cell r="D115" t="str">
            <v>Aluminium glass door (indoor) 
Cửa đi nhôm kính (trong nhà)</v>
          </cell>
          <cell r="E115" t="str">
            <v>Alumnium glass door, 6,38mm safety glass, 
Cửa nhôm hệ xingfa  kính Hải long 6,38 mm</v>
          </cell>
          <cell r="F115" t="str">
            <v>VAN_PHONG_CANTEN</v>
          </cell>
          <cell r="G115" t="str">
            <v>Cong_tac_cua_di_cua_so</v>
          </cell>
          <cell r="H115" t="str">
            <v>Cua_di</v>
          </cell>
          <cell r="I115" t="str">
            <v>Trong nhà</v>
          </cell>
          <cell r="J115" t="str">
            <v>Xingfa</v>
          </cell>
          <cell r="K115" t="str">
            <v>6,38mm</v>
          </cell>
          <cell r="L115" t="str">
            <v>m2</v>
          </cell>
          <cell r="M115">
            <v>3.9600000000000004</v>
          </cell>
          <cell r="N115">
            <v>1350000</v>
          </cell>
          <cell r="O115">
            <v>250000</v>
          </cell>
          <cell r="P115">
            <v>1377000</v>
          </cell>
          <cell r="Q115">
            <v>5452920.0000000009</v>
          </cell>
          <cell r="R115">
            <v>255000</v>
          </cell>
          <cell r="S115">
            <v>1009800.0000000001</v>
          </cell>
          <cell r="T115">
            <v>1632000</v>
          </cell>
          <cell r="U115">
            <v>6462720.0000000009</v>
          </cell>
        </row>
        <row r="116">
          <cell r="A116" t="str">
            <v>BoQ_93</v>
          </cell>
          <cell r="B116">
            <v>93</v>
          </cell>
          <cell r="C116">
            <v>90</v>
          </cell>
          <cell r="D116" t="str">
            <v>Accessories for Aluminium glass door 
Phụ kiện cửa đi: Khóa, bản lề, tay lắm, keo, vít…</v>
          </cell>
          <cell r="E116" t="str">
            <v>Kin long</v>
          </cell>
          <cell r="F116" t="str">
            <v>VAN_PHONG_CANTEN</v>
          </cell>
          <cell r="G116" t="str">
            <v>Cong_tac_cua_di_cua_so</v>
          </cell>
          <cell r="H116" t="str">
            <v>Cua_di</v>
          </cell>
          <cell r="I116" t="str">
            <v>Cửa đi</v>
          </cell>
          <cell r="J116" t="str">
            <v>Kinlong</v>
          </cell>
          <cell r="L116" t="str">
            <v>ea</v>
          </cell>
          <cell r="M116">
            <v>2</v>
          </cell>
          <cell r="N116">
            <v>450000</v>
          </cell>
          <cell r="O116">
            <v>150000</v>
          </cell>
          <cell r="P116">
            <v>459000</v>
          </cell>
          <cell r="Q116">
            <v>918000</v>
          </cell>
          <cell r="R116">
            <v>153000</v>
          </cell>
          <cell r="S116">
            <v>306000</v>
          </cell>
          <cell r="T116">
            <v>612000</v>
          </cell>
          <cell r="U116">
            <v>1224000</v>
          </cell>
        </row>
        <row r="117">
          <cell r="C117">
            <v>2</v>
          </cell>
          <cell r="D117" t="str">
            <v>CẢI TẠO THANG BỘ TRỤC 5,6;10,11-A,B
RENOVATION OF AXIAL 5.6;10,11-A,B</v>
          </cell>
        </row>
        <row r="118">
          <cell r="A118" t="str">
            <v>BoQ_94</v>
          </cell>
          <cell r="B118">
            <v>94</v>
          </cell>
          <cell r="C118">
            <v>1</v>
          </cell>
          <cell r="D118" t="str">
            <v xml:space="preserve">Đào đất 
Excavation </v>
          </cell>
          <cell r="F118" t="str">
            <v>CAU_THANG_BO</v>
          </cell>
          <cell r="G118" t="str">
            <v>Cong_tac_dat</v>
          </cell>
          <cell r="H118" t="str">
            <v>Dao_dat</v>
          </cell>
          <cell r="L118" t="str">
            <v>lot</v>
          </cell>
          <cell r="M118">
            <v>1</v>
          </cell>
          <cell r="O118">
            <v>15000000</v>
          </cell>
          <cell r="P118">
            <v>0</v>
          </cell>
          <cell r="Q118">
            <v>0</v>
          </cell>
          <cell r="R118">
            <v>15300000</v>
          </cell>
          <cell r="S118">
            <v>15300000</v>
          </cell>
          <cell r="T118">
            <v>15300000</v>
          </cell>
          <cell r="U118">
            <v>15300000</v>
          </cell>
        </row>
        <row r="119">
          <cell r="A119" t="str">
            <v>BoQ_95</v>
          </cell>
          <cell r="B119">
            <v>95</v>
          </cell>
          <cell r="C119">
            <v>91</v>
          </cell>
          <cell r="D119" t="str">
            <v>Lấp đất móng
Backfilling soil for foundation</v>
          </cell>
          <cell r="F119" t="str">
            <v>CAU_THANG_BO</v>
          </cell>
          <cell r="G119" t="str">
            <v>Cong_tac_dat</v>
          </cell>
          <cell r="H119" t="str">
            <v>Lap_dat</v>
          </cell>
          <cell r="L119" t="str">
            <v>lot</v>
          </cell>
          <cell r="M119">
            <v>1</v>
          </cell>
          <cell r="N119">
            <v>25000000</v>
          </cell>
          <cell r="O119">
            <v>15000</v>
          </cell>
          <cell r="P119">
            <v>25500000</v>
          </cell>
          <cell r="Q119">
            <v>25500000</v>
          </cell>
          <cell r="R119">
            <v>15300</v>
          </cell>
          <cell r="S119">
            <v>15300</v>
          </cell>
          <cell r="T119">
            <v>25515300</v>
          </cell>
          <cell r="U119">
            <v>25515300</v>
          </cell>
        </row>
        <row r="120">
          <cell r="A120" t="str">
            <v>BoQ_96</v>
          </cell>
          <cell r="B120">
            <v>96</v>
          </cell>
          <cell r="C120">
            <v>92</v>
          </cell>
          <cell r="D120" t="str">
            <v xml:space="preserve">Vận chuyển đất ra hồ
Transport surplus soil to lake </v>
          </cell>
          <cell r="F120" t="str">
            <v>CAU_THANG_BO</v>
          </cell>
          <cell r="G120" t="str">
            <v>Cong_tac_dat</v>
          </cell>
          <cell r="H120" t="str">
            <v>Van_chuyen_dat</v>
          </cell>
          <cell r="L120" t="str">
            <v>lot</v>
          </cell>
          <cell r="M120">
            <v>1</v>
          </cell>
          <cell r="O120">
            <v>15000000</v>
          </cell>
          <cell r="P120">
            <v>0</v>
          </cell>
          <cell r="Q120">
            <v>0</v>
          </cell>
          <cell r="R120">
            <v>15300000</v>
          </cell>
          <cell r="S120">
            <v>15300000</v>
          </cell>
          <cell r="T120">
            <v>15300000</v>
          </cell>
          <cell r="U120">
            <v>15300000</v>
          </cell>
        </row>
        <row r="121">
          <cell r="A121" t="str">
            <v>BoQ_97</v>
          </cell>
          <cell r="B121">
            <v>97</v>
          </cell>
          <cell r="C121">
            <v>93</v>
          </cell>
          <cell r="D121" t="str">
            <v xml:space="preserve">Đầm nền đất hiện trạng
Natural soil well compacted, k = 0.95 </v>
          </cell>
          <cell r="F121" t="str">
            <v>CAU_THANG_BO</v>
          </cell>
          <cell r="G121" t="str">
            <v>Cong_tac_dat</v>
          </cell>
          <cell r="H121" t="str">
            <v>Dam_dat</v>
          </cell>
          <cell r="L121" t="str">
            <v>lot</v>
          </cell>
          <cell r="M121">
            <v>1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</row>
        <row r="122">
          <cell r="A122" t="str">
            <v>BoQ_98</v>
          </cell>
          <cell r="B122">
            <v>98</v>
          </cell>
          <cell r="C122">
            <v>94</v>
          </cell>
          <cell r="D122" t="str">
            <v>Bê tông lót mác 100, đá 10x20 mm, dày 100 mm
Lean concrete grade 100, stone 10x20, 100mm thk</v>
          </cell>
          <cell r="F122" t="str">
            <v>CAU_THANG_BO</v>
          </cell>
          <cell r="G122" t="str">
            <v>Cong_tac_be_tong</v>
          </cell>
          <cell r="H122" t="str">
            <v>Be_tong</v>
          </cell>
          <cell r="I122" t="str">
            <v>Móng</v>
          </cell>
          <cell r="J122" t="str">
            <v>M100</v>
          </cell>
          <cell r="K122" t="str">
            <v>Đá 1x2</v>
          </cell>
          <cell r="L122" t="str">
            <v>m3</v>
          </cell>
          <cell r="M122">
            <v>0.76800000000000002</v>
          </cell>
          <cell r="N122">
            <v>720000</v>
          </cell>
          <cell r="O122">
            <v>110000</v>
          </cell>
          <cell r="P122">
            <v>734400</v>
          </cell>
          <cell r="Q122">
            <v>564019.20000000007</v>
          </cell>
          <cell r="R122">
            <v>112200</v>
          </cell>
          <cell r="S122">
            <v>86169.600000000006</v>
          </cell>
          <cell r="T122">
            <v>846600</v>
          </cell>
          <cell r="U122">
            <v>650188.80000000005</v>
          </cell>
        </row>
        <row r="123">
          <cell r="A123" t="str">
            <v>BoQ_99</v>
          </cell>
          <cell r="B123">
            <v>99</v>
          </cell>
          <cell r="C123">
            <v>95</v>
          </cell>
          <cell r="D123" t="str">
            <v>Bê tông kết cấu mác300, đá 10x20 mm
Concrete grade 300, stone aggregate 10x20.</v>
          </cell>
          <cell r="F123" t="str">
            <v>CAU_THANG_BO</v>
          </cell>
          <cell r="G123" t="str">
            <v>Cong_tac_be_tong</v>
          </cell>
          <cell r="H123" t="str">
            <v>Be_tong</v>
          </cell>
          <cell r="I123" t="str">
            <v>Móng</v>
          </cell>
          <cell r="J123" t="str">
            <v>M300</v>
          </cell>
          <cell r="K123" t="str">
            <v>Đá 1x2</v>
          </cell>
          <cell r="L123" t="str">
            <v>m3</v>
          </cell>
          <cell r="M123">
            <v>8.2790999999999997</v>
          </cell>
          <cell r="N123">
            <v>910000</v>
          </cell>
          <cell r="O123">
            <v>110000</v>
          </cell>
          <cell r="P123">
            <v>928200</v>
          </cell>
          <cell r="Q123">
            <v>7684660.6200000001</v>
          </cell>
          <cell r="R123">
            <v>112200</v>
          </cell>
          <cell r="S123">
            <v>928915.02</v>
          </cell>
          <cell r="T123">
            <v>1040400</v>
          </cell>
          <cell r="U123">
            <v>8613575.6400000006</v>
          </cell>
        </row>
        <row r="124">
          <cell r="A124" t="str">
            <v>BoQ_100</v>
          </cell>
          <cell r="B124">
            <v>100</v>
          </cell>
          <cell r="C124">
            <v>96</v>
          </cell>
          <cell r="D124" t="str">
            <v>Ván khuôn móng, giằng móng, cột
Foundation &amp; ground beam, colum</v>
          </cell>
          <cell r="E124" t="str">
            <v>Thép hộp và ván phủ phim
Steel boxes &amp; Plywood form</v>
          </cell>
          <cell r="F124" t="str">
            <v>CAU_THANG_BO</v>
          </cell>
          <cell r="G124" t="str">
            <v>Cong_tac_van_khuon</v>
          </cell>
          <cell r="H124" t="str">
            <v>Van_khuon</v>
          </cell>
          <cell r="I124" t="str">
            <v>Móng, dầm giăng</v>
          </cell>
          <cell r="L124" t="str">
            <v>m²</v>
          </cell>
          <cell r="M124">
            <v>70.463999999999999</v>
          </cell>
          <cell r="N124">
            <v>70000</v>
          </cell>
          <cell r="O124">
            <v>120000</v>
          </cell>
          <cell r="P124">
            <v>71400</v>
          </cell>
          <cell r="Q124">
            <v>5031129.5999999996</v>
          </cell>
          <cell r="R124">
            <v>122400</v>
          </cell>
          <cell r="S124">
            <v>8624793.5999999996</v>
          </cell>
          <cell r="T124">
            <v>193800</v>
          </cell>
          <cell r="U124">
            <v>13655923.199999999</v>
          </cell>
        </row>
        <row r="125">
          <cell r="A125" t="str">
            <v>BoQ_101</v>
          </cell>
          <cell r="B125">
            <v>101</v>
          </cell>
          <cell r="C125">
            <v>96</v>
          </cell>
          <cell r="D125" t="str">
            <v>Khoan cấy thép giằng móng đỡ tường và0 móng hiện trạng, thép sàn bịt ô thang
Drilling and transplanting steel to support the wall to support the existing foundation, the floor steel to cover the ladder</v>
          </cell>
          <cell r="E125" t="str">
            <v>CB-240T &amp; CB-300V</v>
          </cell>
          <cell r="F125" t="str">
            <v>CAU_THANG_BO</v>
          </cell>
          <cell r="G125" t="str">
            <v>Cong_tac_cot_thep</v>
          </cell>
          <cell r="H125" t="str">
            <v>Khoan_cay_thep</v>
          </cell>
          <cell r="I125" t="str">
            <v>Móng</v>
          </cell>
          <cell r="L125" t="str">
            <v>mũi</v>
          </cell>
          <cell r="M125">
            <v>71</v>
          </cell>
          <cell r="N125">
            <v>450000</v>
          </cell>
          <cell r="O125">
            <v>150000</v>
          </cell>
          <cell r="P125">
            <v>459000</v>
          </cell>
          <cell r="Q125">
            <v>32589000</v>
          </cell>
          <cell r="R125">
            <v>153000</v>
          </cell>
          <cell r="S125">
            <v>10863000</v>
          </cell>
          <cell r="T125">
            <v>612000</v>
          </cell>
          <cell r="U125">
            <v>43452000</v>
          </cell>
        </row>
        <row r="126">
          <cell r="A126" t="str">
            <v>BoQ_102</v>
          </cell>
          <cell r="B126">
            <v>102</v>
          </cell>
          <cell r="C126">
            <v>96</v>
          </cell>
          <cell r="D126" t="str">
            <v>Thép I 200x100x5,5x8 dầm đỡ sàn deck bịt lỗ thang
Steel I 200x100x5,5x8 deck support beams to seal the ladder hole</v>
          </cell>
          <cell r="F126" t="str">
            <v>CAU_THANG_BO</v>
          </cell>
          <cell r="G126" t="str">
            <v>Cong_tac_ket_cau_thep</v>
          </cell>
          <cell r="H126" t="str">
            <v>Ket_cau_thep</v>
          </cell>
          <cell r="L126" t="str">
            <v>ton</v>
          </cell>
          <cell r="M126">
            <v>0.20022000000000004</v>
          </cell>
          <cell r="N126">
            <v>20500000</v>
          </cell>
          <cell r="O126">
            <v>2400000</v>
          </cell>
          <cell r="P126">
            <v>20910000</v>
          </cell>
          <cell r="Q126">
            <v>4186600.2000000007</v>
          </cell>
          <cell r="R126">
            <v>2448000</v>
          </cell>
          <cell r="S126">
            <v>490138.56000000011</v>
          </cell>
          <cell r="T126">
            <v>23358000</v>
          </cell>
          <cell r="U126">
            <v>4676738.7600000007</v>
          </cell>
        </row>
        <row r="127">
          <cell r="A127" t="str">
            <v>BoQ_103</v>
          </cell>
          <cell r="B127">
            <v>103</v>
          </cell>
          <cell r="C127">
            <v>97</v>
          </cell>
          <cell r="D127" t="str">
            <v>Khoan tạo lỗ bulong liên kết dầm cũ mới
Drill holes to connect old and new beams</v>
          </cell>
          <cell r="F127" t="str">
            <v>CAU_THANG_BO</v>
          </cell>
          <cell r="G127" t="str">
            <v>Cong_tac_ket_cau_thep</v>
          </cell>
          <cell r="H127" t="str">
            <v>Khoan_tu_ket_Cau</v>
          </cell>
          <cell r="I127" t="str">
            <v>Dầm</v>
          </cell>
          <cell r="L127" t="str">
            <v>lot</v>
          </cell>
          <cell r="M127">
            <v>1</v>
          </cell>
          <cell r="O127">
            <v>25000000</v>
          </cell>
          <cell r="P127">
            <v>0</v>
          </cell>
          <cell r="Q127">
            <v>0</v>
          </cell>
          <cell r="R127">
            <v>25500000</v>
          </cell>
          <cell r="S127">
            <v>25500000</v>
          </cell>
          <cell r="T127">
            <v>25500000</v>
          </cell>
          <cell r="U127">
            <v>25500000</v>
          </cell>
        </row>
        <row r="128">
          <cell r="A128" t="str">
            <v>BoQ_104</v>
          </cell>
          <cell r="B128">
            <v>104</v>
          </cell>
          <cell r="C128">
            <v>97</v>
          </cell>
          <cell r="D128" t="str">
            <v>Tấm sàn deck 0,95mm, đinh chống cắt, phụ kiện 
Deck panels, anti-cut nails, accessories</v>
          </cell>
          <cell r="F128" t="str">
            <v>CAU_THANG_BO</v>
          </cell>
          <cell r="G128" t="str">
            <v>Cong_tac_ket_cau_thep</v>
          </cell>
          <cell r="H128" t="str">
            <v>San_deck</v>
          </cell>
          <cell r="I128" t="str">
            <v>Sàn</v>
          </cell>
          <cell r="L128" t="str">
            <v>m2</v>
          </cell>
          <cell r="M128">
            <v>15.45</v>
          </cell>
          <cell r="N128">
            <v>278000</v>
          </cell>
          <cell r="O128">
            <v>36000</v>
          </cell>
          <cell r="P128">
            <v>283560</v>
          </cell>
          <cell r="Q128">
            <v>4381002</v>
          </cell>
          <cell r="R128">
            <v>36720</v>
          </cell>
          <cell r="S128">
            <v>567324</v>
          </cell>
          <cell r="T128">
            <v>320280</v>
          </cell>
          <cell r="U128">
            <v>4948326</v>
          </cell>
        </row>
        <row r="129">
          <cell r="A129" t="str">
            <v>BoQ_105</v>
          </cell>
          <cell r="B129">
            <v>105</v>
          </cell>
          <cell r="C129">
            <v>97</v>
          </cell>
          <cell r="D129" t="str">
            <v>Thép móng, giằng móng, hố thang
Manufacture and assemble of reinforcement for Foundation, colum</v>
          </cell>
          <cell r="E129" t="str">
            <v>CB-240T &amp; CB-300V</v>
          </cell>
          <cell r="F129" t="str">
            <v>CAU_THANG_BO</v>
          </cell>
          <cell r="G129" t="str">
            <v>Cong_tac_cot_thep</v>
          </cell>
          <cell r="H129" t="str">
            <v>Cot_thep</v>
          </cell>
          <cell r="L129" t="str">
            <v>ton</v>
          </cell>
          <cell r="M129">
            <v>1.4298005700000003</v>
          </cell>
          <cell r="N129">
            <v>14500000</v>
          </cell>
          <cell r="O129">
            <v>2300000</v>
          </cell>
          <cell r="P129">
            <v>14790000</v>
          </cell>
          <cell r="Q129">
            <v>21146750.430300005</v>
          </cell>
          <cell r="R129">
            <v>2346000</v>
          </cell>
          <cell r="S129">
            <v>3354312.1372200008</v>
          </cell>
          <cell r="T129">
            <v>17136000</v>
          </cell>
          <cell r="U129">
            <v>24501062.567520004</v>
          </cell>
        </row>
        <row r="130">
          <cell r="A130" t="str">
            <v>BoQ_106</v>
          </cell>
          <cell r="B130">
            <v>106</v>
          </cell>
          <cell r="C130">
            <v>98</v>
          </cell>
          <cell r="D130" t="str">
            <v>Xây tường 220
Brick wall, thk 220mm</v>
          </cell>
          <cell r="F130" t="str">
            <v>CAU_THANG_BO</v>
          </cell>
          <cell r="G130" t="str">
            <v>Cong_tac_xay_trat</v>
          </cell>
          <cell r="H130" t="str">
            <v>Xay_tuong</v>
          </cell>
          <cell r="I130" t="str">
            <v>Tường</v>
          </cell>
          <cell r="L130" t="str">
            <v>m3</v>
          </cell>
          <cell r="M130">
            <v>17.5824</v>
          </cell>
          <cell r="N130">
            <v>950000</v>
          </cell>
          <cell r="O130">
            <v>700000</v>
          </cell>
          <cell r="P130">
            <v>969000</v>
          </cell>
          <cell r="Q130">
            <v>17037345.600000001</v>
          </cell>
          <cell r="R130">
            <v>714000</v>
          </cell>
          <cell r="S130">
            <v>12553833.6</v>
          </cell>
          <cell r="T130">
            <v>1683000</v>
          </cell>
          <cell r="U130">
            <v>29591179.199999999</v>
          </cell>
        </row>
        <row r="131">
          <cell r="A131" t="str">
            <v>BoQ_107</v>
          </cell>
          <cell r="B131">
            <v>107</v>
          </cell>
          <cell r="C131">
            <v>99</v>
          </cell>
          <cell r="D131" t="str">
            <v>Lanh tô, giằng tường
Lintel, wall bracing</v>
          </cell>
          <cell r="F131" t="str">
            <v>CAU_THANG_BO</v>
          </cell>
          <cell r="G131" t="str">
            <v>Cong_tac_xay_trat</v>
          </cell>
          <cell r="H131" t="str">
            <v>Lanh_to_bo_tru</v>
          </cell>
          <cell r="L131" t="str">
            <v>m</v>
          </cell>
          <cell r="M131">
            <v>24.8</v>
          </cell>
          <cell r="N131">
            <v>550000</v>
          </cell>
          <cell r="O131">
            <v>150000</v>
          </cell>
          <cell r="P131">
            <v>561000</v>
          </cell>
          <cell r="Q131">
            <v>13912800</v>
          </cell>
          <cell r="R131">
            <v>153000</v>
          </cell>
          <cell r="S131">
            <v>3794400</v>
          </cell>
          <cell r="T131">
            <v>714000</v>
          </cell>
          <cell r="U131">
            <v>17707200</v>
          </cell>
        </row>
        <row r="132">
          <cell r="A132" t="str">
            <v>BoQ_108</v>
          </cell>
          <cell r="B132">
            <v>108</v>
          </cell>
          <cell r="C132">
            <v>100</v>
          </cell>
          <cell r="D132" t="str">
            <v>Xây bậc cầu thang
Staircase foot step</v>
          </cell>
          <cell r="F132" t="str">
            <v>CAU_THANG_BO</v>
          </cell>
          <cell r="G132" t="str">
            <v>Cong_tac_xay_trat</v>
          </cell>
          <cell r="H132" t="str">
            <v>Xay_tuong</v>
          </cell>
          <cell r="I132" t="str">
            <v>Cầu thang</v>
          </cell>
          <cell r="L132" t="str">
            <v>m3</v>
          </cell>
          <cell r="M132">
            <v>6.5519999999999996</v>
          </cell>
          <cell r="N132">
            <v>950000</v>
          </cell>
          <cell r="O132">
            <v>700000</v>
          </cell>
          <cell r="P132">
            <v>969000</v>
          </cell>
          <cell r="Q132">
            <v>6348888</v>
          </cell>
          <cell r="R132">
            <v>714000</v>
          </cell>
          <cell r="S132">
            <v>4678128</v>
          </cell>
          <cell r="T132">
            <v>1683000</v>
          </cell>
          <cell r="U132">
            <v>11027016</v>
          </cell>
        </row>
        <row r="133">
          <cell r="A133" t="str">
            <v>BoQ_109</v>
          </cell>
          <cell r="B133">
            <v>109</v>
          </cell>
          <cell r="C133">
            <v>101</v>
          </cell>
          <cell r="D133" t="str">
            <v>Ốp đá Granite dày 20mm
Granite stone 20mm Thk</v>
          </cell>
          <cell r="F133" t="str">
            <v>CAU_THANG_BO</v>
          </cell>
          <cell r="G133" t="str">
            <v>Cong_tac_op_lat</v>
          </cell>
          <cell r="H133" t="str">
            <v>Op_tuong</v>
          </cell>
          <cell r="I133" t="str">
            <v>Cầu thang</v>
          </cell>
          <cell r="J133" t="str">
            <v>Đá granite</v>
          </cell>
          <cell r="K133" t="str">
            <v>Thk 20mm</v>
          </cell>
          <cell r="L133" t="str">
            <v>m²</v>
          </cell>
          <cell r="M133">
            <v>70.95</v>
          </cell>
          <cell r="N133">
            <v>750000</v>
          </cell>
          <cell r="O133">
            <v>250000</v>
          </cell>
          <cell r="P133">
            <v>765000</v>
          </cell>
          <cell r="Q133">
            <v>54276750</v>
          </cell>
          <cell r="R133">
            <v>255000</v>
          </cell>
          <cell r="S133">
            <v>18092250</v>
          </cell>
          <cell r="T133">
            <v>1020000</v>
          </cell>
          <cell r="U133">
            <v>72369000</v>
          </cell>
        </row>
        <row r="134">
          <cell r="A134" t="str">
            <v>BoQ_110</v>
          </cell>
          <cell r="B134">
            <v>110</v>
          </cell>
          <cell r="C134">
            <v>101</v>
          </cell>
          <cell r="D134" t="str">
            <v>Trát tường gạch dày 1,5cm, lưới thép chống nứt
Plastering for brick wall surfaces 1,5cm, included wire-mesh steel for anti-crack</v>
          </cell>
          <cell r="E134" t="str">
            <v>Mortar grade 75</v>
          </cell>
          <cell r="F134" t="str">
            <v>CAU_THANG_BO</v>
          </cell>
          <cell r="G134" t="str">
            <v>Cong_tac_xay_trat</v>
          </cell>
          <cell r="H134" t="str">
            <v>Trat_tuong</v>
          </cell>
          <cell r="I134" t="str">
            <v>Tường</v>
          </cell>
          <cell r="J134" t="str">
            <v>M75</v>
          </cell>
          <cell r="K134" t="str">
            <v>1.5mm</v>
          </cell>
          <cell r="L134" t="str">
            <v>m²</v>
          </cell>
          <cell r="M134">
            <v>245.20363636363638</v>
          </cell>
          <cell r="N134">
            <v>65000</v>
          </cell>
          <cell r="O134">
            <v>85000</v>
          </cell>
          <cell r="P134">
            <v>66300</v>
          </cell>
          <cell r="Q134">
            <v>16257001.090909092</v>
          </cell>
          <cell r="R134">
            <v>86700</v>
          </cell>
          <cell r="S134">
            <v>21259155.272727273</v>
          </cell>
          <cell r="T134">
            <v>153000</v>
          </cell>
          <cell r="U134">
            <v>37516156.363636367</v>
          </cell>
        </row>
        <row r="135">
          <cell r="A135" t="str">
            <v>BoQ_111</v>
          </cell>
          <cell r="B135">
            <v>111</v>
          </cell>
          <cell r="C135">
            <v>102</v>
          </cell>
          <cell r="D135" t="str">
            <v>Lan can cầu thang
Handrail</v>
          </cell>
          <cell r="F135" t="str">
            <v>CAU_THANG_BO</v>
          </cell>
          <cell r="G135" t="str">
            <v>Cong_tac_co_khi</v>
          </cell>
          <cell r="H135" t="str">
            <v>Co_khi</v>
          </cell>
          <cell r="I135" t="str">
            <v>Cầu thang</v>
          </cell>
          <cell r="J135" t="str">
            <v>Lan can</v>
          </cell>
          <cell r="L135" t="str">
            <v>m</v>
          </cell>
          <cell r="M135">
            <v>18</v>
          </cell>
          <cell r="N135">
            <v>1100000</v>
          </cell>
          <cell r="O135">
            <v>240000</v>
          </cell>
          <cell r="P135">
            <v>1122000</v>
          </cell>
          <cell r="Q135">
            <v>20196000</v>
          </cell>
          <cell r="R135">
            <v>244800</v>
          </cell>
          <cell r="S135">
            <v>4406400</v>
          </cell>
          <cell r="T135">
            <v>1366800</v>
          </cell>
          <cell r="U135">
            <v>24602400</v>
          </cell>
        </row>
        <row r="136">
          <cell r="A136" t="str">
            <v>BoQ_112</v>
          </cell>
          <cell r="B136">
            <v>112</v>
          </cell>
          <cell r="C136">
            <v>102</v>
          </cell>
          <cell r="D136" t="str">
            <v>Sơn bả tường có bả 
Emulsion Paint for wall surfaces (Included Putty layer)</v>
          </cell>
          <cell r="E136" t="str">
            <v>Sơn dulux ,Jotun cao cấp, bóng mờ</v>
          </cell>
          <cell r="F136" t="str">
            <v>CAU_THANG_BO</v>
          </cell>
          <cell r="G136" t="str">
            <v>Cong_tac_son_ba</v>
          </cell>
          <cell r="H136" t="str">
            <v>Son_nuoc</v>
          </cell>
          <cell r="I136" t="str">
            <v>Tường</v>
          </cell>
          <cell r="J136" t="str">
            <v>Sơn nước</v>
          </cell>
          <cell r="L136" t="str">
            <v>m²</v>
          </cell>
          <cell r="M136">
            <v>245.20363636363638</v>
          </cell>
          <cell r="N136">
            <v>40000</v>
          </cell>
          <cell r="O136">
            <v>45000</v>
          </cell>
          <cell r="P136">
            <v>40800</v>
          </cell>
          <cell r="Q136">
            <v>10004308.363636363</v>
          </cell>
          <cell r="R136">
            <v>45900</v>
          </cell>
          <cell r="S136">
            <v>11254846.90909091</v>
          </cell>
          <cell r="T136">
            <v>86700</v>
          </cell>
          <cell r="U136">
            <v>21259155.272727273</v>
          </cell>
        </row>
        <row r="137">
          <cell r="A137" t="str">
            <v>BoQ_113</v>
          </cell>
          <cell r="B137">
            <v>113</v>
          </cell>
          <cell r="C137">
            <v>103</v>
          </cell>
          <cell r="D137" t="str">
            <v>Fire-resistant door 60 min 
Cửa chống cháy 60 phút</v>
          </cell>
          <cell r="E137" t="str">
            <v>Thanh Tien or equivalent</v>
          </cell>
          <cell r="F137" t="str">
            <v>CAU_THANG_BO</v>
          </cell>
          <cell r="G137" t="str">
            <v>Cong_tac_cua_di_cua_so</v>
          </cell>
          <cell r="H137" t="str">
            <v>Cua_di</v>
          </cell>
          <cell r="I137" t="str">
            <v>Tường</v>
          </cell>
          <cell r="J137" t="str">
            <v>Chống cháy</v>
          </cell>
          <cell r="K137" t="str">
            <v>60 min</v>
          </cell>
          <cell r="L137" t="str">
            <v>m2</v>
          </cell>
          <cell r="M137">
            <v>7.92</v>
          </cell>
          <cell r="N137">
            <v>3560000</v>
          </cell>
          <cell r="P137">
            <v>3631200</v>
          </cell>
          <cell r="Q137">
            <v>28759104</v>
          </cell>
          <cell r="R137">
            <v>0</v>
          </cell>
          <cell r="S137">
            <v>0</v>
          </cell>
          <cell r="T137">
            <v>3631200</v>
          </cell>
          <cell r="U137">
            <v>28759104</v>
          </cell>
        </row>
        <row r="138">
          <cell r="A138" t="str">
            <v>BoQ_114</v>
          </cell>
          <cell r="B138">
            <v>114</v>
          </cell>
          <cell r="C138">
            <v>104</v>
          </cell>
          <cell r="D138" t="str">
            <v>Khoá tay gạt ngang / Kospi
Lock</v>
          </cell>
          <cell r="E138" t="str">
            <v>Kospi</v>
          </cell>
          <cell r="F138" t="str">
            <v>CAU_THANG_BO</v>
          </cell>
          <cell r="G138" t="str">
            <v>Cong_tac_cua_di_cua_so</v>
          </cell>
          <cell r="H138" t="str">
            <v>Cua_di</v>
          </cell>
          <cell r="I138" t="str">
            <v>Phụ kiện</v>
          </cell>
          <cell r="J138" t="str">
            <v>Khóa</v>
          </cell>
          <cell r="L138" t="str">
            <v>ea</v>
          </cell>
          <cell r="M138">
            <v>4</v>
          </cell>
          <cell r="N138">
            <v>550000</v>
          </cell>
          <cell r="O138">
            <v>150000</v>
          </cell>
          <cell r="P138">
            <v>561000</v>
          </cell>
          <cell r="Q138">
            <v>2244000</v>
          </cell>
          <cell r="R138">
            <v>153000</v>
          </cell>
          <cell r="S138">
            <v>612000</v>
          </cell>
          <cell r="T138">
            <v>714000</v>
          </cell>
          <cell r="U138">
            <v>2856000</v>
          </cell>
        </row>
        <row r="139">
          <cell r="A139" t="str">
            <v>BoQ_115</v>
          </cell>
          <cell r="B139">
            <v>115</v>
          </cell>
          <cell r="C139">
            <v>105</v>
          </cell>
          <cell r="D139" t="str">
            <v>Tay co thuỷ lực 
Door closer</v>
          </cell>
          <cell r="E139" t="str">
            <v>Hafele or equivalent</v>
          </cell>
          <cell r="F139" t="str">
            <v>CAU_THANG_BO</v>
          </cell>
          <cell r="G139" t="str">
            <v>Cong_tac_cua_di_cua_so</v>
          </cell>
          <cell r="H139" t="str">
            <v>Cua_di</v>
          </cell>
          <cell r="I139" t="str">
            <v>Phụ kiện</v>
          </cell>
          <cell r="J139" t="str">
            <v>Tay co</v>
          </cell>
          <cell r="L139" t="str">
            <v>ea</v>
          </cell>
          <cell r="M139">
            <v>4</v>
          </cell>
          <cell r="N139">
            <v>450000</v>
          </cell>
          <cell r="O139">
            <v>150000</v>
          </cell>
          <cell r="P139">
            <v>459000</v>
          </cell>
          <cell r="Q139">
            <v>1836000</v>
          </cell>
          <cell r="R139">
            <v>153000</v>
          </cell>
          <cell r="S139">
            <v>612000</v>
          </cell>
          <cell r="T139">
            <v>612000</v>
          </cell>
          <cell r="U139">
            <v>2448000</v>
          </cell>
        </row>
        <row r="140">
          <cell r="A140" t="str">
            <v>BoQ_116</v>
          </cell>
          <cell r="B140">
            <v>116</v>
          </cell>
          <cell r="C140">
            <v>106</v>
          </cell>
          <cell r="D140" t="str">
            <v>Doorsil Inox
Bậu cửa inox</v>
          </cell>
          <cell r="E140" t="str">
            <v>Inox 304</v>
          </cell>
          <cell r="F140" t="str">
            <v>CAU_THANG_BO</v>
          </cell>
          <cell r="G140" t="str">
            <v>Cong_tac_cua_di_cua_so</v>
          </cell>
          <cell r="H140" t="str">
            <v>Cua_di</v>
          </cell>
          <cell r="I140" t="str">
            <v>Phụ kiện</v>
          </cell>
          <cell r="J140" t="str">
            <v>Sill cửa</v>
          </cell>
          <cell r="L140" t="str">
            <v>m</v>
          </cell>
          <cell r="M140">
            <v>4.8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</row>
        <row r="141">
          <cell r="A141" t="str">
            <v>BoQ_117</v>
          </cell>
          <cell r="B141">
            <v>117</v>
          </cell>
          <cell r="C141">
            <v>107</v>
          </cell>
          <cell r="D141" t="str">
            <v>Đổ vữa khung bao
Fill door frame by mortar</v>
          </cell>
          <cell r="F141" t="str">
            <v>CAU_THANG_BO</v>
          </cell>
          <cell r="G141" t="str">
            <v>Cong_tac_cua_di_cua_so</v>
          </cell>
          <cell r="H141" t="str">
            <v>Cua_di</v>
          </cell>
          <cell r="I141" t="str">
            <v>Phụ kiện</v>
          </cell>
          <cell r="J141" t="str">
            <v>Vữa khung bao</v>
          </cell>
          <cell r="L141" t="str">
            <v>ea</v>
          </cell>
          <cell r="M141">
            <v>4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</row>
        <row r="142">
          <cell r="A142" t="str">
            <v>BoQ_118</v>
          </cell>
          <cell r="B142">
            <v>118</v>
          </cell>
          <cell r="C142">
            <v>108</v>
          </cell>
          <cell r="D142" t="str">
            <v>Phí kiểm định cửa chống cháy
Fire rated steel door inspection fee</v>
          </cell>
          <cell r="F142" t="str">
            <v>CAU_THANG_BO</v>
          </cell>
          <cell r="G142" t="str">
            <v>Cong_tac_cua_di_cua_so</v>
          </cell>
          <cell r="H142" t="str">
            <v>Kiem_dinh</v>
          </cell>
          <cell r="I142" t="str">
            <v>Kiểm định</v>
          </cell>
          <cell r="L142" t="str">
            <v>ea</v>
          </cell>
          <cell r="M142">
            <v>4</v>
          </cell>
          <cell r="N142">
            <v>45000000</v>
          </cell>
          <cell r="P142">
            <v>45900000</v>
          </cell>
          <cell r="Q142">
            <v>183600000</v>
          </cell>
          <cell r="R142">
            <v>0</v>
          </cell>
          <cell r="S142">
            <v>0</v>
          </cell>
          <cell r="T142">
            <v>45900000</v>
          </cell>
          <cell r="U142">
            <v>183600000</v>
          </cell>
        </row>
        <row r="143">
          <cell r="A143" t="str">
            <v>BoQ_119</v>
          </cell>
          <cell r="B143">
            <v>119</v>
          </cell>
          <cell r="C143">
            <v>109</v>
          </cell>
          <cell r="D143" t="str">
            <v>Vận chuyển
Transportation</v>
          </cell>
          <cell r="F143" t="str">
            <v>CAU_THANG_BO</v>
          </cell>
          <cell r="G143" t="str">
            <v>Cong_tac_cua_di_cua_so</v>
          </cell>
          <cell r="H143" t="str">
            <v>Van_chuyen</v>
          </cell>
          <cell r="I143" t="str">
            <v>vận chuyển</v>
          </cell>
          <cell r="L143" t="str">
            <v>lot</v>
          </cell>
          <cell r="M143">
            <v>1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</row>
        <row r="144">
          <cell r="A144" t="str">
            <v>BoQ_120</v>
          </cell>
          <cell r="B144">
            <v>120</v>
          </cell>
          <cell r="C144">
            <v>110</v>
          </cell>
          <cell r="D144" t="str">
            <v>Chi phí lắp đặt, vật tư phụ
Sub material and installation</v>
          </cell>
          <cell r="F144" t="str">
            <v>CAU_THANG_BO</v>
          </cell>
          <cell r="G144" t="str">
            <v>Cong_tac_cua_di_cua_so</v>
          </cell>
          <cell r="H144" t="str">
            <v>Lap_dat</v>
          </cell>
          <cell r="I144" t="str">
            <v>Lắp đặt</v>
          </cell>
          <cell r="L144" t="str">
            <v>m2</v>
          </cell>
          <cell r="M144">
            <v>7.92</v>
          </cell>
          <cell r="O144">
            <v>250000</v>
          </cell>
          <cell r="P144">
            <v>0</v>
          </cell>
          <cell r="Q144">
            <v>0</v>
          </cell>
          <cell r="R144">
            <v>255000</v>
          </cell>
          <cell r="S144">
            <v>2019600</v>
          </cell>
          <cell r="T144">
            <v>255000</v>
          </cell>
          <cell r="U144">
            <v>2019600</v>
          </cell>
        </row>
        <row r="145">
          <cell r="C145">
            <v>3</v>
          </cell>
          <cell r="D145" t="str">
            <v>CẢI TẠO WC TẦNG 2 TRỤC 10,11-A,B 
RENOVATION OF WC 2nd floor Axis 10,11-A,B</v>
          </cell>
        </row>
        <row r="146">
          <cell r="A146" t="str">
            <v>BoQ_121</v>
          </cell>
          <cell r="B146">
            <v>121</v>
          </cell>
          <cell r="C146">
            <v>111</v>
          </cell>
          <cell r="D146" t="str">
            <v>Xây tường 220
Brick wall, thk 220mm</v>
          </cell>
          <cell r="F146" t="str">
            <v>NHA_VE_SINH_TANG_2</v>
          </cell>
          <cell r="G146" t="str">
            <v>Cong_tac_xay_trat</v>
          </cell>
          <cell r="H146" t="str">
            <v>Xay_tuong</v>
          </cell>
          <cell r="I146" t="str">
            <v>Tường</v>
          </cell>
          <cell r="J146" t="str">
            <v>Gạch</v>
          </cell>
          <cell r="K146" t="str">
            <v>Thk 220mm</v>
          </cell>
          <cell r="L146" t="str">
            <v>m3</v>
          </cell>
          <cell r="M146">
            <v>0</v>
          </cell>
          <cell r="N146">
            <v>950000</v>
          </cell>
          <cell r="O146">
            <v>700000</v>
          </cell>
          <cell r="P146">
            <v>969000</v>
          </cell>
          <cell r="Q146">
            <v>0</v>
          </cell>
          <cell r="R146">
            <v>714000</v>
          </cell>
          <cell r="S146">
            <v>0</v>
          </cell>
          <cell r="T146">
            <v>1683000</v>
          </cell>
          <cell r="U146">
            <v>0</v>
          </cell>
        </row>
        <row r="147">
          <cell r="A147" t="str">
            <v>BoQ_122</v>
          </cell>
          <cell r="B147">
            <v>122</v>
          </cell>
          <cell r="C147">
            <v>112</v>
          </cell>
          <cell r="D147" t="str">
            <v>Lanh tô, giằng tường
Lintel, wall bracing</v>
          </cell>
          <cell r="F147" t="str">
            <v>NHA_VE_SINH_TANG_2</v>
          </cell>
          <cell r="G147" t="str">
            <v>Cong_tac_xay_trat</v>
          </cell>
          <cell r="H147" t="str">
            <v>Lanh_to_bo_tru</v>
          </cell>
          <cell r="I147" t="str">
            <v>Tường</v>
          </cell>
          <cell r="L147" t="str">
            <v>md</v>
          </cell>
          <cell r="M147">
            <v>0</v>
          </cell>
          <cell r="N147">
            <v>550000</v>
          </cell>
          <cell r="O147">
            <v>150000</v>
          </cell>
          <cell r="P147">
            <v>561000</v>
          </cell>
          <cell r="Q147">
            <v>0</v>
          </cell>
          <cell r="R147">
            <v>153000</v>
          </cell>
          <cell r="S147">
            <v>0</v>
          </cell>
          <cell r="T147">
            <v>714000</v>
          </cell>
          <cell r="U147">
            <v>0</v>
          </cell>
        </row>
        <row r="148">
          <cell r="A148" t="str">
            <v>BoQ_123</v>
          </cell>
          <cell r="B148">
            <v>123</v>
          </cell>
          <cell r="C148">
            <v>113</v>
          </cell>
          <cell r="D148" t="str">
            <v xml:space="preserve">Chống thấm WC
Waterproofing </v>
          </cell>
          <cell r="E148" t="str">
            <v>Sika 107</v>
          </cell>
          <cell r="F148" t="str">
            <v>NHA_VE_SINH_TANG_2</v>
          </cell>
          <cell r="G148" t="str">
            <v>Cong_tac_chong_tham</v>
          </cell>
          <cell r="H148" t="str">
            <v>Chong_tham</v>
          </cell>
          <cell r="I148" t="str">
            <v>Nhà vệ sinh</v>
          </cell>
          <cell r="J148" t="str">
            <v>Sika 107</v>
          </cell>
          <cell r="L148" t="str">
            <v>m²</v>
          </cell>
          <cell r="M148">
            <v>0</v>
          </cell>
          <cell r="N148">
            <v>56000</v>
          </cell>
          <cell r="O148">
            <v>45000</v>
          </cell>
          <cell r="P148">
            <v>57120</v>
          </cell>
          <cell r="Q148">
            <v>0</v>
          </cell>
          <cell r="R148">
            <v>45900</v>
          </cell>
          <cell r="S148">
            <v>0</v>
          </cell>
          <cell r="T148">
            <v>103020</v>
          </cell>
          <cell r="U148">
            <v>0</v>
          </cell>
        </row>
        <row r="149">
          <cell r="A149" t="str">
            <v>BoQ_124</v>
          </cell>
          <cell r="B149">
            <v>124</v>
          </cell>
          <cell r="C149">
            <v>114</v>
          </cell>
          <cell r="D149" t="str">
            <v>Khung đỡ đá chậu rửa
Lavabo support frame</v>
          </cell>
          <cell r="F149" t="str">
            <v>NHA_VE_SINH_TANG_2</v>
          </cell>
          <cell r="G149" t="str">
            <v>Cong_tac_co_khi</v>
          </cell>
          <cell r="H149" t="str">
            <v>Co_khi</v>
          </cell>
          <cell r="I149" t="str">
            <v>Chẩu rửa</v>
          </cell>
          <cell r="L149" t="str">
            <v>md</v>
          </cell>
          <cell r="M149">
            <v>0</v>
          </cell>
          <cell r="N149">
            <v>150000</v>
          </cell>
          <cell r="O149">
            <v>150000</v>
          </cell>
          <cell r="P149">
            <v>153000</v>
          </cell>
          <cell r="Q149">
            <v>0</v>
          </cell>
          <cell r="R149">
            <v>153000</v>
          </cell>
          <cell r="S149">
            <v>0</v>
          </cell>
          <cell r="T149">
            <v>306000</v>
          </cell>
          <cell r="U149">
            <v>0</v>
          </cell>
        </row>
        <row r="150">
          <cell r="A150" t="str">
            <v>BoQ_125</v>
          </cell>
          <cell r="B150">
            <v>125</v>
          </cell>
          <cell r="C150">
            <v>115</v>
          </cell>
          <cell r="D150" t="str">
            <v>Ốp đá Granite dày 20mm
Granite stone 20mm Thk</v>
          </cell>
          <cell r="E150" t="str">
            <v>mặt chậu rửa</v>
          </cell>
          <cell r="F150" t="str">
            <v>NHA_VE_SINH_TANG_2</v>
          </cell>
          <cell r="G150" t="str">
            <v>Cong_tac_op_lat</v>
          </cell>
          <cell r="H150" t="str">
            <v>Op_tuong</v>
          </cell>
          <cell r="I150" t="str">
            <v>Chẩu rửa</v>
          </cell>
          <cell r="J150" t="str">
            <v>Đá granite</v>
          </cell>
          <cell r="K150" t="str">
            <v>Thk 20mm</v>
          </cell>
          <cell r="L150" t="str">
            <v>md</v>
          </cell>
          <cell r="M150">
            <v>0</v>
          </cell>
          <cell r="N150">
            <v>750000</v>
          </cell>
          <cell r="O150">
            <v>250000</v>
          </cell>
          <cell r="P150">
            <v>765000</v>
          </cell>
          <cell r="Q150">
            <v>0</v>
          </cell>
          <cell r="R150">
            <v>255000</v>
          </cell>
          <cell r="S150">
            <v>0</v>
          </cell>
          <cell r="T150">
            <v>1020000</v>
          </cell>
          <cell r="U150">
            <v>0</v>
          </cell>
        </row>
        <row r="151">
          <cell r="A151" t="str">
            <v>BoQ_126</v>
          </cell>
          <cell r="B151">
            <v>126</v>
          </cell>
          <cell r="C151">
            <v>115</v>
          </cell>
          <cell r="D151" t="str">
            <v>Trát tường gạch dày 1,5cm, lưới thép chống nứt
Plastering for brick wall surfaces 1,5cm, included wire-mesh steel for anti-crack</v>
          </cell>
          <cell r="E151" t="str">
            <v>Mortar grade 75</v>
          </cell>
          <cell r="F151" t="str">
            <v>NHA_VE_SINH_TANG_2</v>
          </cell>
          <cell r="G151" t="str">
            <v>Cong_tac_xay_trat</v>
          </cell>
          <cell r="H151" t="str">
            <v>Trat_tuong</v>
          </cell>
          <cell r="I151" t="str">
            <v>Chẩu rửa</v>
          </cell>
          <cell r="J151" t="str">
            <v>M75</v>
          </cell>
          <cell r="K151" t="str">
            <v>thk 15mm</v>
          </cell>
          <cell r="L151" t="str">
            <v>m²</v>
          </cell>
          <cell r="M151">
            <v>0</v>
          </cell>
          <cell r="N151">
            <v>65000</v>
          </cell>
          <cell r="O151">
            <v>85000</v>
          </cell>
          <cell r="P151">
            <v>66300</v>
          </cell>
          <cell r="Q151">
            <v>0</v>
          </cell>
          <cell r="R151">
            <v>86700</v>
          </cell>
          <cell r="S151">
            <v>0</v>
          </cell>
          <cell r="T151">
            <v>153000</v>
          </cell>
          <cell r="U151">
            <v>0</v>
          </cell>
        </row>
        <row r="152">
          <cell r="A152" t="str">
            <v>BoQ_127</v>
          </cell>
          <cell r="B152">
            <v>127</v>
          </cell>
          <cell r="C152">
            <v>115</v>
          </cell>
          <cell r="D152" t="str">
            <v>Láng vữa nền nhà
Rolling mortar floor</v>
          </cell>
          <cell r="E152" t="str">
            <v xml:space="preserve">Toilet floor </v>
          </cell>
          <cell r="F152" t="str">
            <v>NHA_VE_SINH_TANG_2</v>
          </cell>
          <cell r="G152" t="str">
            <v>Cong_tac_op_lat</v>
          </cell>
          <cell r="H152" t="str">
            <v>Lang_nen</v>
          </cell>
          <cell r="I152" t="str">
            <v>Nền nhà</v>
          </cell>
          <cell r="L152" t="str">
            <v>m²</v>
          </cell>
          <cell r="M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</row>
        <row r="153">
          <cell r="A153" t="str">
            <v>BoQ_128</v>
          </cell>
          <cell r="B153">
            <v>128</v>
          </cell>
          <cell r="C153">
            <v>116</v>
          </cell>
          <cell r="D153" t="str">
            <v>Lát nền chống trơn 300x300
Non-slip ceramic tile 300x300</v>
          </cell>
          <cell r="E153" t="str">
            <v xml:space="preserve">Toilet floor </v>
          </cell>
          <cell r="F153" t="str">
            <v>NHA_VE_SINH_TANG_2</v>
          </cell>
          <cell r="G153" t="str">
            <v>Cong_tac_op_lat</v>
          </cell>
          <cell r="H153" t="str">
            <v>Lat_nen</v>
          </cell>
          <cell r="I153" t="str">
            <v>Nhà vệ sinh</v>
          </cell>
          <cell r="J153" t="str">
            <v>Gạch men</v>
          </cell>
          <cell r="K153" t="str">
            <v>300x300</v>
          </cell>
          <cell r="L153" t="str">
            <v>m²</v>
          </cell>
          <cell r="M153">
            <v>0</v>
          </cell>
          <cell r="N153">
            <v>125000</v>
          </cell>
          <cell r="O153">
            <v>75000</v>
          </cell>
          <cell r="P153">
            <v>127500</v>
          </cell>
          <cell r="Q153">
            <v>0</v>
          </cell>
          <cell r="R153">
            <v>76500</v>
          </cell>
          <cell r="S153">
            <v>0</v>
          </cell>
          <cell r="T153">
            <v>204000</v>
          </cell>
          <cell r="U153">
            <v>0</v>
          </cell>
        </row>
        <row r="154">
          <cell r="A154" t="str">
            <v>BoQ_129</v>
          </cell>
          <cell r="B154">
            <v>129</v>
          </cell>
          <cell r="C154">
            <v>117</v>
          </cell>
          <cell r="D154" t="str">
            <v>Ốp tường nhà vệ sinh 300x600
Ceramic tile 300x600</v>
          </cell>
          <cell r="E154" t="str">
            <v>Toilet wall</v>
          </cell>
          <cell r="F154" t="str">
            <v>NHA_VE_SINH_TANG_2</v>
          </cell>
          <cell r="G154" t="str">
            <v>Cong_tac_op_lat</v>
          </cell>
          <cell r="H154" t="str">
            <v>Op_tuong</v>
          </cell>
          <cell r="I154" t="str">
            <v>Nhà vệ sinh</v>
          </cell>
          <cell r="J154" t="str">
            <v>Gạch men</v>
          </cell>
          <cell r="K154" t="str">
            <v>300x600</v>
          </cell>
          <cell r="L154" t="str">
            <v>m²</v>
          </cell>
          <cell r="M154">
            <v>0</v>
          </cell>
          <cell r="N154">
            <v>145000</v>
          </cell>
          <cell r="O154">
            <v>75000</v>
          </cell>
          <cell r="P154">
            <v>147900</v>
          </cell>
          <cell r="Q154">
            <v>0</v>
          </cell>
          <cell r="R154">
            <v>76500</v>
          </cell>
          <cell r="S154">
            <v>0</v>
          </cell>
          <cell r="T154">
            <v>224400</v>
          </cell>
          <cell r="U154">
            <v>0</v>
          </cell>
        </row>
        <row r="155">
          <cell r="A155" t="str">
            <v>BoQ_130</v>
          </cell>
          <cell r="B155">
            <v>130</v>
          </cell>
          <cell r="C155">
            <v>118</v>
          </cell>
          <cell r="D155" t="str">
            <v>Water resistance Gypsum board ceiling 600x600x9mm thk
Trần thạch cao chịu nước nhà vệ sinh</v>
          </cell>
          <cell r="E155" t="str">
            <v>Vĩnh Tường, Gyproc, Boral</v>
          </cell>
          <cell r="F155" t="str">
            <v>NHA_VE_SINH_TANG_2</v>
          </cell>
          <cell r="G155" t="str">
            <v>Cong_tac_thach_cao</v>
          </cell>
          <cell r="H155" t="str">
            <v>Thach_cao</v>
          </cell>
          <cell r="I155" t="str">
            <v>Nhà vệ sinh</v>
          </cell>
          <cell r="J155" t="str">
            <v>Gạch men</v>
          </cell>
          <cell r="K155" t="str">
            <v>300x600</v>
          </cell>
          <cell r="L155" t="str">
            <v>m2</v>
          </cell>
          <cell r="M155">
            <v>0</v>
          </cell>
          <cell r="N155">
            <v>140000</v>
          </cell>
          <cell r="O155">
            <v>45000</v>
          </cell>
          <cell r="P155">
            <v>142800</v>
          </cell>
          <cell r="Q155">
            <v>0</v>
          </cell>
          <cell r="R155">
            <v>45900</v>
          </cell>
          <cell r="S155">
            <v>0</v>
          </cell>
          <cell r="T155">
            <v>188700</v>
          </cell>
          <cell r="U155">
            <v>0</v>
          </cell>
        </row>
        <row r="156">
          <cell r="A156" t="str">
            <v>BoQ_131</v>
          </cell>
          <cell r="B156">
            <v>131</v>
          </cell>
          <cell r="C156">
            <v>119</v>
          </cell>
          <cell r="D156" t="str">
            <v>Vách ngăn nhà vệ sinh
HPL . Partition</v>
          </cell>
          <cell r="F156" t="str">
            <v>NHA_VE_SINH_TANG_2</v>
          </cell>
          <cell r="G156" t="str">
            <v>Cong_tac_khac</v>
          </cell>
          <cell r="H156" t="str">
            <v>Vach_ngan</v>
          </cell>
          <cell r="I156" t="str">
            <v>Nhà vệ sinh</v>
          </cell>
          <cell r="J156" t="str">
            <v>HPL</v>
          </cell>
          <cell r="L156" t="str">
            <v>m2</v>
          </cell>
          <cell r="M156">
            <v>0</v>
          </cell>
          <cell r="N156">
            <v>750000</v>
          </cell>
          <cell r="O156">
            <v>150000</v>
          </cell>
          <cell r="P156">
            <v>765000</v>
          </cell>
          <cell r="Q156">
            <v>0</v>
          </cell>
          <cell r="R156">
            <v>153000</v>
          </cell>
          <cell r="S156">
            <v>0</v>
          </cell>
          <cell r="T156">
            <v>918000</v>
          </cell>
          <cell r="U156">
            <v>0</v>
          </cell>
        </row>
        <row r="157">
          <cell r="A157" t="str">
            <v>BoQ_132</v>
          </cell>
          <cell r="B157">
            <v>132</v>
          </cell>
          <cell r="C157">
            <v>120</v>
          </cell>
          <cell r="D157" t="str">
            <v>Aluminium glass door (indoor) 
Cửa đi nhôm kính (trong nhà)</v>
          </cell>
          <cell r="E157" t="str">
            <v>Cửa tận dụng</v>
          </cell>
          <cell r="F157" t="str">
            <v>NHA_VE_SINH_TANG_2</v>
          </cell>
          <cell r="G157" t="str">
            <v>Cong_tac_cua_di_cua_so</v>
          </cell>
          <cell r="H157" t="str">
            <v>Cua_di</v>
          </cell>
          <cell r="I157" t="str">
            <v>Nhà vệ sinh</v>
          </cell>
          <cell r="L157" t="str">
            <v>m2</v>
          </cell>
          <cell r="M157">
            <v>0</v>
          </cell>
          <cell r="O157">
            <v>250000</v>
          </cell>
          <cell r="P157">
            <v>0</v>
          </cell>
          <cell r="Q157">
            <v>0</v>
          </cell>
          <cell r="R157">
            <v>255000</v>
          </cell>
          <cell r="S157">
            <v>0</v>
          </cell>
          <cell r="T157">
            <v>255000</v>
          </cell>
          <cell r="U157">
            <v>0</v>
          </cell>
        </row>
        <row r="158">
          <cell r="A158" t="str">
            <v>BoQ_133</v>
          </cell>
          <cell r="B158">
            <v>133</v>
          </cell>
          <cell r="C158">
            <v>121</v>
          </cell>
          <cell r="D158" t="str">
            <v>Accessories for Aluminium glass door 
Phụ kiện cửa đi</v>
          </cell>
          <cell r="E158" t="str">
            <v>Cửa tận dụng</v>
          </cell>
          <cell r="F158" t="str">
            <v>NHA_VE_SINH_TANG_2</v>
          </cell>
          <cell r="G158" t="str">
            <v>Cong_tac_cua_di_cua_so</v>
          </cell>
          <cell r="H158" t="str">
            <v>Phu_kien</v>
          </cell>
          <cell r="I158" t="str">
            <v>Nhà vệ sinh</v>
          </cell>
          <cell r="L158" t="str">
            <v>ea</v>
          </cell>
          <cell r="N158">
            <v>500000</v>
          </cell>
          <cell r="P158">
            <v>510000</v>
          </cell>
          <cell r="Q158">
            <v>0</v>
          </cell>
          <cell r="R158">
            <v>0</v>
          </cell>
          <cell r="S158">
            <v>0</v>
          </cell>
          <cell r="T158">
            <v>510000</v>
          </cell>
          <cell r="U158">
            <v>0</v>
          </cell>
        </row>
        <row r="159">
          <cell r="A159" t="str">
            <v>BoQ_134</v>
          </cell>
          <cell r="B159">
            <v>134</v>
          </cell>
          <cell r="C159">
            <v>122</v>
          </cell>
          <cell r="D159" t="str">
            <v>Vận chuyển
Transportation</v>
          </cell>
          <cell r="F159" t="str">
            <v>NHA_VE_SINH_TANG_2</v>
          </cell>
          <cell r="G159" t="str">
            <v>Cong_tac_cua_di_cua_so</v>
          </cell>
          <cell r="H159" t="str">
            <v>Van_chuyen</v>
          </cell>
          <cell r="I159" t="str">
            <v>Nhà vệ sinh</v>
          </cell>
          <cell r="L159" t="str">
            <v>lot</v>
          </cell>
          <cell r="M159">
            <v>0</v>
          </cell>
          <cell r="O159">
            <v>15000000</v>
          </cell>
          <cell r="P159">
            <v>0</v>
          </cell>
          <cell r="Q159">
            <v>0</v>
          </cell>
          <cell r="R159">
            <v>15300000</v>
          </cell>
          <cell r="S159">
            <v>0</v>
          </cell>
          <cell r="T159">
            <v>15300000</v>
          </cell>
          <cell r="U159">
            <v>0</v>
          </cell>
        </row>
        <row r="160">
          <cell r="C160">
            <v>4</v>
          </cell>
          <cell r="D160" t="str">
            <v>CẢI TẠO KHU SOẠN ĐỒ ĂN TẦNG 2
RENOVING THE FOOD PLACING AREAS 2nd floor</v>
          </cell>
        </row>
        <row r="161">
          <cell r="A161" t="str">
            <v>BoQ_135</v>
          </cell>
          <cell r="B161">
            <v>135</v>
          </cell>
          <cell r="C161">
            <v>122</v>
          </cell>
          <cell r="D161" t="str">
            <v>Khoan rút rõi đặt ống thoát sàn, chống thấm cổ ống xuyên sàn
Drill hole for piping installation</v>
          </cell>
          <cell r="F161" t="str">
            <v>NHA_BEP_TANG_2</v>
          </cell>
          <cell r="G161" t="str">
            <v>Cong_tac_be_tong</v>
          </cell>
          <cell r="H161" t="str">
            <v>Khoan_rut_loi</v>
          </cell>
          <cell r="I161" t="str">
            <v>Sàn</v>
          </cell>
          <cell r="L161" t="str">
            <v>Lỗ</v>
          </cell>
          <cell r="M161">
            <v>2</v>
          </cell>
          <cell r="O161">
            <v>1500000</v>
          </cell>
          <cell r="P161">
            <v>0</v>
          </cell>
          <cell r="Q161">
            <v>0</v>
          </cell>
          <cell r="R161">
            <v>1530000</v>
          </cell>
          <cell r="S161">
            <v>3060000</v>
          </cell>
          <cell r="T161">
            <v>1530000</v>
          </cell>
          <cell r="U161">
            <v>3060000</v>
          </cell>
        </row>
        <row r="162">
          <cell r="A162" t="str">
            <v>BoQ_136</v>
          </cell>
          <cell r="B162">
            <v>136</v>
          </cell>
          <cell r="C162">
            <v>123</v>
          </cell>
          <cell r="D162" t="str">
            <v xml:space="preserve">Chống thấm 
Waterproofing </v>
          </cell>
          <cell r="E162" t="str">
            <v>Sika 107</v>
          </cell>
          <cell r="F162" t="str">
            <v>NHA_BEP_TANG_2</v>
          </cell>
          <cell r="G162" t="str">
            <v>Cong_tac_chong_tham</v>
          </cell>
          <cell r="H162" t="str">
            <v>Chong_tham</v>
          </cell>
          <cell r="I162" t="str">
            <v>Nền nhà</v>
          </cell>
          <cell r="L162" t="str">
            <v>lot</v>
          </cell>
          <cell r="M162">
            <v>1</v>
          </cell>
          <cell r="N162">
            <v>15000000</v>
          </cell>
          <cell r="O162">
            <v>5500000</v>
          </cell>
          <cell r="P162">
            <v>15300000</v>
          </cell>
          <cell r="Q162">
            <v>15300000</v>
          </cell>
          <cell r="R162">
            <v>5610000</v>
          </cell>
          <cell r="S162">
            <v>5610000</v>
          </cell>
          <cell r="T162">
            <v>20910000</v>
          </cell>
          <cell r="U162">
            <v>20910000</v>
          </cell>
        </row>
        <row r="163">
          <cell r="A163" t="str">
            <v>BoQ_137</v>
          </cell>
          <cell r="B163">
            <v>137</v>
          </cell>
          <cell r="C163">
            <v>124</v>
          </cell>
          <cell r="D163" t="str">
            <v>Láng vữa nền nhà
Rolling mortar floor</v>
          </cell>
          <cell r="F163" t="str">
            <v>NHA_BEP_TANG_2</v>
          </cell>
          <cell r="G163" t="str">
            <v>Cong_tac_op_lat</v>
          </cell>
          <cell r="H163" t="str">
            <v>Lang_nen</v>
          </cell>
          <cell r="I163" t="str">
            <v>Nền nhà</v>
          </cell>
          <cell r="L163" t="str">
            <v>lot</v>
          </cell>
          <cell r="M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</row>
        <row r="164">
          <cell r="A164" t="str">
            <v>BoQ_138</v>
          </cell>
          <cell r="B164">
            <v>138</v>
          </cell>
          <cell r="C164">
            <v>124</v>
          </cell>
          <cell r="D164" t="str">
            <v>Lát nền chống trơn 300x300
Non-slip ceramic tile 300x300</v>
          </cell>
          <cell r="F164" t="str">
            <v>NHA_BEP_TANG_2</v>
          </cell>
          <cell r="G164" t="str">
            <v>Cong_tac_op_lat</v>
          </cell>
          <cell r="H164" t="str">
            <v>Lat_nen</v>
          </cell>
          <cell r="I164" t="str">
            <v>Nền nhà</v>
          </cell>
          <cell r="J164" t="str">
            <v>Gạch men</v>
          </cell>
          <cell r="K164" t="str">
            <v>300x300</v>
          </cell>
          <cell r="L164" t="str">
            <v>lot</v>
          </cell>
          <cell r="M164">
            <v>0</v>
          </cell>
          <cell r="N164">
            <v>125000</v>
          </cell>
          <cell r="O164">
            <v>75000</v>
          </cell>
          <cell r="P164">
            <v>127500</v>
          </cell>
          <cell r="Q164">
            <v>0</v>
          </cell>
          <cell r="R164">
            <v>76500</v>
          </cell>
          <cell r="S164">
            <v>0</v>
          </cell>
          <cell r="T164">
            <v>204000</v>
          </cell>
          <cell r="U164">
            <v>0</v>
          </cell>
        </row>
        <row r="165">
          <cell r="A165" t="str">
            <v>BoQ_139</v>
          </cell>
          <cell r="B165">
            <v>139</v>
          </cell>
          <cell r="C165">
            <v>125</v>
          </cell>
          <cell r="D165" t="str">
            <v>Ốp tường nhà bếp 300x600
Ceramic tile 300x600</v>
          </cell>
          <cell r="F165" t="str">
            <v>NHA_BEP_TANG_2</v>
          </cell>
          <cell r="G165" t="str">
            <v>Cong_tac_op_lat</v>
          </cell>
          <cell r="H165" t="str">
            <v>Op_tuong</v>
          </cell>
          <cell r="I165" t="str">
            <v>Tường</v>
          </cell>
          <cell r="J165" t="str">
            <v>Gạch men</v>
          </cell>
          <cell r="K165" t="str">
            <v>300x600</v>
          </cell>
          <cell r="L165" t="str">
            <v>m2</v>
          </cell>
          <cell r="M165">
            <v>0</v>
          </cell>
          <cell r="N165">
            <v>145000</v>
          </cell>
          <cell r="O165">
            <v>75000</v>
          </cell>
          <cell r="P165">
            <v>147900</v>
          </cell>
          <cell r="Q165">
            <v>0</v>
          </cell>
          <cell r="R165">
            <v>76500</v>
          </cell>
          <cell r="S165">
            <v>0</v>
          </cell>
          <cell r="T165">
            <v>224400</v>
          </cell>
          <cell r="U165">
            <v>0</v>
          </cell>
        </row>
        <row r="166">
          <cell r="A166" t="str">
            <v>BoQ_140</v>
          </cell>
          <cell r="B166">
            <v>140</v>
          </cell>
          <cell r="C166">
            <v>125</v>
          </cell>
          <cell r="D166" t="str">
            <v>Water resistance Gypsum board ceiling 600x600x9mm thk
Trần thạch cao chịu nước nhà vệ sinh</v>
          </cell>
          <cell r="E166" t="str">
            <v>Vĩnh Tường, Gyproc, Boral</v>
          </cell>
          <cell r="F166" t="str">
            <v>NHA_BEP_TANG_2</v>
          </cell>
          <cell r="G166" t="str">
            <v>Cong_tac_thach_cao</v>
          </cell>
          <cell r="H166" t="str">
            <v>Thach_cao</v>
          </cell>
          <cell r="I166" t="str">
            <v>Trần</v>
          </cell>
          <cell r="J166" t="str">
            <v>Thạch cao</v>
          </cell>
          <cell r="K166" t="str">
            <v>600x600</v>
          </cell>
          <cell r="L166" t="str">
            <v>m2</v>
          </cell>
          <cell r="M166">
            <v>0</v>
          </cell>
          <cell r="N166">
            <v>140000</v>
          </cell>
          <cell r="O166">
            <v>45000</v>
          </cell>
          <cell r="P166">
            <v>142800</v>
          </cell>
          <cell r="Q166">
            <v>0</v>
          </cell>
          <cell r="R166">
            <v>45900</v>
          </cell>
          <cell r="S166">
            <v>0</v>
          </cell>
          <cell r="T166">
            <v>188700</v>
          </cell>
          <cell r="U166">
            <v>0</v>
          </cell>
        </row>
        <row r="167">
          <cell r="A167" t="str">
            <v>BoQ_141</v>
          </cell>
          <cell r="B167">
            <v>141</v>
          </cell>
          <cell r="C167">
            <v>126</v>
          </cell>
          <cell r="D167" t="str">
            <v>Aluminium glass door (indoor) 
Cửa đi nhôm kính (trong nhà)</v>
          </cell>
          <cell r="E167" t="str">
            <v xml:space="preserve">Cửa hệ Xingfa cao cấp
High grade Xingfa </v>
          </cell>
          <cell r="F167" t="str">
            <v>NHA_BEP_TANG_2</v>
          </cell>
          <cell r="G167" t="str">
            <v>Cong_tac_cua_di_cua_so</v>
          </cell>
          <cell r="H167" t="str">
            <v>Cua_di</v>
          </cell>
          <cell r="I167" t="str">
            <v>Tường</v>
          </cell>
          <cell r="J167" t="str">
            <v>Nhôm kính</v>
          </cell>
          <cell r="L167" t="str">
            <v>m2</v>
          </cell>
          <cell r="M167">
            <v>3.3000000000000003</v>
          </cell>
          <cell r="N167">
            <v>1350000</v>
          </cell>
          <cell r="O167">
            <v>250000</v>
          </cell>
          <cell r="P167">
            <v>1377000</v>
          </cell>
          <cell r="Q167">
            <v>4544100</v>
          </cell>
          <cell r="R167">
            <v>255000</v>
          </cell>
          <cell r="S167">
            <v>841500.00000000012</v>
          </cell>
          <cell r="T167">
            <v>1632000</v>
          </cell>
          <cell r="U167">
            <v>5385600</v>
          </cell>
        </row>
        <row r="168">
          <cell r="A168" t="str">
            <v>BoQ_142</v>
          </cell>
          <cell r="B168">
            <v>142</v>
          </cell>
          <cell r="C168">
            <v>127</v>
          </cell>
          <cell r="D168" t="str">
            <v>Accessories for Aluminium glass door 
Phụ kiện cửa đi: Khóa, bản lề, tay lắm, keo, vít…</v>
          </cell>
          <cell r="E168" t="str">
            <v>Kin long</v>
          </cell>
          <cell r="F168" t="str">
            <v>NHA_BEP_TANG_2</v>
          </cell>
          <cell r="G168" t="str">
            <v>Cong_tac_cua_di_cua_so</v>
          </cell>
          <cell r="H168" t="str">
            <v>Phu_kien</v>
          </cell>
          <cell r="I168" t="str">
            <v>Tường</v>
          </cell>
          <cell r="J168" t="str">
            <v>Nhôm kính</v>
          </cell>
          <cell r="L168" t="str">
            <v>ea</v>
          </cell>
          <cell r="M168">
            <v>1</v>
          </cell>
          <cell r="N168">
            <v>450000</v>
          </cell>
          <cell r="O168">
            <v>150000</v>
          </cell>
          <cell r="P168">
            <v>459000</v>
          </cell>
          <cell r="Q168">
            <v>459000</v>
          </cell>
          <cell r="R168">
            <v>153000</v>
          </cell>
          <cell r="S168">
            <v>153000</v>
          </cell>
          <cell r="T168">
            <v>612000</v>
          </cell>
          <cell r="U168">
            <v>612000</v>
          </cell>
        </row>
        <row r="169">
          <cell r="C169">
            <v>5</v>
          </cell>
          <cell r="D169" t="str">
            <v>HOÀN THIỆN TRẦN, VÁCH, NỀN CÁC PHÒNG LÀM VIỆC, ĂN
FINISHING THE CEILING, WALLS, BACKGROUND OF WORKING, DELICIOUS ROOMS</v>
          </cell>
        </row>
        <row r="170">
          <cell r="A170" t="str">
            <v>BoQ_143</v>
          </cell>
          <cell r="B170">
            <v>143</v>
          </cell>
          <cell r="C170">
            <v>128</v>
          </cell>
          <cell r="D170" t="str">
            <v>Láng vữa nền nhà
Rolling mortar floor</v>
          </cell>
          <cell r="F170" t="str">
            <v>VAN_PHONG_TANG_2</v>
          </cell>
          <cell r="G170" t="str">
            <v>Cong_tac_op_lat</v>
          </cell>
          <cell r="H170" t="str">
            <v>Lang_nen</v>
          </cell>
          <cell r="L170" t="str">
            <v>m²</v>
          </cell>
          <cell r="M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</row>
        <row r="171">
          <cell r="A171" t="str">
            <v>BoQ_144</v>
          </cell>
          <cell r="B171">
            <v>144</v>
          </cell>
          <cell r="C171">
            <v>129</v>
          </cell>
          <cell r="D171" t="str">
            <v>Ceramic tile 600*600
Lát nền gạch ceramic 600*600</v>
          </cell>
          <cell r="F171" t="str">
            <v>VAN_PHONG_TANG_2</v>
          </cell>
          <cell r="G171" t="str">
            <v>Cong_tac_op_lat</v>
          </cell>
          <cell r="H171" t="str">
            <v>Lat_nen</v>
          </cell>
          <cell r="I171" t="str">
            <v>Nền</v>
          </cell>
          <cell r="J171" t="str">
            <v>gạch men</v>
          </cell>
          <cell r="K171" t="str">
            <v>600x600</v>
          </cell>
          <cell r="L171" t="str">
            <v>m²</v>
          </cell>
          <cell r="M171">
            <v>0</v>
          </cell>
          <cell r="N171">
            <v>165000</v>
          </cell>
          <cell r="O171">
            <v>75000</v>
          </cell>
          <cell r="P171">
            <v>168300</v>
          </cell>
          <cell r="Q171">
            <v>0</v>
          </cell>
          <cell r="R171">
            <v>76500</v>
          </cell>
          <cell r="S171">
            <v>0</v>
          </cell>
          <cell r="T171">
            <v>244800</v>
          </cell>
          <cell r="U171">
            <v>0</v>
          </cell>
        </row>
        <row r="172">
          <cell r="A172" t="str">
            <v>BoQ_145</v>
          </cell>
          <cell r="B172">
            <v>145</v>
          </cell>
          <cell r="D172" t="str">
            <v>Bê tông nền nhà mác 200
Concrete floor, grade 200</v>
          </cell>
          <cell r="F172" t="str">
            <v>VAN_PHONG_TANG_2</v>
          </cell>
          <cell r="G172" t="str">
            <v>Cong_tac_op_lat</v>
          </cell>
          <cell r="H172" t="str">
            <v>Be_tong</v>
          </cell>
          <cell r="I172" t="str">
            <v>Nền nhà</v>
          </cell>
          <cell r="J172" t="str">
            <v>M200</v>
          </cell>
          <cell r="K172" t="str">
            <v>Đá 1x2</v>
          </cell>
          <cell r="L172" t="str">
            <v>m3</v>
          </cell>
          <cell r="M172">
            <v>73.33</v>
          </cell>
          <cell r="N172">
            <v>860000</v>
          </cell>
          <cell r="O172">
            <v>65000</v>
          </cell>
          <cell r="P172">
            <v>877200</v>
          </cell>
          <cell r="Q172">
            <v>64325076</v>
          </cell>
          <cell r="R172">
            <v>66300</v>
          </cell>
          <cell r="S172">
            <v>4861779</v>
          </cell>
          <cell r="T172">
            <v>943500</v>
          </cell>
          <cell r="U172">
            <v>69186855</v>
          </cell>
        </row>
        <row r="173">
          <cell r="A173" t="str">
            <v>BoQ_146</v>
          </cell>
          <cell r="B173">
            <v>146</v>
          </cell>
          <cell r="D173" t="str">
            <v>Đánh hadener lỏng nền nhà văn phòng T1 và T2
Liquid hardener for 1st and 2nd Floors</v>
          </cell>
          <cell r="F173" t="str">
            <v>VAN_PHONG_TANG_2</v>
          </cell>
          <cell r="G173" t="str">
            <v>Cong_tac_hadener</v>
          </cell>
          <cell r="H173" t="str">
            <v>Hadener</v>
          </cell>
          <cell r="I173" t="str">
            <v>Nền</v>
          </cell>
          <cell r="J173" t="str">
            <v>Liqui</v>
          </cell>
          <cell r="L173" t="str">
            <v>m²</v>
          </cell>
          <cell r="M173">
            <v>1466</v>
          </cell>
          <cell r="N173">
            <v>40000</v>
          </cell>
          <cell r="O173">
            <v>45000</v>
          </cell>
          <cell r="P173">
            <v>40800</v>
          </cell>
          <cell r="Q173">
            <v>59812800</v>
          </cell>
          <cell r="R173">
            <v>45900</v>
          </cell>
          <cell r="S173">
            <v>67289400</v>
          </cell>
          <cell r="T173">
            <v>86700</v>
          </cell>
          <cell r="U173">
            <v>127102200</v>
          </cell>
        </row>
        <row r="174">
          <cell r="A174" t="str">
            <v>BoQ_147</v>
          </cell>
          <cell r="B174">
            <v>147</v>
          </cell>
          <cell r="C174">
            <v>130</v>
          </cell>
          <cell r="D174" t="str">
            <v>Vách thạch cao 2 mặt dày 100
Gypsum partition both side</v>
          </cell>
          <cell r="F174" t="str">
            <v>VAN_PHONG_TANG_2</v>
          </cell>
          <cell r="G174" t="str">
            <v>Cong_tac_thach_cao</v>
          </cell>
          <cell r="H174" t="str">
            <v>Thach_cao</v>
          </cell>
          <cell r="I174" t="str">
            <v>Tường</v>
          </cell>
          <cell r="J174" t="str">
            <v>Thạch cao</v>
          </cell>
          <cell r="K174" t="str">
            <v>2 mặt</v>
          </cell>
          <cell r="L174" t="str">
            <v>m²</v>
          </cell>
          <cell r="M174">
            <v>160.41112500000003</v>
          </cell>
          <cell r="N174">
            <v>385000</v>
          </cell>
          <cell r="O174">
            <v>117000</v>
          </cell>
          <cell r="P174">
            <v>392700</v>
          </cell>
          <cell r="Q174">
            <v>62993448.787500009</v>
          </cell>
          <cell r="R174">
            <v>119340</v>
          </cell>
          <cell r="S174">
            <v>19143463.657500003</v>
          </cell>
          <cell r="T174">
            <v>512040</v>
          </cell>
          <cell r="U174">
            <v>82136912.445000008</v>
          </cell>
        </row>
        <row r="175">
          <cell r="A175" t="str">
            <v>BoQ_148</v>
          </cell>
          <cell r="B175">
            <v>148</v>
          </cell>
          <cell r="C175">
            <v>131</v>
          </cell>
          <cell r="D175" t="str">
            <v xml:space="preserve">Sơn bả tường, vách
Emulsion Paint for wall surfaces </v>
          </cell>
          <cell r="F175" t="str">
            <v>VAN_PHONG_TANG_2</v>
          </cell>
          <cell r="G175" t="str">
            <v>Cong_tac_son_ba</v>
          </cell>
          <cell r="H175" t="str">
            <v>Son_nuoc</v>
          </cell>
          <cell r="I175" t="str">
            <v>Tường, vách</v>
          </cell>
          <cell r="J175" t="str">
            <v>Sơn nước</v>
          </cell>
          <cell r="L175" t="str">
            <v>m²</v>
          </cell>
          <cell r="M175">
            <v>1370.9222500000001</v>
          </cell>
          <cell r="N175">
            <v>40000</v>
          </cell>
          <cell r="O175">
            <v>45000</v>
          </cell>
          <cell r="P175">
            <v>40800</v>
          </cell>
          <cell r="Q175">
            <v>55933627.800000004</v>
          </cell>
          <cell r="R175">
            <v>45900</v>
          </cell>
          <cell r="S175">
            <v>62925331.275000006</v>
          </cell>
          <cell r="T175">
            <v>86700</v>
          </cell>
          <cell r="U175">
            <v>118858959.075</v>
          </cell>
        </row>
        <row r="176">
          <cell r="A176" t="str">
            <v>BoQ_149</v>
          </cell>
          <cell r="B176">
            <v>149</v>
          </cell>
          <cell r="C176">
            <v>132</v>
          </cell>
          <cell r="D176" t="str">
            <v>Adjust, re install gypsum board ceiling 600x600x9mm thk for Office
Chỉnh sửa, lắp dựng lại trần thạch cao khung xương nổi nhà VP</v>
          </cell>
          <cell r="E176" t="str">
            <v>Vĩnh Tường, Gyproc, Boral</v>
          </cell>
          <cell r="F176" t="str">
            <v>VAN_PHONG_TANG_2</v>
          </cell>
          <cell r="G176" t="str">
            <v>Cong_tac_thach_cao</v>
          </cell>
          <cell r="H176" t="str">
            <v>Thach_cao</v>
          </cell>
          <cell r="I176" t="str">
            <v>Trần</v>
          </cell>
          <cell r="J176" t="str">
            <v>Thạch cao</v>
          </cell>
          <cell r="K176" t="str">
            <v>600x600x9</v>
          </cell>
          <cell r="L176" t="str">
            <v>m2</v>
          </cell>
          <cell r="M176">
            <v>1438.6</v>
          </cell>
          <cell r="O176">
            <v>45000</v>
          </cell>
          <cell r="P176">
            <v>0</v>
          </cell>
          <cell r="Q176">
            <v>0</v>
          </cell>
          <cell r="R176">
            <v>45900</v>
          </cell>
          <cell r="S176">
            <v>66031739.999999993</v>
          </cell>
          <cell r="T176">
            <v>45900</v>
          </cell>
          <cell r="U176">
            <v>66031739.999999993</v>
          </cell>
        </row>
        <row r="177">
          <cell r="A177" t="str">
            <v>BoQ_150</v>
          </cell>
          <cell r="B177">
            <v>150</v>
          </cell>
          <cell r="C177">
            <v>133</v>
          </cell>
          <cell r="D177" t="str">
            <v>Tempered glass for main entrance door 
Cửa kính cường lực mặt tiền</v>
          </cell>
          <cell r="E177" t="str">
            <v>10mm thk tempered glass partition, Hafele accessories
Vách kính 10 mm, phụ kiện.</v>
          </cell>
          <cell r="F177" t="str">
            <v>VAN_PHONG_TANG_2</v>
          </cell>
          <cell r="G177" t="str">
            <v>Cong_tac_cua_di_cua_so</v>
          </cell>
          <cell r="H177" t="str">
            <v>Cua_di</v>
          </cell>
          <cell r="I177" t="str">
            <v>Sảnh</v>
          </cell>
          <cell r="J177" t="str">
            <v>Kính cường lực</v>
          </cell>
          <cell r="K177" t="str">
            <v>thk 10mm</v>
          </cell>
          <cell r="L177" t="str">
            <v>m2</v>
          </cell>
          <cell r="M177">
            <v>53.669999999999995</v>
          </cell>
          <cell r="N177">
            <v>3500000</v>
          </cell>
          <cell r="O177">
            <v>450000</v>
          </cell>
          <cell r="P177">
            <v>3570000</v>
          </cell>
          <cell r="Q177">
            <v>191601899.99999997</v>
          </cell>
          <cell r="R177">
            <v>459000</v>
          </cell>
          <cell r="S177">
            <v>24634529.999999996</v>
          </cell>
          <cell r="T177">
            <v>4029000</v>
          </cell>
          <cell r="U177">
            <v>216236429.99999997</v>
          </cell>
        </row>
        <row r="178">
          <cell r="A178" t="str">
            <v>BoQ_151</v>
          </cell>
          <cell r="B178">
            <v>151</v>
          </cell>
          <cell r="C178">
            <v>134</v>
          </cell>
          <cell r="D178" t="str">
            <v>Accessories for main entrance door
 Phụ kiện cửa cường lực: Khóa, bản lề,…</v>
          </cell>
          <cell r="E178" t="str">
            <v>Kinlong  or equivalent</v>
          </cell>
          <cell r="F178" t="str">
            <v>VAN_PHONG_TANG_2</v>
          </cell>
          <cell r="G178" t="str">
            <v>Cong_tac_cua_di_cua_so</v>
          </cell>
          <cell r="H178" t="str">
            <v>Phu_kien</v>
          </cell>
          <cell r="I178" t="str">
            <v>Phụ kiện</v>
          </cell>
          <cell r="L178" t="str">
            <v>ea</v>
          </cell>
          <cell r="M178">
            <v>2</v>
          </cell>
          <cell r="N178">
            <v>500000</v>
          </cell>
          <cell r="P178">
            <v>510000</v>
          </cell>
          <cell r="Q178">
            <v>1020000</v>
          </cell>
          <cell r="R178">
            <v>0</v>
          </cell>
          <cell r="S178">
            <v>0</v>
          </cell>
          <cell r="T178">
            <v>510000</v>
          </cell>
          <cell r="U178">
            <v>1020000</v>
          </cell>
        </row>
        <row r="179">
          <cell r="A179" t="str">
            <v>BoQ_152</v>
          </cell>
          <cell r="B179">
            <v>152</v>
          </cell>
          <cell r="C179">
            <v>135</v>
          </cell>
          <cell r="D179" t="str">
            <v>Bộ lưu điện UPS</v>
          </cell>
          <cell r="F179" t="str">
            <v>VAN_PHONG_TANG_2</v>
          </cell>
          <cell r="G179" t="str">
            <v>Cong_tac_cua_di_cua_so</v>
          </cell>
          <cell r="H179" t="str">
            <v>Cua_di</v>
          </cell>
          <cell r="I179" t="str">
            <v>Bộ lưu điện</v>
          </cell>
          <cell r="L179" t="str">
            <v>ea</v>
          </cell>
          <cell r="M179">
            <v>2</v>
          </cell>
          <cell r="N179">
            <v>20000000</v>
          </cell>
          <cell r="P179">
            <v>20400000</v>
          </cell>
          <cell r="Q179">
            <v>40800000</v>
          </cell>
          <cell r="R179">
            <v>0</v>
          </cell>
          <cell r="S179">
            <v>0</v>
          </cell>
          <cell r="T179">
            <v>20400000</v>
          </cell>
          <cell r="U179">
            <v>40800000</v>
          </cell>
        </row>
        <row r="180">
          <cell r="A180" t="str">
            <v>BoQ_153</v>
          </cell>
          <cell r="B180">
            <v>153</v>
          </cell>
          <cell r="C180">
            <v>136</v>
          </cell>
          <cell r="D180" t="str">
            <v>Automatic rail
 Ray thiết bị tự động</v>
          </cell>
          <cell r="E180" t="str">
            <v>Kinlong  or equivalent</v>
          </cell>
          <cell r="F180" t="str">
            <v>VAN_PHONG_TANG_2</v>
          </cell>
          <cell r="G180" t="str">
            <v>Cong_tac_cua_di_cua_so</v>
          </cell>
          <cell r="H180" t="str">
            <v>Cua_di</v>
          </cell>
          <cell r="I180" t="str">
            <v>Ray thiết bị</v>
          </cell>
          <cell r="L180" t="str">
            <v>ea</v>
          </cell>
          <cell r="M180">
            <v>2</v>
          </cell>
          <cell r="N180">
            <v>15000000</v>
          </cell>
          <cell r="P180">
            <v>15300000</v>
          </cell>
          <cell r="Q180">
            <v>30600000</v>
          </cell>
          <cell r="R180">
            <v>0</v>
          </cell>
          <cell r="S180">
            <v>0</v>
          </cell>
          <cell r="T180">
            <v>15300000</v>
          </cell>
          <cell r="U180">
            <v>30600000</v>
          </cell>
        </row>
        <row r="181">
          <cell r="A181" t="str">
            <v>BoQ_154</v>
          </cell>
          <cell r="B181">
            <v>154</v>
          </cell>
          <cell r="C181">
            <v>137</v>
          </cell>
          <cell r="D181" t="str">
            <v>Vận chuyển
Transportation</v>
          </cell>
          <cell r="F181" t="str">
            <v>VAN_PHONG_TANG_2</v>
          </cell>
          <cell r="G181" t="str">
            <v>Cong_tac_cua_di_cua_so</v>
          </cell>
          <cell r="H181" t="str">
            <v>Van_chuyen</v>
          </cell>
          <cell r="L181" t="str">
            <v>lot</v>
          </cell>
          <cell r="M181">
            <v>1</v>
          </cell>
          <cell r="N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</row>
        <row r="182">
          <cell r="A182" t="str">
            <v>BoQ_155</v>
          </cell>
          <cell r="B182">
            <v>155</v>
          </cell>
          <cell r="C182">
            <v>138</v>
          </cell>
          <cell r="D182" t="str">
            <v>Aluminium glass door (indoor) 
Cửa đi nhôm kính (trong nhà)</v>
          </cell>
          <cell r="E182" t="str">
            <v xml:space="preserve">Cửa hệ Xingfa 
High grade Xingfa </v>
          </cell>
          <cell r="F182" t="str">
            <v>VAN_PHONG_TANG_2</v>
          </cell>
          <cell r="G182" t="str">
            <v>Cong_tac_cua_di_cua_so</v>
          </cell>
          <cell r="H182" t="str">
            <v>Cua_di</v>
          </cell>
          <cell r="I182" t="str">
            <v>Tường</v>
          </cell>
          <cell r="J182" t="str">
            <v>Xingfa</v>
          </cell>
          <cell r="L182" t="str">
            <v>m2</v>
          </cell>
          <cell r="M182">
            <v>29.26</v>
          </cell>
          <cell r="N182">
            <v>1350000</v>
          </cell>
          <cell r="O182">
            <v>250000</v>
          </cell>
          <cell r="P182">
            <v>1377000</v>
          </cell>
          <cell r="Q182">
            <v>40291020</v>
          </cell>
          <cell r="R182">
            <v>255000</v>
          </cell>
          <cell r="S182">
            <v>7461300</v>
          </cell>
          <cell r="T182">
            <v>1632000</v>
          </cell>
          <cell r="U182">
            <v>47752320</v>
          </cell>
        </row>
        <row r="183">
          <cell r="A183" t="str">
            <v>BoQ_156</v>
          </cell>
          <cell r="B183">
            <v>156</v>
          </cell>
          <cell r="C183">
            <v>139</v>
          </cell>
          <cell r="D183" t="str">
            <v>Accessories for Aluminium glass door 
Phụ kiện cửa đi</v>
          </cell>
          <cell r="E183" t="str">
            <v>Kin long</v>
          </cell>
          <cell r="F183" t="str">
            <v>VAN_PHONG_TANG_2</v>
          </cell>
          <cell r="G183" t="str">
            <v>Cong_tac_cua_di_cua_so</v>
          </cell>
          <cell r="H183" t="str">
            <v>Phu_kien</v>
          </cell>
          <cell r="I183" t="str">
            <v>Tường</v>
          </cell>
          <cell r="J183" t="str">
            <v>Kin long</v>
          </cell>
          <cell r="L183" t="str">
            <v>ea</v>
          </cell>
          <cell r="M183">
            <v>9</v>
          </cell>
          <cell r="N183">
            <v>500000</v>
          </cell>
          <cell r="P183">
            <v>510000</v>
          </cell>
          <cell r="Q183">
            <v>4590000</v>
          </cell>
          <cell r="R183">
            <v>0</v>
          </cell>
          <cell r="S183">
            <v>0</v>
          </cell>
          <cell r="T183">
            <v>510000</v>
          </cell>
          <cell r="U183">
            <v>4590000</v>
          </cell>
        </row>
        <row r="184">
          <cell r="A184" t="str">
            <v>BoQ_157</v>
          </cell>
          <cell r="B184">
            <v>157</v>
          </cell>
          <cell r="C184">
            <v>140</v>
          </cell>
          <cell r="D184" t="str">
            <v>Vách nhôm kính dán an toàn 6.38mm / Aluminum and glass wall 6.38mm</v>
          </cell>
          <cell r="E184" t="str">
            <v xml:space="preserve">hệ Xingfa 
High grade Xingfa </v>
          </cell>
          <cell r="F184" t="str">
            <v>VAN_PHONG_TANG_2</v>
          </cell>
          <cell r="G184" t="str">
            <v>Cong_tac_cua_di_cua_so</v>
          </cell>
          <cell r="H184" t="str">
            <v>Vach_kinh</v>
          </cell>
          <cell r="I184" t="str">
            <v>Vách kính</v>
          </cell>
          <cell r="J184" t="str">
            <v>Xingfa</v>
          </cell>
          <cell r="L184" t="str">
            <v>m2</v>
          </cell>
          <cell r="M184">
            <v>50</v>
          </cell>
          <cell r="N184">
            <v>2450000</v>
          </cell>
          <cell r="O184">
            <v>350000</v>
          </cell>
          <cell r="P184">
            <v>2499000</v>
          </cell>
          <cell r="Q184">
            <v>124950000</v>
          </cell>
          <cell r="R184">
            <v>357000</v>
          </cell>
          <cell r="S184">
            <v>17850000</v>
          </cell>
          <cell r="T184">
            <v>2856000</v>
          </cell>
          <cell r="U184">
            <v>142800000</v>
          </cell>
        </row>
        <row r="185">
          <cell r="A185" t="str">
            <v>BoQ_158</v>
          </cell>
          <cell r="B185">
            <v>158</v>
          </cell>
          <cell r="C185">
            <v>141</v>
          </cell>
          <cell r="D185" t="str">
            <v>Vách kính chống cháy khu thang bộ tầng 2</v>
          </cell>
          <cell r="E185" t="str">
            <v>Thanh Tien or equivalent</v>
          </cell>
          <cell r="F185" t="str">
            <v>VAN_PHONG_TANG_2</v>
          </cell>
          <cell r="G185" t="str">
            <v>Cong_tac_cua_di_cua_so</v>
          </cell>
          <cell r="H185" t="str">
            <v>Vach_kinh</v>
          </cell>
          <cell r="I185" t="str">
            <v>Thang bộ</v>
          </cell>
          <cell r="J185" t="str">
            <v>Chống cháy</v>
          </cell>
          <cell r="L185" t="str">
            <v>m2</v>
          </cell>
          <cell r="M185">
            <v>32.96</v>
          </cell>
          <cell r="N185">
            <v>4500000</v>
          </cell>
          <cell r="O185">
            <v>550000</v>
          </cell>
          <cell r="P185">
            <v>4590000</v>
          </cell>
          <cell r="Q185">
            <v>151286400</v>
          </cell>
          <cell r="R185">
            <v>561000</v>
          </cell>
          <cell r="S185">
            <v>18490560</v>
          </cell>
          <cell r="T185">
            <v>5151000</v>
          </cell>
          <cell r="U185">
            <v>169776960</v>
          </cell>
        </row>
        <row r="186">
          <cell r="A186" t="str">
            <v>BoQ_159</v>
          </cell>
          <cell r="B186">
            <v>159</v>
          </cell>
          <cell r="C186">
            <v>142</v>
          </cell>
          <cell r="D186" t="str">
            <v>Phụ kiện cửa kính chống cháy</v>
          </cell>
          <cell r="E186" t="str">
            <v>Thanh Tien or equivalent</v>
          </cell>
          <cell r="F186" t="str">
            <v>VAN_PHONG_TANG_2</v>
          </cell>
          <cell r="G186" t="str">
            <v>Cong_tac_cua_di_cua_so</v>
          </cell>
          <cell r="H186" t="str">
            <v>Phu_kien</v>
          </cell>
          <cell r="I186" t="str">
            <v>Thang bộ</v>
          </cell>
          <cell r="J186" t="str">
            <v>Chống cháy</v>
          </cell>
          <cell r="L186" t="str">
            <v>bộ</v>
          </cell>
          <cell r="M186">
            <v>2</v>
          </cell>
          <cell r="N186">
            <v>500000</v>
          </cell>
          <cell r="P186">
            <v>510000</v>
          </cell>
          <cell r="Q186">
            <v>1020000</v>
          </cell>
          <cell r="R186">
            <v>0</v>
          </cell>
          <cell r="S186">
            <v>0</v>
          </cell>
          <cell r="T186">
            <v>510000</v>
          </cell>
          <cell r="U186">
            <v>1020000</v>
          </cell>
        </row>
        <row r="187">
          <cell r="A187" t="str">
            <v>BoQ_160</v>
          </cell>
          <cell r="B187">
            <v>160</v>
          </cell>
          <cell r="C187">
            <v>143</v>
          </cell>
          <cell r="D187" t="str">
            <v>Chi phí lắp đặt, vật tư phụ
Sub material and installation</v>
          </cell>
          <cell r="F187" t="str">
            <v>VAN_PHONG_TANG_2</v>
          </cell>
          <cell r="G187" t="str">
            <v>Cong_tac_cua_di_cua_so</v>
          </cell>
          <cell r="H187" t="str">
            <v>Lap_dat</v>
          </cell>
          <cell r="L187" t="str">
            <v>m2</v>
          </cell>
          <cell r="M187">
            <v>32.96</v>
          </cell>
          <cell r="O187">
            <v>350000</v>
          </cell>
          <cell r="P187">
            <v>0</v>
          </cell>
          <cell r="Q187">
            <v>0</v>
          </cell>
          <cell r="R187">
            <v>357000</v>
          </cell>
          <cell r="S187">
            <v>11766720</v>
          </cell>
          <cell r="T187">
            <v>357000</v>
          </cell>
          <cell r="U187">
            <v>11766720</v>
          </cell>
        </row>
        <row r="188">
          <cell r="A188" t="str">
            <v>BoQ_161</v>
          </cell>
          <cell r="B188">
            <v>161</v>
          </cell>
          <cell r="C188">
            <v>144</v>
          </cell>
          <cell r="D188" t="str">
            <v>Chi phí kiểm định vách kính chống cháy
Fire rated door inspection fee</v>
          </cell>
          <cell r="F188" t="str">
            <v>VAN_PHONG_TANG_2</v>
          </cell>
          <cell r="G188" t="str">
            <v>Cong_tac_cua_di_cua_so</v>
          </cell>
          <cell r="H188" t="str">
            <v>Kiem_dinh</v>
          </cell>
          <cell r="I188" t="str">
            <v>Vách kính</v>
          </cell>
          <cell r="J188" t="str">
            <v>Chống cháy</v>
          </cell>
          <cell r="L188" t="str">
            <v>lot</v>
          </cell>
          <cell r="M188">
            <v>1</v>
          </cell>
          <cell r="N188">
            <v>30000000</v>
          </cell>
          <cell r="P188">
            <v>30600000</v>
          </cell>
          <cell r="Q188">
            <v>30600000</v>
          </cell>
          <cell r="R188">
            <v>0</v>
          </cell>
          <cell r="S188">
            <v>0</v>
          </cell>
          <cell r="T188">
            <v>30600000</v>
          </cell>
          <cell r="U188">
            <v>30600000</v>
          </cell>
        </row>
        <row r="189">
          <cell r="A189" t="str">
            <v>BoQ_162</v>
          </cell>
          <cell r="B189">
            <v>162</v>
          </cell>
          <cell r="C189">
            <v>145</v>
          </cell>
          <cell r="D189" t="str">
            <v>xây tường 110 bọc cột thép build 110 wall covered with steel poles</v>
          </cell>
          <cell r="F189" t="str">
            <v>VAN_PHONG_TANG_2</v>
          </cell>
          <cell r="G189" t="str">
            <v>Cong_tac_xay_trat</v>
          </cell>
          <cell r="H189" t="str">
            <v>Xay_tuong</v>
          </cell>
          <cell r="I189" t="str">
            <v>Tường</v>
          </cell>
          <cell r="J189" t="str">
            <v>Gạch</v>
          </cell>
          <cell r="K189" t="str">
            <v>Thk 100</v>
          </cell>
          <cell r="L189" t="str">
            <v>m3</v>
          </cell>
          <cell r="M189">
            <v>49.896000000000001</v>
          </cell>
          <cell r="N189">
            <v>950000</v>
          </cell>
          <cell r="O189">
            <v>700000</v>
          </cell>
          <cell r="P189">
            <v>969000</v>
          </cell>
          <cell r="Q189">
            <v>48349224</v>
          </cell>
          <cell r="R189">
            <v>714000</v>
          </cell>
          <cell r="S189">
            <v>35625744</v>
          </cell>
          <cell r="T189">
            <v>1683000</v>
          </cell>
          <cell r="U189">
            <v>83974968</v>
          </cell>
        </row>
        <row r="190">
          <cell r="A190" t="str">
            <v>BoQ_163</v>
          </cell>
          <cell r="B190">
            <v>163</v>
          </cell>
          <cell r="C190">
            <v>146</v>
          </cell>
          <cell r="D190" t="str">
            <v>Trát cột Plastering columns</v>
          </cell>
          <cell r="F190" t="str">
            <v>VAN_PHONG_TANG_2</v>
          </cell>
          <cell r="G190" t="str">
            <v>Cong_tac_xay_trat</v>
          </cell>
          <cell r="H190" t="str">
            <v>Trat_tuong</v>
          </cell>
          <cell r="I190" t="str">
            <v>Tường</v>
          </cell>
          <cell r="J190" t="str">
            <v>M75</v>
          </cell>
          <cell r="K190" t="str">
            <v>Thk 1.5mm</v>
          </cell>
          <cell r="L190" t="str">
            <v>m2</v>
          </cell>
          <cell r="M190">
            <v>535.5</v>
          </cell>
          <cell r="N190">
            <v>65000</v>
          </cell>
          <cell r="O190">
            <v>85000</v>
          </cell>
          <cell r="P190">
            <v>66300</v>
          </cell>
          <cell r="Q190">
            <v>35503650</v>
          </cell>
          <cell r="R190">
            <v>86700</v>
          </cell>
          <cell r="S190">
            <v>46427850</v>
          </cell>
          <cell r="T190">
            <v>153000</v>
          </cell>
          <cell r="U190">
            <v>81931500</v>
          </cell>
        </row>
        <row r="191">
          <cell r="A191" t="str">
            <v>BoQ_164</v>
          </cell>
          <cell r="B191">
            <v>164</v>
          </cell>
          <cell r="C191">
            <v>147</v>
          </cell>
          <cell r="D191" t="str">
            <v>Sơn bả cột
Paint and putty columns</v>
          </cell>
          <cell r="F191" t="str">
            <v>VAN_PHONG_TANG_2</v>
          </cell>
          <cell r="G191" t="str">
            <v>Cong_tac_son_ba</v>
          </cell>
          <cell r="H191" t="str">
            <v>Son_nuoc</v>
          </cell>
          <cell r="I191" t="str">
            <v>Tường</v>
          </cell>
          <cell r="L191" t="str">
            <v>m2</v>
          </cell>
          <cell r="M191">
            <v>535.5</v>
          </cell>
          <cell r="N191">
            <v>40000</v>
          </cell>
          <cell r="O191">
            <v>45000</v>
          </cell>
          <cell r="P191">
            <v>40800</v>
          </cell>
          <cell r="Q191">
            <v>21848400</v>
          </cell>
          <cell r="R191">
            <v>45900</v>
          </cell>
          <cell r="S191">
            <v>24579450</v>
          </cell>
          <cell r="T191">
            <v>86700</v>
          </cell>
          <cell r="U191">
            <v>46427850</v>
          </cell>
        </row>
        <row r="192">
          <cell r="C192">
            <v>148</v>
          </cell>
          <cell r="D192" t="str">
            <v xml:space="preserve">NHÀ XƯỞNG FACTORY, </v>
          </cell>
        </row>
        <row r="193">
          <cell r="C193">
            <v>149</v>
          </cell>
          <cell r="D193" t="str">
            <v>CẢI TẠO WC TẦNG 1 TRỤC 10,11-A,B 
RENOVING WC FLOOR 10,11-A, BUG</v>
          </cell>
        </row>
        <row r="194">
          <cell r="A194" t="str">
            <v>BoQ_165</v>
          </cell>
          <cell r="B194">
            <v>165</v>
          </cell>
          <cell r="C194">
            <v>150</v>
          </cell>
          <cell r="D194" t="str">
            <v>Khung đỡ đá chậu rửa
Support frame for lavabo</v>
          </cell>
          <cell r="F194" t="str">
            <v>NHA_VE_SINH_TANG_1</v>
          </cell>
          <cell r="G194" t="str">
            <v>Cong_tac_co_khi</v>
          </cell>
          <cell r="H194" t="str">
            <v>Co_khi</v>
          </cell>
          <cell r="I194" t="str">
            <v>Chẩu rửa</v>
          </cell>
          <cell r="J194" t="str">
            <v>Khung thép</v>
          </cell>
          <cell r="L194" t="str">
            <v>md</v>
          </cell>
          <cell r="M194">
            <v>5.8</v>
          </cell>
          <cell r="N194">
            <v>150000</v>
          </cell>
          <cell r="O194">
            <v>150000</v>
          </cell>
          <cell r="P194">
            <v>153000</v>
          </cell>
          <cell r="Q194">
            <v>887400</v>
          </cell>
          <cell r="R194">
            <v>153000</v>
          </cell>
          <cell r="S194">
            <v>887400</v>
          </cell>
          <cell r="T194">
            <v>306000</v>
          </cell>
          <cell r="U194">
            <v>1774800</v>
          </cell>
        </row>
        <row r="195">
          <cell r="A195" t="str">
            <v>BoQ_166</v>
          </cell>
          <cell r="B195">
            <v>166</v>
          </cell>
          <cell r="C195">
            <v>151</v>
          </cell>
          <cell r="D195" t="str">
            <v>Ốp đá Granite dày 20mm
Granite stone 20mm Thk</v>
          </cell>
          <cell r="E195" t="str">
            <v>mặt chậu rửa</v>
          </cell>
          <cell r="F195" t="str">
            <v>NHA_VE_SINH_TANG_1</v>
          </cell>
          <cell r="G195" t="str">
            <v>Cong_tac_op_lat</v>
          </cell>
          <cell r="H195" t="str">
            <v>Op_tuong</v>
          </cell>
          <cell r="I195" t="str">
            <v>Chẩu rửa</v>
          </cell>
          <cell r="J195" t="str">
            <v>Đá granite</v>
          </cell>
          <cell r="K195" t="str">
            <v>Thk 20mm</v>
          </cell>
          <cell r="L195" t="str">
            <v>md</v>
          </cell>
          <cell r="M195">
            <v>5.8</v>
          </cell>
          <cell r="N195">
            <v>450000</v>
          </cell>
          <cell r="O195">
            <v>125000</v>
          </cell>
          <cell r="P195">
            <v>459000</v>
          </cell>
          <cell r="Q195">
            <v>2662200</v>
          </cell>
          <cell r="R195">
            <v>127500</v>
          </cell>
          <cell r="S195">
            <v>739500</v>
          </cell>
          <cell r="T195">
            <v>586500</v>
          </cell>
          <cell r="U195">
            <v>3401700</v>
          </cell>
        </row>
        <row r="196">
          <cell r="A196" t="str">
            <v>BoQ_167</v>
          </cell>
          <cell r="B196">
            <v>167</v>
          </cell>
          <cell r="C196">
            <v>152</v>
          </cell>
          <cell r="D196" t="str">
            <v>Trát tường gạch dày 1,5cm, lưới thép chống nứt
Plastering for brick wall surfaces 1,5cm, included wire-mesh steel for anti-crack</v>
          </cell>
          <cell r="E196" t="str">
            <v>Mortar grade 75</v>
          </cell>
          <cell r="F196" t="str">
            <v>NHA_VE_SINH_TANG_1</v>
          </cell>
          <cell r="G196" t="str">
            <v>Cong_tac_xay_trat</v>
          </cell>
          <cell r="H196" t="str">
            <v>Trat_tuong</v>
          </cell>
          <cell r="I196" t="str">
            <v>Nhà vệ sinh</v>
          </cell>
          <cell r="J196" t="str">
            <v>Vữa</v>
          </cell>
          <cell r="K196" t="str">
            <v>M75</v>
          </cell>
          <cell r="L196" t="str">
            <v>m²</v>
          </cell>
          <cell r="M196">
            <v>163.94399999999999</v>
          </cell>
          <cell r="N196">
            <v>65000</v>
          </cell>
          <cell r="O196">
            <v>85000</v>
          </cell>
          <cell r="P196">
            <v>66300</v>
          </cell>
          <cell r="Q196">
            <v>10869487.199999999</v>
          </cell>
          <cell r="R196">
            <v>86700</v>
          </cell>
          <cell r="S196">
            <v>14213944.799999999</v>
          </cell>
          <cell r="T196">
            <v>153000</v>
          </cell>
          <cell r="U196">
            <v>25083432</v>
          </cell>
        </row>
        <row r="197">
          <cell r="A197" t="str">
            <v>BoQ_168</v>
          </cell>
          <cell r="B197">
            <v>168</v>
          </cell>
          <cell r="C197">
            <v>153</v>
          </cell>
          <cell r="D197" t="str">
            <v>Láng vữa nền nhà
Rolling mortar floor</v>
          </cell>
          <cell r="E197" t="str">
            <v xml:space="preserve">Toilet floor </v>
          </cell>
          <cell r="F197" t="str">
            <v>NHA_VE_SINH_TANG_1</v>
          </cell>
          <cell r="G197" t="str">
            <v>Cong_tac_op_lat</v>
          </cell>
          <cell r="H197" t="str">
            <v>Lang_nen</v>
          </cell>
          <cell r="I197" t="str">
            <v>Nhà vệ sinh</v>
          </cell>
          <cell r="J197" t="str">
            <v>Vữa</v>
          </cell>
          <cell r="K197" t="str">
            <v>M50</v>
          </cell>
          <cell r="L197" t="str">
            <v>m²</v>
          </cell>
          <cell r="M197">
            <v>48.6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A198" t="str">
            <v>BoQ_169</v>
          </cell>
          <cell r="B198">
            <v>169</v>
          </cell>
          <cell r="C198">
            <v>154</v>
          </cell>
          <cell r="D198" t="str">
            <v>Lát nền chống trơn 300x300
Non-slip ceramic tile 300x300</v>
          </cell>
          <cell r="E198" t="str">
            <v xml:space="preserve">Toilet floor </v>
          </cell>
          <cell r="F198" t="str">
            <v>NHA_VE_SINH_TANG_1</v>
          </cell>
          <cell r="G198" t="str">
            <v>Cong_tac_op_lat</v>
          </cell>
          <cell r="H198" t="str">
            <v>Lat_nen</v>
          </cell>
          <cell r="I198" t="str">
            <v>Nhà vệ sinh</v>
          </cell>
          <cell r="J198" t="str">
            <v>Gạch men</v>
          </cell>
          <cell r="K198" t="str">
            <v>300x300</v>
          </cell>
          <cell r="L198" t="str">
            <v>m²</v>
          </cell>
          <cell r="M198">
            <v>48.6</v>
          </cell>
          <cell r="N198">
            <v>125000</v>
          </cell>
          <cell r="O198">
            <v>75000</v>
          </cell>
          <cell r="P198">
            <v>127500</v>
          </cell>
          <cell r="Q198">
            <v>6196500</v>
          </cell>
          <cell r="R198">
            <v>76500</v>
          </cell>
          <cell r="S198">
            <v>3717900</v>
          </cell>
          <cell r="T198">
            <v>204000</v>
          </cell>
          <cell r="U198">
            <v>9914400</v>
          </cell>
        </row>
        <row r="199">
          <cell r="A199" t="str">
            <v>BoQ_170</v>
          </cell>
          <cell r="B199">
            <v>170</v>
          </cell>
          <cell r="C199">
            <v>155</v>
          </cell>
          <cell r="D199" t="str">
            <v>Ốp tường nhà vệ sinh 300x600
Ceramic tile 300x600</v>
          </cell>
          <cell r="E199" t="str">
            <v>Toilet wall</v>
          </cell>
          <cell r="F199" t="str">
            <v>NHA_VE_SINH_TANG_1</v>
          </cell>
          <cell r="G199" t="str">
            <v>Cong_tac_op_lat</v>
          </cell>
          <cell r="H199" t="str">
            <v>Op_tuong</v>
          </cell>
          <cell r="I199" t="str">
            <v>Nhà vệ sinh</v>
          </cell>
          <cell r="J199" t="str">
            <v>Gạch men</v>
          </cell>
          <cell r="K199" t="str">
            <v>300x600</v>
          </cell>
          <cell r="L199" t="str">
            <v>m²</v>
          </cell>
          <cell r="M199">
            <v>163.94399999999999</v>
          </cell>
          <cell r="N199">
            <v>145000</v>
          </cell>
          <cell r="O199">
            <v>75000</v>
          </cell>
          <cell r="P199">
            <v>147900</v>
          </cell>
          <cell r="Q199">
            <v>24247317.599999998</v>
          </cell>
          <cell r="R199">
            <v>76500</v>
          </cell>
          <cell r="S199">
            <v>12541716</v>
          </cell>
          <cell r="T199">
            <v>224400</v>
          </cell>
          <cell r="U199">
            <v>36789033.599999994</v>
          </cell>
        </row>
        <row r="200">
          <cell r="A200" t="str">
            <v>BoQ_171</v>
          </cell>
          <cell r="B200">
            <v>171</v>
          </cell>
          <cell r="C200">
            <v>156</v>
          </cell>
          <cell r="D200" t="str">
            <v>Water resistance Gypsum board ceiling 600x600x9mm thk
Trần thạch cao chịu nước nhà vệ sinh</v>
          </cell>
          <cell r="E200" t="str">
            <v>Vĩnh Tường, Gyproc, Boral</v>
          </cell>
          <cell r="F200" t="str">
            <v>NHA_VE_SINH_TANG_1</v>
          </cell>
          <cell r="G200" t="str">
            <v>Cong_tac_thach_cao</v>
          </cell>
          <cell r="H200" t="str">
            <v>Thach_cao</v>
          </cell>
          <cell r="I200" t="str">
            <v>Trần</v>
          </cell>
          <cell r="J200" t="str">
            <v>Thạch cao</v>
          </cell>
          <cell r="K200" t="str">
            <v>600x600x9mm</v>
          </cell>
          <cell r="L200" t="str">
            <v>m2</v>
          </cell>
          <cell r="M200">
            <v>56.7</v>
          </cell>
          <cell r="N200">
            <v>140000</v>
          </cell>
          <cell r="O200">
            <v>45000</v>
          </cell>
          <cell r="P200">
            <v>142800</v>
          </cell>
          <cell r="Q200">
            <v>8096760</v>
          </cell>
          <cell r="R200">
            <v>45900</v>
          </cell>
          <cell r="S200">
            <v>2602530</v>
          </cell>
          <cell r="T200">
            <v>188700</v>
          </cell>
          <cell r="U200">
            <v>10699290</v>
          </cell>
        </row>
        <row r="201">
          <cell r="A201" t="str">
            <v>BoQ_172</v>
          </cell>
          <cell r="B201">
            <v>172</v>
          </cell>
          <cell r="C201">
            <v>157</v>
          </cell>
          <cell r="D201" t="str">
            <v>Vách ngăn nhà vệ sinh
HPL . Partition</v>
          </cell>
          <cell r="F201" t="str">
            <v>NHA_VE_SINH_TANG_1</v>
          </cell>
          <cell r="G201" t="str">
            <v>Cong_tac_khac</v>
          </cell>
          <cell r="H201" t="str">
            <v>Vach_ngan</v>
          </cell>
          <cell r="I201" t="str">
            <v>Vách ngăn</v>
          </cell>
          <cell r="J201" t="str">
            <v>HPL</v>
          </cell>
          <cell r="L201" t="str">
            <v>m2</v>
          </cell>
          <cell r="M201">
            <v>68.309999999999988</v>
          </cell>
          <cell r="N201">
            <v>750000</v>
          </cell>
          <cell r="O201">
            <v>150000</v>
          </cell>
          <cell r="P201">
            <v>765000</v>
          </cell>
          <cell r="Q201">
            <v>52257149.999999993</v>
          </cell>
          <cell r="R201">
            <v>153000</v>
          </cell>
          <cell r="S201">
            <v>10451429.999999998</v>
          </cell>
          <cell r="T201">
            <v>918000</v>
          </cell>
          <cell r="U201">
            <v>62708579.999999993</v>
          </cell>
        </row>
        <row r="202">
          <cell r="A202" t="str">
            <v>BoQ_173</v>
          </cell>
          <cell r="B202">
            <v>173</v>
          </cell>
          <cell r="C202">
            <v>158</v>
          </cell>
          <cell r="D202" t="str">
            <v>Phụ kiện vách ngăn
Partition accessories</v>
          </cell>
          <cell r="F202" t="str">
            <v>NHA_VE_SINH_TANG_1</v>
          </cell>
          <cell r="G202" t="str">
            <v>Cong_tac_khac</v>
          </cell>
          <cell r="H202" t="str">
            <v>Vach_ngan</v>
          </cell>
          <cell r="I202" t="str">
            <v>Vách ngăn</v>
          </cell>
          <cell r="J202" t="str">
            <v>Phụ kiện</v>
          </cell>
          <cell r="L202" t="str">
            <v>m2</v>
          </cell>
          <cell r="M202">
            <v>68.309999999999988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</row>
        <row r="203">
          <cell r="A203" t="str">
            <v>BoQ_174</v>
          </cell>
          <cell r="B203">
            <v>174</v>
          </cell>
          <cell r="C203">
            <v>159</v>
          </cell>
          <cell r="D203" t="str">
            <v>Vận chuyển
Transportation</v>
          </cell>
          <cell r="F203" t="str">
            <v>NHA_VE_SINH_TANG_1</v>
          </cell>
          <cell r="G203" t="str">
            <v>Cong_tac_khac</v>
          </cell>
          <cell r="H203" t="str">
            <v>Vach_ngan</v>
          </cell>
          <cell r="L203" t="str">
            <v>lot</v>
          </cell>
          <cell r="M203">
            <v>1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</row>
        <row r="204">
          <cell r="A204" t="str">
            <v>BoQ_175</v>
          </cell>
          <cell r="B204">
            <v>175</v>
          </cell>
          <cell r="C204">
            <v>160</v>
          </cell>
          <cell r="D204" t="str">
            <v>Aluminium glass door (indoor) 
Cửa đi nhôm kính (trong nhà)</v>
          </cell>
          <cell r="E204" t="str">
            <v>Cửa tận dụng</v>
          </cell>
          <cell r="F204" t="str">
            <v>NHA_VE_SINH_TANG_1</v>
          </cell>
          <cell r="G204" t="str">
            <v>Cong_tac_cua_di_cua_so</v>
          </cell>
          <cell r="H204" t="str">
            <v>Cua_di</v>
          </cell>
          <cell r="I204" t="str">
            <v>Nhà vệ sinh</v>
          </cell>
          <cell r="J204" t="str">
            <v>Nhôm kính</v>
          </cell>
          <cell r="L204" t="str">
            <v>m2</v>
          </cell>
          <cell r="M204">
            <v>3.5200000000000005</v>
          </cell>
          <cell r="O204">
            <v>350000</v>
          </cell>
          <cell r="P204">
            <v>0</v>
          </cell>
          <cell r="Q204">
            <v>0</v>
          </cell>
          <cell r="R204">
            <v>357000</v>
          </cell>
          <cell r="S204">
            <v>1256640.0000000002</v>
          </cell>
          <cell r="T204">
            <v>357000</v>
          </cell>
          <cell r="U204">
            <v>1256640.0000000002</v>
          </cell>
        </row>
        <row r="205">
          <cell r="A205" t="str">
            <v>BoQ_176</v>
          </cell>
          <cell r="B205">
            <v>176</v>
          </cell>
          <cell r="C205">
            <v>161</v>
          </cell>
          <cell r="D205" t="str">
            <v>Accessories for Aluminium glass door 
Phụ kiện cửa đi</v>
          </cell>
          <cell r="F205" t="str">
            <v>NHA_VE_SINH_TANG_1</v>
          </cell>
          <cell r="G205" t="str">
            <v>Cong_tac_cua_di_cua_so</v>
          </cell>
          <cell r="H205" t="str">
            <v>Phu_kien</v>
          </cell>
          <cell r="L205" t="str">
            <v>ea</v>
          </cell>
          <cell r="M205">
            <v>2</v>
          </cell>
          <cell r="N205">
            <v>500000</v>
          </cell>
          <cell r="P205">
            <v>510000</v>
          </cell>
          <cell r="Q205">
            <v>1020000</v>
          </cell>
          <cell r="R205">
            <v>0</v>
          </cell>
          <cell r="S205">
            <v>0</v>
          </cell>
          <cell r="T205">
            <v>510000</v>
          </cell>
          <cell r="U205">
            <v>1020000</v>
          </cell>
        </row>
        <row r="206">
          <cell r="A206" t="str">
            <v>BoQ_177</v>
          </cell>
          <cell r="B206">
            <v>177</v>
          </cell>
          <cell r="C206">
            <v>162</v>
          </cell>
          <cell r="D206" t="str">
            <v>Hệ kết cấu đỡ bồn nước trên mái WC Thép I200x100x5,5x8 
Frame structure to support water tank on the roof of WC Steel I200x100x5,5x8</v>
          </cell>
          <cell r="F206" t="str">
            <v>NHA_VE_SINH_TANG_1</v>
          </cell>
          <cell r="G206" t="str">
            <v>Cong_tac_ket_cau_thep</v>
          </cell>
          <cell r="H206" t="str">
            <v>Ket_cau_thep</v>
          </cell>
          <cell r="I206" t="str">
            <v>Dầm đỡ</v>
          </cell>
          <cell r="J206" t="str">
            <v>Kết cấu thép</v>
          </cell>
          <cell r="L206" t="str">
            <v>ton</v>
          </cell>
          <cell r="M206">
            <v>1.5667344000000003</v>
          </cell>
          <cell r="N206">
            <v>20500000</v>
          </cell>
          <cell r="O206">
            <v>2400000</v>
          </cell>
          <cell r="P206">
            <v>20910000</v>
          </cell>
          <cell r="Q206">
            <v>32760416.304000005</v>
          </cell>
          <cell r="R206">
            <v>2448000</v>
          </cell>
          <cell r="S206">
            <v>3835365.8112000008</v>
          </cell>
          <cell r="T206">
            <v>23358000</v>
          </cell>
          <cell r="U206">
            <v>36595782.115200005</v>
          </cell>
        </row>
        <row r="207">
          <cell r="A207" t="str">
            <v>BoQ_178</v>
          </cell>
          <cell r="B207">
            <v>178</v>
          </cell>
          <cell r="C207">
            <v>163</v>
          </cell>
          <cell r="D207" t="str">
            <v>Phụ kiện: bu lông liên kết, vít nở
Accessories: anchor bolt, screw</v>
          </cell>
          <cell r="F207" t="str">
            <v>NHA_VE_SINH_TANG_1</v>
          </cell>
          <cell r="G207" t="str">
            <v>Cong_tac_ket_cau_thep</v>
          </cell>
          <cell r="H207" t="str">
            <v>Phu_kien</v>
          </cell>
          <cell r="L207" t="str">
            <v>lot</v>
          </cell>
          <cell r="M207">
            <v>1</v>
          </cell>
          <cell r="N207">
            <v>25000000</v>
          </cell>
          <cell r="P207">
            <v>25500000</v>
          </cell>
          <cell r="Q207">
            <v>25500000</v>
          </cell>
          <cell r="R207">
            <v>0</v>
          </cell>
          <cell r="S207">
            <v>0</v>
          </cell>
          <cell r="T207">
            <v>25500000</v>
          </cell>
          <cell r="U207">
            <v>25500000</v>
          </cell>
        </row>
        <row r="208">
          <cell r="C208">
            <v>164</v>
          </cell>
          <cell r="D208" t="str">
            <v xml:space="preserve"> HOÀN THIỆN TRẦN, VÁCH, NỀN NHÀ XƯỞNG
 HOÀN THIỆN TRẦN, VÁCH, NỀN NHÀ XƯỞNG</v>
          </cell>
        </row>
        <row r="209">
          <cell r="C209">
            <v>165</v>
          </cell>
          <cell r="D209" t="str">
            <v xml:space="preserve">CÔNG TÁC XÂY, TRÁT, SƠN
BRICK ,PLASTERING WORKS </v>
          </cell>
        </row>
        <row r="210">
          <cell r="A210" t="str">
            <v>BoQ_179</v>
          </cell>
          <cell r="B210">
            <v>179</v>
          </cell>
          <cell r="C210">
            <v>166</v>
          </cell>
          <cell r="D210" t="str">
            <v>Xây tường 220
Brick wall, thk 220mm</v>
          </cell>
          <cell r="F210" t="str">
            <v>NHA_XUONG</v>
          </cell>
          <cell r="G210" t="str">
            <v>Cong_tac_xay_trat</v>
          </cell>
          <cell r="H210" t="str">
            <v>Xay_tuong</v>
          </cell>
          <cell r="I210" t="str">
            <v>Tường</v>
          </cell>
          <cell r="J210" t="str">
            <v>Gạch</v>
          </cell>
          <cell r="K210" t="str">
            <v>Thk 220mm</v>
          </cell>
          <cell r="L210" t="str">
            <v>m3</v>
          </cell>
          <cell r="M210">
            <v>11.087999999999999</v>
          </cell>
          <cell r="N210">
            <v>950000</v>
          </cell>
          <cell r="O210">
            <v>700000</v>
          </cell>
          <cell r="P210">
            <v>969000</v>
          </cell>
          <cell r="Q210">
            <v>10744272</v>
          </cell>
          <cell r="R210">
            <v>714000</v>
          </cell>
          <cell r="S210">
            <v>7916831.9999999991</v>
          </cell>
          <cell r="T210">
            <v>1683000</v>
          </cell>
          <cell r="U210">
            <v>18661104</v>
          </cell>
        </row>
        <row r="211">
          <cell r="A211" t="str">
            <v>BoQ_180</v>
          </cell>
          <cell r="B211">
            <v>180</v>
          </cell>
          <cell r="C211">
            <v>167</v>
          </cell>
          <cell r="D211" t="str">
            <v>Xây tường 110
Brick wall, thk 110mm</v>
          </cell>
          <cell r="F211" t="str">
            <v>NHA_XUONG</v>
          </cell>
          <cell r="G211" t="str">
            <v>Cong_tac_xay_trat</v>
          </cell>
          <cell r="H211" t="str">
            <v>Xay_tuong</v>
          </cell>
          <cell r="I211" t="str">
            <v>Tường</v>
          </cell>
          <cell r="J211" t="str">
            <v>Gạch</v>
          </cell>
          <cell r="K211" t="str">
            <v>Thk 110mm</v>
          </cell>
          <cell r="L211" t="str">
            <v>m3</v>
          </cell>
          <cell r="M211">
            <v>8.4655999999999985</v>
          </cell>
          <cell r="N211">
            <v>950000</v>
          </cell>
          <cell r="O211">
            <v>700000</v>
          </cell>
          <cell r="P211">
            <v>969000</v>
          </cell>
          <cell r="Q211">
            <v>8203166.3999999985</v>
          </cell>
          <cell r="R211">
            <v>714000</v>
          </cell>
          <cell r="S211">
            <v>6044438.3999999985</v>
          </cell>
          <cell r="T211">
            <v>1683000</v>
          </cell>
          <cell r="U211">
            <v>14247604.799999997</v>
          </cell>
        </row>
        <row r="212">
          <cell r="A212" t="str">
            <v>BoQ_181</v>
          </cell>
          <cell r="B212">
            <v>181</v>
          </cell>
          <cell r="C212">
            <v>168</v>
          </cell>
          <cell r="D212" t="str">
            <v>Lanh tô, giằng tường
Lintel, wall bracing</v>
          </cell>
          <cell r="F212" t="str">
            <v>NHA_XUONG</v>
          </cell>
          <cell r="G212" t="str">
            <v>Cong_tac_xay_trat</v>
          </cell>
          <cell r="H212" t="str">
            <v>Lanh_to_bo_tru</v>
          </cell>
          <cell r="I212" t="str">
            <v>Lanh tô, bổ trụ</v>
          </cell>
          <cell r="L212" t="str">
            <v>m</v>
          </cell>
          <cell r="M212">
            <v>8</v>
          </cell>
          <cell r="N212">
            <v>550000</v>
          </cell>
          <cell r="O212">
            <v>150000</v>
          </cell>
          <cell r="P212">
            <v>561000</v>
          </cell>
          <cell r="Q212">
            <v>4488000</v>
          </cell>
          <cell r="R212">
            <v>153000</v>
          </cell>
          <cell r="S212">
            <v>1224000</v>
          </cell>
          <cell r="T212">
            <v>714000</v>
          </cell>
          <cell r="U212">
            <v>5712000</v>
          </cell>
        </row>
        <row r="213">
          <cell r="A213" t="str">
            <v>BoQ_182</v>
          </cell>
          <cell r="B213">
            <v>182</v>
          </cell>
          <cell r="C213">
            <v>169</v>
          </cell>
          <cell r="D213" t="str">
            <v>xây tường 110 bọc cột thép build 110 
Wall covered with steel poles</v>
          </cell>
          <cell r="F213" t="str">
            <v>NHA_XUONG</v>
          </cell>
          <cell r="G213" t="str">
            <v>Cong_tac_xay_trat</v>
          </cell>
          <cell r="H213" t="str">
            <v>Xay_tuong</v>
          </cell>
          <cell r="I213" t="str">
            <v>Tường</v>
          </cell>
          <cell r="J213" t="str">
            <v>Gạch</v>
          </cell>
          <cell r="K213" t="str">
            <v>Thk 110mm</v>
          </cell>
          <cell r="L213" t="str">
            <v>m3</v>
          </cell>
          <cell r="M213">
            <v>0</v>
          </cell>
          <cell r="N213">
            <v>950000</v>
          </cell>
          <cell r="O213">
            <v>700000</v>
          </cell>
          <cell r="P213">
            <v>969000</v>
          </cell>
          <cell r="Q213">
            <v>0</v>
          </cell>
          <cell r="R213">
            <v>714000</v>
          </cell>
          <cell r="S213">
            <v>0</v>
          </cell>
          <cell r="T213">
            <v>1683000</v>
          </cell>
          <cell r="U213">
            <v>0</v>
          </cell>
        </row>
        <row r="214">
          <cell r="A214" t="str">
            <v>BoQ_183</v>
          </cell>
          <cell r="B214">
            <v>183</v>
          </cell>
          <cell r="C214">
            <v>170</v>
          </cell>
          <cell r="D214" t="str">
            <v>Tấm panel EPS 50mm bọc cột
Panel cover column</v>
          </cell>
          <cell r="F214" t="str">
            <v>NHA_XUONG</v>
          </cell>
          <cell r="G214" t="str">
            <v>Cong_tac_panel</v>
          </cell>
          <cell r="H214" t="str">
            <v>Panel</v>
          </cell>
          <cell r="I214" t="str">
            <v>Tường</v>
          </cell>
          <cell r="J214" t="str">
            <v>EPS</v>
          </cell>
          <cell r="K214" t="str">
            <v>Thk 50mm</v>
          </cell>
          <cell r="L214" t="str">
            <v>m2</v>
          </cell>
          <cell r="M214">
            <v>0</v>
          </cell>
          <cell r="N214">
            <v>236000</v>
          </cell>
          <cell r="O214">
            <v>41000</v>
          </cell>
          <cell r="P214">
            <v>240720</v>
          </cell>
          <cell r="Q214">
            <v>0</v>
          </cell>
          <cell r="R214">
            <v>41820</v>
          </cell>
          <cell r="S214">
            <v>0</v>
          </cell>
          <cell r="T214">
            <v>282540</v>
          </cell>
          <cell r="U214">
            <v>0</v>
          </cell>
        </row>
        <row r="215">
          <cell r="A215" t="str">
            <v>BoQ_184</v>
          </cell>
          <cell r="B215">
            <v>184</v>
          </cell>
          <cell r="C215">
            <v>171</v>
          </cell>
          <cell r="D215" t="str">
            <v>Vật tư phụ
Sub matarial &amp; acessories</v>
          </cell>
          <cell r="F215" t="str">
            <v>NHA_XUONG</v>
          </cell>
          <cell r="G215" t="str">
            <v>Cong_tac_panel</v>
          </cell>
          <cell r="H215" t="str">
            <v>Panel</v>
          </cell>
          <cell r="L215" t="str">
            <v>m2</v>
          </cell>
          <cell r="M215">
            <v>0</v>
          </cell>
          <cell r="N215">
            <v>7000</v>
          </cell>
          <cell r="P215">
            <v>7140</v>
          </cell>
          <cell r="Q215">
            <v>0</v>
          </cell>
          <cell r="R215">
            <v>0</v>
          </cell>
          <cell r="S215">
            <v>0</v>
          </cell>
          <cell r="T215">
            <v>7140</v>
          </cell>
          <cell r="U215">
            <v>0</v>
          </cell>
        </row>
        <row r="216">
          <cell r="A216" t="str">
            <v>BoQ_185</v>
          </cell>
          <cell r="B216">
            <v>185</v>
          </cell>
          <cell r="C216">
            <v>172</v>
          </cell>
          <cell r="D216" t="str">
            <v>Thanh nhôm Bo góc cột
Bound column corner</v>
          </cell>
          <cell r="F216" t="str">
            <v>NHA_XUONG</v>
          </cell>
          <cell r="G216" t="str">
            <v>Cong_tac_panel</v>
          </cell>
          <cell r="H216" t="str">
            <v>Panel</v>
          </cell>
          <cell r="I216" t="str">
            <v>Phụ kiện</v>
          </cell>
          <cell r="L216" t="str">
            <v>m</v>
          </cell>
          <cell r="M216">
            <v>0</v>
          </cell>
          <cell r="N216">
            <v>35000</v>
          </cell>
          <cell r="P216">
            <v>35700</v>
          </cell>
          <cell r="Q216">
            <v>0</v>
          </cell>
          <cell r="R216">
            <v>0</v>
          </cell>
          <cell r="S216">
            <v>0</v>
          </cell>
          <cell r="T216">
            <v>35700</v>
          </cell>
          <cell r="U216">
            <v>0</v>
          </cell>
        </row>
        <row r="217">
          <cell r="A217" t="str">
            <v>BoQ_186</v>
          </cell>
          <cell r="B217">
            <v>186</v>
          </cell>
          <cell r="C217">
            <v>173</v>
          </cell>
          <cell r="D217" t="str">
            <v>Trát cột 
Plastering columns</v>
          </cell>
          <cell r="F217" t="str">
            <v>NHA_XUONG</v>
          </cell>
          <cell r="G217" t="str">
            <v>Cong_tac_xay_trat</v>
          </cell>
          <cell r="H217" t="str">
            <v>Trat_tuong</v>
          </cell>
          <cell r="I217" t="str">
            <v>Cột</v>
          </cell>
          <cell r="J217" t="str">
            <v>Vữa</v>
          </cell>
          <cell r="K217" t="str">
            <v>thk 15mm</v>
          </cell>
          <cell r="L217" t="str">
            <v>m2</v>
          </cell>
          <cell r="M217">
            <v>0</v>
          </cell>
          <cell r="N217">
            <v>65000</v>
          </cell>
          <cell r="O217">
            <v>85000</v>
          </cell>
          <cell r="P217">
            <v>66300</v>
          </cell>
          <cell r="Q217">
            <v>0</v>
          </cell>
          <cell r="R217">
            <v>86700</v>
          </cell>
          <cell r="S217">
            <v>0</v>
          </cell>
          <cell r="T217">
            <v>153000</v>
          </cell>
          <cell r="U217">
            <v>0</v>
          </cell>
        </row>
        <row r="218">
          <cell r="A218" t="str">
            <v>BoQ_187</v>
          </cell>
          <cell r="B218">
            <v>187</v>
          </cell>
          <cell r="C218">
            <v>174</v>
          </cell>
          <cell r="D218" t="str">
            <v>Trát tường gạch dày 1,5cm, lưới thép chống nứt
Plastering for brick wall surfaces 1,5cm, included wire-mesh steel for anti-crack</v>
          </cell>
          <cell r="E218" t="str">
            <v>Mortar grade 75</v>
          </cell>
          <cell r="F218" t="str">
            <v>NHA_XUONG</v>
          </cell>
          <cell r="G218" t="str">
            <v>Cong_tac_xay_trat</v>
          </cell>
          <cell r="H218" t="str">
            <v>Trat_tuong</v>
          </cell>
          <cell r="I218" t="str">
            <v>Tường</v>
          </cell>
          <cell r="J218" t="str">
            <v>Vữa</v>
          </cell>
          <cell r="K218" t="str">
            <v>M75</v>
          </cell>
          <cell r="L218" t="str">
            <v>m²</v>
          </cell>
          <cell r="M218">
            <v>254.71999999999997</v>
          </cell>
          <cell r="N218">
            <v>65000</v>
          </cell>
          <cell r="O218">
            <v>85000</v>
          </cell>
          <cell r="P218">
            <v>66300</v>
          </cell>
          <cell r="Q218">
            <v>16887935.999999996</v>
          </cell>
          <cell r="R218">
            <v>86700</v>
          </cell>
          <cell r="S218">
            <v>22084223.999999996</v>
          </cell>
          <cell r="T218">
            <v>153000</v>
          </cell>
          <cell r="U218">
            <v>38972159.999999993</v>
          </cell>
        </row>
        <row r="219">
          <cell r="A219" t="str">
            <v>BoQ_188</v>
          </cell>
          <cell r="B219">
            <v>188</v>
          </cell>
          <cell r="C219">
            <v>175</v>
          </cell>
          <cell r="D219" t="str">
            <v>Trát cạnh cửa các vị trí đục mở cửa 
Plaster next to the door the opening positions</v>
          </cell>
          <cell r="E219" t="str">
            <v>Mortar grade 75</v>
          </cell>
          <cell r="F219" t="str">
            <v>NHA_XUONG</v>
          </cell>
          <cell r="G219" t="str">
            <v>Cong_tac_xay_trat</v>
          </cell>
          <cell r="H219" t="str">
            <v>Trat_tuong</v>
          </cell>
          <cell r="I219" t="str">
            <v>Cạnh cửa</v>
          </cell>
          <cell r="J219" t="str">
            <v>Vữa</v>
          </cell>
          <cell r="K219" t="str">
            <v>M75</v>
          </cell>
          <cell r="L219" t="str">
            <v>md</v>
          </cell>
          <cell r="M219">
            <v>184.79999999999998</v>
          </cell>
          <cell r="N219">
            <v>65000</v>
          </cell>
          <cell r="O219">
            <v>85000</v>
          </cell>
          <cell r="P219">
            <v>66300</v>
          </cell>
          <cell r="Q219">
            <v>12252239.999999998</v>
          </cell>
          <cell r="R219">
            <v>86700</v>
          </cell>
          <cell r="S219">
            <v>16022159.999999998</v>
          </cell>
          <cell r="T219">
            <v>153000</v>
          </cell>
          <cell r="U219">
            <v>28274399.999999996</v>
          </cell>
        </row>
        <row r="220">
          <cell r="A220" t="str">
            <v>BoQ_189</v>
          </cell>
          <cell r="B220">
            <v>189</v>
          </cell>
          <cell r="C220">
            <v>176</v>
          </cell>
          <cell r="D220" t="str">
            <v>Sơn bả tường có bả 
Emulsion Paint for wall surfaces (Included Putty layer)</v>
          </cell>
          <cell r="E220" t="str">
            <v>Sơn dulux ,Jotun cao cấp, bóng mờ</v>
          </cell>
          <cell r="F220" t="str">
            <v>NHA_XUONG</v>
          </cell>
          <cell r="G220" t="str">
            <v>Cong_tac_son_ba</v>
          </cell>
          <cell r="H220" t="str">
            <v>Son_nuoc</v>
          </cell>
          <cell r="I220" t="str">
            <v>Tường</v>
          </cell>
          <cell r="L220" t="str">
            <v>m²</v>
          </cell>
          <cell r="M220">
            <v>2188.6019999999999</v>
          </cell>
          <cell r="N220">
            <v>40000</v>
          </cell>
          <cell r="O220">
            <v>45000</v>
          </cell>
          <cell r="P220">
            <v>40800</v>
          </cell>
          <cell r="Q220">
            <v>89294961.599999994</v>
          </cell>
          <cell r="R220">
            <v>45900</v>
          </cell>
          <cell r="S220">
            <v>100456831.8</v>
          </cell>
          <cell r="T220">
            <v>86700</v>
          </cell>
          <cell r="U220">
            <v>189751793.39999998</v>
          </cell>
        </row>
        <row r="221">
          <cell r="A221" t="str">
            <v>BoQ_190</v>
          </cell>
          <cell r="B221">
            <v>190</v>
          </cell>
          <cell r="C221">
            <v>177</v>
          </cell>
          <cell r="D221" t="str">
            <v>Giàn giáo thi công
Construction scaffolding</v>
          </cell>
          <cell r="F221" t="str">
            <v>NHA_XUONG</v>
          </cell>
          <cell r="G221" t="str">
            <v>Cong_tac_gian_giao</v>
          </cell>
          <cell r="H221" t="str">
            <v>GIAN_GIAO</v>
          </cell>
          <cell r="L221" t="str">
            <v>Lot</v>
          </cell>
          <cell r="M221">
            <v>1</v>
          </cell>
          <cell r="O221">
            <v>10000000</v>
          </cell>
          <cell r="P221">
            <v>0</v>
          </cell>
          <cell r="Q221">
            <v>0</v>
          </cell>
          <cell r="R221">
            <v>10200000</v>
          </cell>
          <cell r="S221">
            <v>10200000</v>
          </cell>
          <cell r="T221">
            <v>10200000</v>
          </cell>
          <cell r="U221">
            <v>10200000</v>
          </cell>
        </row>
        <row r="222">
          <cell r="C222">
            <v>178</v>
          </cell>
          <cell r="D222" t="str">
            <v>NỀN EPOXY
EPOXY WORKS</v>
          </cell>
        </row>
        <row r="223">
          <cell r="A223" t="str">
            <v>BoQ_191</v>
          </cell>
          <cell r="B223">
            <v>191</v>
          </cell>
          <cell r="C223">
            <v>179</v>
          </cell>
          <cell r="D223" t="str">
            <v>Trám vá, xử lý bề mặt do đập phá dịch chuyển tường vách
Mortar filing, floor process</v>
          </cell>
          <cell r="F223" t="str">
            <v>NHA_XUONG</v>
          </cell>
          <cell r="G223" t="str">
            <v>Cong_tac_son_nen</v>
          </cell>
          <cell r="H223" t="str">
            <v>Tram_va</v>
          </cell>
          <cell r="I223" t="str">
            <v>Nền</v>
          </cell>
          <cell r="L223" t="str">
            <v>m2</v>
          </cell>
          <cell r="M223">
            <v>4973.3</v>
          </cell>
          <cell r="N223">
            <v>5000</v>
          </cell>
          <cell r="P223">
            <v>5100</v>
          </cell>
          <cell r="Q223">
            <v>25363830</v>
          </cell>
          <cell r="R223">
            <v>0</v>
          </cell>
          <cell r="S223">
            <v>0</v>
          </cell>
          <cell r="T223">
            <v>5100</v>
          </cell>
          <cell r="U223">
            <v>25363830</v>
          </cell>
        </row>
        <row r="224">
          <cell r="A224" t="str">
            <v>BoQ_192</v>
          </cell>
          <cell r="B224">
            <v>192</v>
          </cell>
          <cell r="C224">
            <v>180</v>
          </cell>
          <cell r="D224" t="str">
            <v>Mài nền
Floor grinding</v>
          </cell>
          <cell r="F224" t="str">
            <v>NHA_XUONG</v>
          </cell>
          <cell r="G224" t="str">
            <v>Cong_tac_son_nen</v>
          </cell>
          <cell r="H224" t="str">
            <v>Mai_nen</v>
          </cell>
          <cell r="I224" t="str">
            <v>Nền</v>
          </cell>
          <cell r="L224" t="str">
            <v>m2</v>
          </cell>
          <cell r="M224">
            <v>4973.3</v>
          </cell>
          <cell r="N224">
            <v>5000</v>
          </cell>
          <cell r="P224">
            <v>5100</v>
          </cell>
          <cell r="Q224">
            <v>25363830</v>
          </cell>
          <cell r="R224">
            <v>0</v>
          </cell>
          <cell r="S224">
            <v>0</v>
          </cell>
          <cell r="T224">
            <v>5100</v>
          </cell>
          <cell r="U224">
            <v>25363830</v>
          </cell>
        </row>
        <row r="225">
          <cell r="A225" t="str">
            <v>BoQ_193</v>
          </cell>
          <cell r="B225">
            <v>193</v>
          </cell>
          <cell r="C225">
            <v>181</v>
          </cell>
          <cell r="D225" t="str">
            <v xml:space="preserve">Nền epoxy tự san dày 5mm
Self leveling epoxy painting, 5mm thickness </v>
          </cell>
          <cell r="E225" t="str">
            <v>KCC cao cấp</v>
          </cell>
          <cell r="F225" t="str">
            <v>NHA_XUONG</v>
          </cell>
          <cell r="G225" t="str">
            <v>Cong_tac_son_nen</v>
          </cell>
          <cell r="H225" t="str">
            <v>Son_nen</v>
          </cell>
          <cell r="I225" t="str">
            <v>Nền</v>
          </cell>
          <cell r="J225" t="str">
            <v>Epoxy lighing</v>
          </cell>
          <cell r="L225" t="str">
            <v>m2</v>
          </cell>
          <cell r="M225">
            <v>4973.3</v>
          </cell>
          <cell r="N225">
            <v>500000</v>
          </cell>
          <cell r="O225">
            <v>60000</v>
          </cell>
          <cell r="P225">
            <v>510000</v>
          </cell>
          <cell r="Q225">
            <v>2536383000</v>
          </cell>
          <cell r="R225">
            <v>61200</v>
          </cell>
          <cell r="S225">
            <v>304365960</v>
          </cell>
          <cell r="T225">
            <v>571200</v>
          </cell>
          <cell r="U225">
            <v>2840748960</v>
          </cell>
        </row>
        <row r="226">
          <cell r="A226" t="str">
            <v>BoQ_194</v>
          </cell>
          <cell r="B226">
            <v>194</v>
          </cell>
          <cell r="C226">
            <v>182</v>
          </cell>
          <cell r="D226" t="str">
            <v>Che chắn bụi
Dust cover</v>
          </cell>
          <cell r="F226" t="str">
            <v>NHA_XUONG</v>
          </cell>
          <cell r="G226" t="str">
            <v>Cong_tac_son_nen</v>
          </cell>
          <cell r="H226" t="str">
            <v>Bao_che</v>
          </cell>
          <cell r="I226" t="str">
            <v>NỀN</v>
          </cell>
          <cell r="L226" t="str">
            <v>m2</v>
          </cell>
          <cell r="M226">
            <v>4973.3</v>
          </cell>
          <cell r="N226">
            <v>2000</v>
          </cell>
          <cell r="P226">
            <v>2040</v>
          </cell>
          <cell r="Q226">
            <v>10145532</v>
          </cell>
          <cell r="R226">
            <v>0</v>
          </cell>
          <cell r="S226">
            <v>0</v>
          </cell>
          <cell r="T226">
            <v>2040</v>
          </cell>
          <cell r="U226">
            <v>10145532</v>
          </cell>
        </row>
        <row r="227">
          <cell r="C227">
            <v>183</v>
          </cell>
          <cell r="D227" t="str">
            <v xml:space="preserve"> CÔNG TÁC MÁI
ROOFING WORK</v>
          </cell>
        </row>
        <row r="228">
          <cell r="A228" t="str">
            <v>BoQ_195</v>
          </cell>
          <cell r="B228">
            <v>195</v>
          </cell>
          <cell r="C228">
            <v>184</v>
          </cell>
          <cell r="D228" t="str">
            <v>UPVC Down Spout
Ống thoát nước uPVC d140</v>
          </cell>
          <cell r="E228" t="str">
            <v>Tiền Phong, C2</v>
          </cell>
          <cell r="F228" t="str">
            <v>NHA_XUONG</v>
          </cell>
          <cell r="G228" t="str">
            <v>Cong_tac_mai</v>
          </cell>
          <cell r="H228" t="str">
            <v>Thoat_nuoc</v>
          </cell>
          <cell r="I228" t="str">
            <v>Ống thoát nước</v>
          </cell>
          <cell r="J228" t="str">
            <v>UPVC</v>
          </cell>
          <cell r="K228" t="str">
            <v>D140</v>
          </cell>
          <cell r="L228" t="str">
            <v>m</v>
          </cell>
          <cell r="M228">
            <v>416</v>
          </cell>
          <cell r="N228">
            <v>138000</v>
          </cell>
          <cell r="O228">
            <v>50000</v>
          </cell>
          <cell r="P228">
            <v>140760</v>
          </cell>
          <cell r="Q228">
            <v>58556160</v>
          </cell>
          <cell r="R228">
            <v>51000</v>
          </cell>
          <cell r="S228">
            <v>21216000</v>
          </cell>
          <cell r="T228">
            <v>191760</v>
          </cell>
          <cell r="U228">
            <v>79772160</v>
          </cell>
        </row>
        <row r="229">
          <cell r="A229" t="str">
            <v>BoQ_196</v>
          </cell>
          <cell r="B229">
            <v>196</v>
          </cell>
          <cell r="C229">
            <v>185</v>
          </cell>
          <cell r="D229" t="str">
            <v>Côn, cút ống thoát 
Down Spout Elbow</v>
          </cell>
          <cell r="F229" t="str">
            <v>NHA_XUONG</v>
          </cell>
          <cell r="G229" t="str">
            <v>Cong_tac_mai</v>
          </cell>
          <cell r="H229" t="str">
            <v>Thoat_nuoc</v>
          </cell>
          <cell r="I229" t="str">
            <v>Phụ kiện</v>
          </cell>
          <cell r="J229" t="str">
            <v>Côn thu</v>
          </cell>
          <cell r="L229" t="str">
            <v>ea</v>
          </cell>
          <cell r="M229">
            <v>208</v>
          </cell>
          <cell r="N229">
            <v>98000</v>
          </cell>
          <cell r="O229">
            <v>15000</v>
          </cell>
          <cell r="P229">
            <v>99960</v>
          </cell>
          <cell r="Q229">
            <v>20791680</v>
          </cell>
          <cell r="R229">
            <v>15300</v>
          </cell>
          <cell r="S229">
            <v>3182400</v>
          </cell>
          <cell r="T229">
            <v>115260</v>
          </cell>
          <cell r="U229">
            <v>23974080</v>
          </cell>
        </row>
        <row r="230">
          <cell r="A230" t="str">
            <v>BoQ_197</v>
          </cell>
          <cell r="B230">
            <v>197</v>
          </cell>
          <cell r="C230">
            <v>186</v>
          </cell>
          <cell r="D230" t="str">
            <v>Phễu tôn thu inox
Stainless steel corrugated iron hopper</v>
          </cell>
          <cell r="F230" t="str">
            <v>NHA_XUONG</v>
          </cell>
          <cell r="G230" t="str">
            <v>Cong_tac_mai</v>
          </cell>
          <cell r="H230" t="str">
            <v>Thoat_nuoc</v>
          </cell>
          <cell r="I230" t="str">
            <v>Phụ kiện</v>
          </cell>
          <cell r="J230" t="str">
            <v>Phiễu tôn</v>
          </cell>
          <cell r="L230" t="str">
            <v>ea</v>
          </cell>
          <cell r="M230">
            <v>52</v>
          </cell>
          <cell r="N230">
            <v>98000</v>
          </cell>
          <cell r="O230">
            <v>15000</v>
          </cell>
          <cell r="P230">
            <v>99960</v>
          </cell>
          <cell r="Q230">
            <v>5197920</v>
          </cell>
          <cell r="R230">
            <v>15300</v>
          </cell>
          <cell r="S230">
            <v>795600</v>
          </cell>
          <cell r="T230">
            <v>115260</v>
          </cell>
          <cell r="U230">
            <v>5993520</v>
          </cell>
        </row>
        <row r="231">
          <cell r="A231" t="str">
            <v>BoQ_198</v>
          </cell>
          <cell r="B231">
            <v>198</v>
          </cell>
          <cell r="C231">
            <v>187</v>
          </cell>
          <cell r="D231" t="str">
            <v xml:space="preserve">Quả cầu chắn rác
Rubbish dome grating </v>
          </cell>
          <cell r="F231" t="str">
            <v>NHA_XUONG</v>
          </cell>
          <cell r="G231" t="str">
            <v>Cong_tac_mai</v>
          </cell>
          <cell r="H231" t="str">
            <v>Thoat_nuoc</v>
          </cell>
          <cell r="I231" t="str">
            <v>Cầu chắn rác</v>
          </cell>
          <cell r="J231" t="str">
            <v>Inox</v>
          </cell>
          <cell r="L231" t="str">
            <v>ea</v>
          </cell>
          <cell r="M231">
            <v>52</v>
          </cell>
          <cell r="N231">
            <v>105000</v>
          </cell>
          <cell r="O231">
            <v>2500</v>
          </cell>
          <cell r="P231">
            <v>107100</v>
          </cell>
          <cell r="Q231">
            <v>5569200</v>
          </cell>
          <cell r="R231">
            <v>2550</v>
          </cell>
          <cell r="S231">
            <v>132600</v>
          </cell>
          <cell r="T231">
            <v>109650</v>
          </cell>
          <cell r="U231">
            <v>5701800</v>
          </cell>
        </row>
        <row r="232">
          <cell r="A232" t="str">
            <v>BoQ_199</v>
          </cell>
          <cell r="B232">
            <v>199</v>
          </cell>
          <cell r="C232">
            <v>188</v>
          </cell>
          <cell r="D232" t="str">
            <v>Phụ kiện
Accessories</v>
          </cell>
          <cell r="F232" t="str">
            <v>NHA_XUONG</v>
          </cell>
          <cell r="G232" t="str">
            <v>Cong_tac_mai</v>
          </cell>
          <cell r="H232" t="str">
            <v>Thoat_nuoc</v>
          </cell>
          <cell r="I232" t="str">
            <v>Phụ kiện</v>
          </cell>
          <cell r="L232" t="str">
            <v>lot</v>
          </cell>
          <cell r="M232">
            <v>1</v>
          </cell>
          <cell r="N232">
            <v>5000000</v>
          </cell>
          <cell r="P232">
            <v>5100000</v>
          </cell>
          <cell r="Q232">
            <v>5100000</v>
          </cell>
          <cell r="R232">
            <v>0</v>
          </cell>
          <cell r="S232">
            <v>0</v>
          </cell>
          <cell r="T232">
            <v>5100000</v>
          </cell>
          <cell r="U232">
            <v>5100000</v>
          </cell>
        </row>
        <row r="233">
          <cell r="A233" t="str">
            <v>BoQ_200</v>
          </cell>
          <cell r="B233">
            <v>200</v>
          </cell>
          <cell r="C233">
            <v>189</v>
          </cell>
          <cell r="D233" t="str">
            <v>Vận chuyển
Transportation</v>
          </cell>
          <cell r="F233" t="str">
            <v>NHA_XUONG</v>
          </cell>
          <cell r="G233" t="str">
            <v>Cong_tac_mai</v>
          </cell>
          <cell r="H233" t="str">
            <v>Thoat_nuoc</v>
          </cell>
          <cell r="I233" t="str">
            <v>Vận chuyển</v>
          </cell>
          <cell r="L233" t="str">
            <v>lot</v>
          </cell>
          <cell r="M233">
            <v>1</v>
          </cell>
          <cell r="O233">
            <v>10000000</v>
          </cell>
          <cell r="P233">
            <v>0</v>
          </cell>
          <cell r="Q233">
            <v>0</v>
          </cell>
          <cell r="R233">
            <v>10200000</v>
          </cell>
          <cell r="S233">
            <v>10200000</v>
          </cell>
          <cell r="T233">
            <v>10200000</v>
          </cell>
          <cell r="U233">
            <v>10200000</v>
          </cell>
        </row>
        <row r="234">
          <cell r="A234" t="str">
            <v>BoQ_201</v>
          </cell>
          <cell r="B234">
            <v>201</v>
          </cell>
          <cell r="C234">
            <v>190</v>
          </cell>
          <cell r="D234" t="str">
            <v>Trát tường vị trí đi ống thoát âm tường
Plastering the location of the wall outlet</v>
          </cell>
          <cell r="F234" t="str">
            <v>NHA_XUONG</v>
          </cell>
          <cell r="G234" t="str">
            <v>Cong_tac_mai</v>
          </cell>
          <cell r="H234" t="str">
            <v>Cong_tac_xay_trat</v>
          </cell>
          <cell r="I234" t="str">
            <v>Tường</v>
          </cell>
          <cell r="L234" t="str">
            <v>m</v>
          </cell>
          <cell r="M234">
            <v>104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</row>
        <row r="235">
          <cell r="A235" t="str">
            <v>BoQ_202</v>
          </cell>
          <cell r="B235">
            <v>202</v>
          </cell>
          <cell r="C235">
            <v>191</v>
          </cell>
          <cell r="D235" t="str">
            <v>Xây che ống nước đi bên trong nhà
Brick wall to cover plastic pipe</v>
          </cell>
          <cell r="F235" t="str">
            <v>NHA_XUONG</v>
          </cell>
          <cell r="G235" t="str">
            <v>Cong_tac_mai</v>
          </cell>
          <cell r="H235" t="str">
            <v>Cong_tac_xay_trat</v>
          </cell>
          <cell r="I235" t="str">
            <v>Tường</v>
          </cell>
          <cell r="L235" t="str">
            <v>m</v>
          </cell>
          <cell r="M235">
            <v>102</v>
          </cell>
          <cell r="N235">
            <v>250000</v>
          </cell>
          <cell r="O235">
            <v>150000</v>
          </cell>
          <cell r="P235">
            <v>255000</v>
          </cell>
          <cell r="Q235">
            <v>26010000</v>
          </cell>
          <cell r="R235">
            <v>153000</v>
          </cell>
          <cell r="S235">
            <v>15606000</v>
          </cell>
          <cell r="T235">
            <v>408000</v>
          </cell>
          <cell r="U235">
            <v>41616000</v>
          </cell>
        </row>
        <row r="236">
          <cell r="A236" t="str">
            <v>BoQ_203</v>
          </cell>
          <cell r="B236">
            <v>203</v>
          </cell>
          <cell r="C236">
            <v>192</v>
          </cell>
          <cell r="D236" t="str">
            <v>Phụ kiện máng nước
Gutter accessories</v>
          </cell>
          <cell r="F236" t="str">
            <v>NHA_XUONG</v>
          </cell>
          <cell r="G236" t="str">
            <v>Cong_tac_mai</v>
          </cell>
          <cell r="H236" t="str">
            <v>Thoat_nuoc</v>
          </cell>
          <cell r="I236" t="str">
            <v>Phụ kiện</v>
          </cell>
          <cell r="L236" t="str">
            <v>lot</v>
          </cell>
          <cell r="M236">
            <v>1</v>
          </cell>
          <cell r="N236">
            <v>1500000</v>
          </cell>
          <cell r="P236">
            <v>1530000</v>
          </cell>
          <cell r="Q236">
            <v>1530000</v>
          </cell>
          <cell r="R236">
            <v>0</v>
          </cell>
          <cell r="S236">
            <v>0</v>
          </cell>
          <cell r="T236">
            <v>1530000</v>
          </cell>
          <cell r="U236">
            <v>1530000</v>
          </cell>
        </row>
        <row r="237">
          <cell r="C237">
            <v>193</v>
          </cell>
          <cell r="D237" t="str">
            <v>PANEL TRONG NHÀ
INTERNAL WALL PANEL</v>
          </cell>
        </row>
        <row r="238">
          <cell r="A238" t="str">
            <v>BoQ_204</v>
          </cell>
          <cell r="B238">
            <v>204</v>
          </cell>
          <cell r="C238">
            <v>194</v>
          </cell>
          <cell r="D238" t="str">
            <v>Vách Panel dày 75mm
Sandwich panel 75mm thickness</v>
          </cell>
          <cell r="F238" t="str">
            <v>NHA_XUONG</v>
          </cell>
          <cell r="G238" t="str">
            <v>Cong_tac_panel</v>
          </cell>
          <cell r="H238" t="str">
            <v>Panel</v>
          </cell>
          <cell r="I238" t="str">
            <v>Tường trong</v>
          </cell>
          <cell r="J238" t="str">
            <v>PU sandwich</v>
          </cell>
          <cell r="K238" t="str">
            <v>Thk 75mm</v>
          </cell>
          <cell r="L238" t="str">
            <v>m²</v>
          </cell>
          <cell r="M238">
            <v>382.22399999999999</v>
          </cell>
          <cell r="N238">
            <v>435000</v>
          </cell>
          <cell r="O238">
            <v>41000</v>
          </cell>
          <cell r="P238">
            <v>443700</v>
          </cell>
          <cell r="Q238">
            <v>169592788.79999998</v>
          </cell>
          <cell r="R238">
            <v>41820</v>
          </cell>
          <cell r="S238">
            <v>15984607.68</v>
          </cell>
          <cell r="T238">
            <v>485520</v>
          </cell>
          <cell r="U238">
            <v>185577396.47999999</v>
          </cell>
        </row>
        <row r="239">
          <cell r="A239" t="str">
            <v>BoQ_205</v>
          </cell>
          <cell r="B239">
            <v>205</v>
          </cell>
          <cell r="C239">
            <v>195</v>
          </cell>
          <cell r="D239" t="str">
            <v>Thanh U, T
U, T bars</v>
          </cell>
          <cell r="F239" t="str">
            <v>NHA_XUONG</v>
          </cell>
          <cell r="G239" t="str">
            <v>Cong_tac_panel</v>
          </cell>
          <cell r="H239" t="str">
            <v>Phu_kien</v>
          </cell>
          <cell r="I239" t="str">
            <v>Tường trong</v>
          </cell>
          <cell r="J239" t="str">
            <v>Phụ kiện</v>
          </cell>
          <cell r="K239" t="str">
            <v>U,T</v>
          </cell>
          <cell r="L239" t="str">
            <v>m</v>
          </cell>
          <cell r="M239">
            <v>158.30000000000001</v>
          </cell>
          <cell r="N239">
            <v>35000</v>
          </cell>
          <cell r="P239">
            <v>35700</v>
          </cell>
          <cell r="Q239">
            <v>5651310</v>
          </cell>
          <cell r="R239">
            <v>0</v>
          </cell>
          <cell r="S239">
            <v>0</v>
          </cell>
          <cell r="T239">
            <v>35700</v>
          </cell>
          <cell r="U239">
            <v>5651310</v>
          </cell>
        </row>
        <row r="240">
          <cell r="A240" t="str">
            <v>BoQ_206</v>
          </cell>
          <cell r="B240">
            <v>206</v>
          </cell>
          <cell r="C240">
            <v>196</v>
          </cell>
          <cell r="D240" t="str">
            <v>Vật tư phụ
Accessories</v>
          </cell>
          <cell r="F240" t="str">
            <v>NHA_XUONG</v>
          </cell>
          <cell r="G240" t="str">
            <v>Cong_tac_panel</v>
          </cell>
          <cell r="H240" t="str">
            <v>Vat_tu_phu</v>
          </cell>
          <cell r="I240" t="str">
            <v>Tường trong</v>
          </cell>
          <cell r="L240" t="str">
            <v>m2</v>
          </cell>
          <cell r="M240">
            <v>382.22399999999999</v>
          </cell>
          <cell r="N240">
            <v>7000</v>
          </cell>
          <cell r="P240">
            <v>7140</v>
          </cell>
          <cell r="Q240">
            <v>2729079.36</v>
          </cell>
          <cell r="R240">
            <v>0</v>
          </cell>
          <cell r="S240">
            <v>0</v>
          </cell>
          <cell r="T240">
            <v>7140</v>
          </cell>
          <cell r="U240">
            <v>2729079.36</v>
          </cell>
        </row>
        <row r="241">
          <cell r="A241" t="str">
            <v>BoQ_207</v>
          </cell>
          <cell r="B241">
            <v>207</v>
          </cell>
          <cell r="C241">
            <v>197</v>
          </cell>
          <cell r="D241" t="str">
            <v>Chi phí vận chuyển
Transportation fee</v>
          </cell>
          <cell r="F241" t="str">
            <v>NHA_XUONG</v>
          </cell>
          <cell r="G241" t="str">
            <v>Cong_tac_panel</v>
          </cell>
          <cell r="H241" t="str">
            <v>Van_chuyen</v>
          </cell>
          <cell r="I241" t="str">
            <v>Tường trong</v>
          </cell>
          <cell r="L241" t="str">
            <v>m2</v>
          </cell>
          <cell r="M241">
            <v>382.22399999999999</v>
          </cell>
          <cell r="N241">
            <v>5000</v>
          </cell>
          <cell r="P241">
            <v>5100</v>
          </cell>
          <cell r="Q241">
            <v>1949342.4</v>
          </cell>
          <cell r="R241">
            <v>0</v>
          </cell>
          <cell r="S241">
            <v>0</v>
          </cell>
          <cell r="T241">
            <v>5100</v>
          </cell>
          <cell r="U241">
            <v>1949342.4</v>
          </cell>
        </row>
        <row r="242">
          <cell r="A242" t="str">
            <v>BoQ_208</v>
          </cell>
          <cell r="B242">
            <v>208</v>
          </cell>
          <cell r="C242">
            <v>198</v>
          </cell>
          <cell r="D242" t="str">
            <v>Kiểm định tấm panel ngăn cháy
Fire rated sandwich panel inspection fee</v>
          </cell>
          <cell r="F242" t="str">
            <v>NHA_XUONG</v>
          </cell>
          <cell r="G242" t="str">
            <v>Cong_tac_panel</v>
          </cell>
          <cell r="H242" t="str">
            <v>Kiem_dinh</v>
          </cell>
          <cell r="I242" t="str">
            <v>Tường trong</v>
          </cell>
          <cell r="L242" t="str">
            <v>lot</v>
          </cell>
          <cell r="M242">
            <v>1</v>
          </cell>
          <cell r="N242">
            <v>50000000</v>
          </cell>
          <cell r="P242">
            <v>51000000</v>
          </cell>
          <cell r="Q242">
            <v>51000000</v>
          </cell>
          <cell r="R242">
            <v>0</v>
          </cell>
          <cell r="S242">
            <v>0</v>
          </cell>
          <cell r="T242">
            <v>51000000</v>
          </cell>
          <cell r="U242">
            <v>51000000</v>
          </cell>
        </row>
        <row r="243">
          <cell r="D243" t="str">
            <v>PANEL NGOÀI  NHÀ
OUTSIDE WALL PANEL</v>
          </cell>
        </row>
        <row r="244">
          <cell r="A244" t="str">
            <v>BoQ_209</v>
          </cell>
          <cell r="B244">
            <v>209</v>
          </cell>
          <cell r="C244">
            <v>199</v>
          </cell>
          <cell r="D244" t="str">
            <v>Vách Panel dày 75mm
Sandwich panel 75mm thickness</v>
          </cell>
          <cell r="F244" t="str">
            <v>NHA_XUONG</v>
          </cell>
          <cell r="G244" t="str">
            <v>Cong_tac_panel</v>
          </cell>
          <cell r="H244" t="str">
            <v>Panel</v>
          </cell>
          <cell r="I244" t="str">
            <v>Tường ngoài</v>
          </cell>
          <cell r="J244" t="str">
            <v>PU sandwich</v>
          </cell>
          <cell r="K244" t="str">
            <v>Thk 75mm</v>
          </cell>
          <cell r="L244" t="str">
            <v>m²</v>
          </cell>
          <cell r="M244">
            <v>1180.2</v>
          </cell>
          <cell r="N244">
            <v>600000</v>
          </cell>
          <cell r="O244">
            <v>41000</v>
          </cell>
          <cell r="P244">
            <v>612000</v>
          </cell>
          <cell r="Q244">
            <v>722282400</v>
          </cell>
          <cell r="R244">
            <v>41820</v>
          </cell>
          <cell r="S244">
            <v>49355964</v>
          </cell>
          <cell r="T244">
            <v>653820</v>
          </cell>
          <cell r="U244">
            <v>771638364</v>
          </cell>
        </row>
        <row r="245">
          <cell r="A245" t="str">
            <v>BoQ_210</v>
          </cell>
          <cell r="B245">
            <v>210</v>
          </cell>
          <cell r="C245">
            <v>200</v>
          </cell>
          <cell r="D245" t="str">
            <v>Vật tư phụ
Sub matarial &amp; acessories</v>
          </cell>
          <cell r="F245" t="str">
            <v>NHA_XUONG</v>
          </cell>
          <cell r="G245" t="str">
            <v>Cong_tac_panel</v>
          </cell>
          <cell r="H245" t="str">
            <v>Vat_tu_phu</v>
          </cell>
          <cell r="I245" t="str">
            <v>Tường ngoài</v>
          </cell>
          <cell r="L245" t="str">
            <v>m2</v>
          </cell>
          <cell r="M245">
            <v>1180.2</v>
          </cell>
          <cell r="N245">
            <v>7000</v>
          </cell>
          <cell r="P245">
            <v>7140</v>
          </cell>
          <cell r="Q245">
            <v>8426628</v>
          </cell>
          <cell r="R245">
            <v>0</v>
          </cell>
          <cell r="S245">
            <v>0</v>
          </cell>
          <cell r="T245">
            <v>7140</v>
          </cell>
          <cell r="U245">
            <v>8426628</v>
          </cell>
        </row>
        <row r="246">
          <cell r="A246" t="str">
            <v>BoQ_211</v>
          </cell>
          <cell r="B246">
            <v>211</v>
          </cell>
          <cell r="C246">
            <v>201</v>
          </cell>
          <cell r="D246" t="str">
            <v xml:space="preserve">Khung thép hộp panel
Steel frame </v>
          </cell>
          <cell r="F246" t="str">
            <v>NHA_XUONG</v>
          </cell>
          <cell r="G246" t="str">
            <v>Cong_tac_panel</v>
          </cell>
          <cell r="H246" t="str">
            <v>Khung_thep_hop</v>
          </cell>
          <cell r="I246" t="str">
            <v>Tường ngoài</v>
          </cell>
          <cell r="L246" t="str">
            <v>Kg</v>
          </cell>
          <cell r="M246">
            <v>4130.7</v>
          </cell>
          <cell r="N246">
            <v>24000</v>
          </cell>
          <cell r="O246">
            <v>2500</v>
          </cell>
          <cell r="P246">
            <v>24480</v>
          </cell>
          <cell r="Q246">
            <v>101119536</v>
          </cell>
          <cell r="R246">
            <v>2550</v>
          </cell>
          <cell r="S246">
            <v>10533285</v>
          </cell>
          <cell r="T246">
            <v>27030</v>
          </cell>
          <cell r="U246">
            <v>111652821</v>
          </cell>
        </row>
        <row r="247">
          <cell r="A247" t="str">
            <v>BoQ_212</v>
          </cell>
          <cell r="B247">
            <v>212</v>
          </cell>
          <cell r="C247">
            <v>202</v>
          </cell>
          <cell r="D247" t="str">
            <v>Chi phí vận chuyển
Transportation fee</v>
          </cell>
          <cell r="F247" t="str">
            <v>NHA_XUONG</v>
          </cell>
          <cell r="G247" t="str">
            <v>Cong_tac_panel</v>
          </cell>
          <cell r="H247" t="str">
            <v>Van_chuyen</v>
          </cell>
          <cell r="I247" t="str">
            <v>Tường ngoài</v>
          </cell>
          <cell r="L247" t="str">
            <v>m2</v>
          </cell>
          <cell r="M247">
            <v>1180.2</v>
          </cell>
          <cell r="N247">
            <v>5000</v>
          </cell>
          <cell r="P247">
            <v>5100</v>
          </cell>
          <cell r="Q247">
            <v>6019020</v>
          </cell>
          <cell r="R247">
            <v>0</v>
          </cell>
          <cell r="S247">
            <v>0</v>
          </cell>
          <cell r="T247">
            <v>5100</v>
          </cell>
          <cell r="U247">
            <v>6019020</v>
          </cell>
        </row>
        <row r="248">
          <cell r="A248" t="str">
            <v>BoQ_213</v>
          </cell>
          <cell r="B248">
            <v>213</v>
          </cell>
          <cell r="C248">
            <v>203</v>
          </cell>
          <cell r="D248" t="str">
            <v>Tấm zinC coin 0.5mm
Single sheet ZinC, coil 0.5mm</v>
          </cell>
          <cell r="F248" t="str">
            <v>NHA_XUONG</v>
          </cell>
          <cell r="G248" t="str">
            <v>Cong_tac_panel</v>
          </cell>
          <cell r="H248" t="str">
            <v>Van_chuyen</v>
          </cell>
          <cell r="I248" t="str">
            <v>Tường ngoài</v>
          </cell>
          <cell r="L248" t="str">
            <v>m2</v>
          </cell>
          <cell r="M248">
            <v>1180.2</v>
          </cell>
          <cell r="N248">
            <v>185000</v>
          </cell>
          <cell r="O248">
            <v>65000</v>
          </cell>
          <cell r="P248">
            <v>188700</v>
          </cell>
          <cell r="Q248">
            <v>222703740</v>
          </cell>
          <cell r="R248">
            <v>66300</v>
          </cell>
          <cell r="S248">
            <v>78247260</v>
          </cell>
          <cell r="T248">
            <v>255000</v>
          </cell>
          <cell r="U248">
            <v>300951000</v>
          </cell>
        </row>
        <row r="249">
          <cell r="C249">
            <v>198</v>
          </cell>
          <cell r="D249" t="str">
            <v>TRẦN PANEL, TRẦN THẠCH CAO
CEILING PANEL, GYPSUM CEILING</v>
          </cell>
        </row>
        <row r="250">
          <cell r="A250" t="str">
            <v>BoQ_214</v>
          </cell>
          <cell r="B250">
            <v>214</v>
          </cell>
          <cell r="C250">
            <v>204</v>
          </cell>
          <cell r="D250" t="str">
            <v>Panel ngăn cháy EI15 dày 75mm
EI15 fireproof sandwich panel 75mm thickness</v>
          </cell>
          <cell r="F250" t="str">
            <v>NHA_XUONG</v>
          </cell>
          <cell r="G250" t="str">
            <v>Cong_tac_panel</v>
          </cell>
          <cell r="H250" t="str">
            <v>Panel</v>
          </cell>
          <cell r="L250" t="str">
            <v>m²</v>
          </cell>
          <cell r="M250">
            <v>86.15</v>
          </cell>
          <cell r="N250">
            <v>6500000</v>
          </cell>
          <cell r="O250">
            <v>41000</v>
          </cell>
          <cell r="P250">
            <v>6630000</v>
          </cell>
          <cell r="Q250">
            <v>571174500</v>
          </cell>
          <cell r="R250">
            <v>41820</v>
          </cell>
          <cell r="S250">
            <v>3602793.0000000005</v>
          </cell>
          <cell r="T250">
            <v>6671820</v>
          </cell>
          <cell r="U250">
            <v>574777293</v>
          </cell>
        </row>
        <row r="251">
          <cell r="A251" t="str">
            <v>BoQ_215</v>
          </cell>
          <cell r="B251">
            <v>215</v>
          </cell>
          <cell r="C251">
            <v>205</v>
          </cell>
          <cell r="D251" t="str">
            <v xml:space="preserve">Panel tôn 2 mặt dày 75mm
Sandwich panel 75mm thickness </v>
          </cell>
          <cell r="F251" t="str">
            <v>NHA_XUONG</v>
          </cell>
          <cell r="G251" t="str">
            <v>Cong_tac_panel</v>
          </cell>
          <cell r="H251" t="str">
            <v>Panel</v>
          </cell>
          <cell r="L251" t="str">
            <v>m²</v>
          </cell>
          <cell r="M251">
            <v>3977.15</v>
          </cell>
          <cell r="N251">
            <v>550000</v>
          </cell>
          <cell r="O251">
            <v>41000</v>
          </cell>
          <cell r="P251">
            <v>561000</v>
          </cell>
          <cell r="Q251">
            <v>2231181150</v>
          </cell>
          <cell r="R251">
            <v>41820</v>
          </cell>
          <cell r="S251">
            <v>166324413</v>
          </cell>
          <cell r="T251">
            <v>602820</v>
          </cell>
          <cell r="U251">
            <v>2397505563</v>
          </cell>
        </row>
        <row r="252">
          <cell r="A252" t="str">
            <v>BoQ_216</v>
          </cell>
          <cell r="B252">
            <v>216</v>
          </cell>
          <cell r="C252">
            <v>206</v>
          </cell>
          <cell r="D252" t="str">
            <v>Thanh U, T
U, T bars</v>
          </cell>
          <cell r="F252" t="str">
            <v>NHA_XUONG</v>
          </cell>
          <cell r="G252" t="str">
            <v>Cong_tac_panel</v>
          </cell>
          <cell r="H252" t="str">
            <v>Phu_kien</v>
          </cell>
          <cell r="I252" t="str">
            <v>Tường trong</v>
          </cell>
          <cell r="J252" t="str">
            <v>Phụ kiện</v>
          </cell>
          <cell r="K252" t="str">
            <v>U,T</v>
          </cell>
          <cell r="L252" t="str">
            <v>m²</v>
          </cell>
          <cell r="M252">
            <v>4063.3</v>
          </cell>
          <cell r="N252">
            <v>35000</v>
          </cell>
          <cell r="P252">
            <v>35700</v>
          </cell>
          <cell r="Q252">
            <v>145059810</v>
          </cell>
          <cell r="R252">
            <v>0</v>
          </cell>
          <cell r="S252">
            <v>0</v>
          </cell>
          <cell r="T252">
            <v>35700</v>
          </cell>
          <cell r="U252">
            <v>145059810</v>
          </cell>
        </row>
        <row r="253">
          <cell r="A253" t="str">
            <v>BoQ_217</v>
          </cell>
          <cell r="B253">
            <v>217</v>
          </cell>
          <cell r="C253">
            <v>207</v>
          </cell>
          <cell r="D253" t="str">
            <v>Tăng đơ
Flange nut</v>
          </cell>
          <cell r="F253" t="str">
            <v>NHA_XUONG</v>
          </cell>
          <cell r="G253" t="str">
            <v>Cong_tac_panel</v>
          </cell>
          <cell r="H253" t="str">
            <v>Vat_tu_phu</v>
          </cell>
          <cell r="I253" t="str">
            <v>Tường trong</v>
          </cell>
          <cell r="L253" t="str">
            <v>ea</v>
          </cell>
          <cell r="M253">
            <v>560</v>
          </cell>
          <cell r="N253">
            <v>6500</v>
          </cell>
          <cell r="P253">
            <v>6630</v>
          </cell>
          <cell r="Q253">
            <v>3712800</v>
          </cell>
          <cell r="R253">
            <v>0</v>
          </cell>
          <cell r="S253">
            <v>0</v>
          </cell>
          <cell r="T253">
            <v>6630</v>
          </cell>
          <cell r="U253">
            <v>3712800</v>
          </cell>
        </row>
        <row r="254">
          <cell r="A254" t="str">
            <v>BoQ_218</v>
          </cell>
          <cell r="B254">
            <v>218</v>
          </cell>
          <cell r="C254">
            <v>208</v>
          </cell>
          <cell r="D254" t="str">
            <v>Cáp thép D10
Steel Cable D10</v>
          </cell>
          <cell r="F254" t="str">
            <v>NHA_XUONG</v>
          </cell>
          <cell r="G254" t="str">
            <v>Cong_tac_panel</v>
          </cell>
          <cell r="H254" t="str">
            <v>Van_chuyen</v>
          </cell>
          <cell r="I254" t="str">
            <v>Tường trong</v>
          </cell>
          <cell r="L254" t="str">
            <v>md</v>
          </cell>
          <cell r="M254">
            <v>2240</v>
          </cell>
          <cell r="N254">
            <v>6500</v>
          </cell>
          <cell r="P254">
            <v>6630</v>
          </cell>
          <cell r="Q254">
            <v>14851200</v>
          </cell>
          <cell r="R254">
            <v>0</v>
          </cell>
          <cell r="S254">
            <v>0</v>
          </cell>
          <cell r="T254">
            <v>6630</v>
          </cell>
          <cell r="U254">
            <v>14851200</v>
          </cell>
        </row>
        <row r="255">
          <cell r="A255" t="str">
            <v>BoQ_219</v>
          </cell>
          <cell r="B255">
            <v>219</v>
          </cell>
          <cell r="C255">
            <v>209</v>
          </cell>
          <cell r="D255" t="str">
            <v>Vật tư phụ
Accessories</v>
          </cell>
          <cell r="F255" t="str">
            <v>NHA_XUONG</v>
          </cell>
          <cell r="G255" t="str">
            <v>Cong_tac_panel</v>
          </cell>
          <cell r="H255" t="str">
            <v>Kiem_dinh</v>
          </cell>
          <cell r="I255" t="str">
            <v>Tường trong</v>
          </cell>
          <cell r="L255" t="str">
            <v>lot</v>
          </cell>
          <cell r="M255">
            <v>1</v>
          </cell>
          <cell r="N255">
            <v>25000</v>
          </cell>
          <cell r="P255">
            <v>25500</v>
          </cell>
          <cell r="Q255">
            <v>25500</v>
          </cell>
          <cell r="R255">
            <v>0</v>
          </cell>
          <cell r="S255">
            <v>0</v>
          </cell>
          <cell r="T255">
            <v>25500</v>
          </cell>
          <cell r="U255">
            <v>25500</v>
          </cell>
        </row>
        <row r="256">
          <cell r="A256" t="str">
            <v>BoQ_220</v>
          </cell>
          <cell r="B256">
            <v>220</v>
          </cell>
          <cell r="C256">
            <v>210</v>
          </cell>
          <cell r="D256" t="str">
            <v>Lắp đặt trần thạch cao tận dụng
Installing gypsum ceilings to take advantage of</v>
          </cell>
          <cell r="F256" t="str">
            <v>NHA_XUONG</v>
          </cell>
          <cell r="G256" t="str">
            <v>Cong_tac_thach_cao</v>
          </cell>
          <cell r="H256" t="str">
            <v>Thach_cao</v>
          </cell>
          <cell r="I256" t="str">
            <v>Trần</v>
          </cell>
          <cell r="L256" t="str">
            <v>m2</v>
          </cell>
          <cell r="M256">
            <v>915</v>
          </cell>
          <cell r="O256">
            <v>45000</v>
          </cell>
          <cell r="P256">
            <v>0</v>
          </cell>
          <cell r="Q256">
            <v>0</v>
          </cell>
          <cell r="R256">
            <v>45900</v>
          </cell>
          <cell r="S256">
            <v>41998500</v>
          </cell>
          <cell r="T256">
            <v>45900</v>
          </cell>
          <cell r="U256">
            <v>41998500</v>
          </cell>
        </row>
        <row r="257">
          <cell r="A257" t="str">
            <v>BoQ_221</v>
          </cell>
          <cell r="B257">
            <v>221</v>
          </cell>
          <cell r="C257">
            <v>211</v>
          </cell>
          <cell r="D257" t="str">
            <v>Vật tư phụ trần thạch cao
Accessories for gypsum ceilling</v>
          </cell>
          <cell r="F257" t="str">
            <v>NHA_XUONG</v>
          </cell>
          <cell r="G257" t="str">
            <v>Cong_tac_thach_cao</v>
          </cell>
          <cell r="H257" t="str">
            <v>Vat_tu_phu</v>
          </cell>
          <cell r="L257" t="str">
            <v>lot</v>
          </cell>
          <cell r="M257">
            <v>1</v>
          </cell>
          <cell r="N257">
            <v>20000000</v>
          </cell>
          <cell r="P257">
            <v>20400000</v>
          </cell>
          <cell r="Q257">
            <v>20400000</v>
          </cell>
          <cell r="R257">
            <v>0</v>
          </cell>
          <cell r="S257">
            <v>0</v>
          </cell>
          <cell r="T257">
            <v>20400000</v>
          </cell>
          <cell r="U257">
            <v>20400000</v>
          </cell>
        </row>
        <row r="258">
          <cell r="A258" t="str">
            <v>BoQ_222</v>
          </cell>
          <cell r="B258">
            <v>222</v>
          </cell>
          <cell r="C258">
            <v>212</v>
          </cell>
          <cell r="D258" t="str">
            <v>Vận chuyển
Transportation fee</v>
          </cell>
          <cell r="F258" t="str">
            <v>NHA_XUONG</v>
          </cell>
          <cell r="G258" t="str">
            <v>Cong_tac_panel</v>
          </cell>
          <cell r="H258" t="str">
            <v>Van_chuyen</v>
          </cell>
          <cell r="L258" t="str">
            <v>m2</v>
          </cell>
          <cell r="M258">
            <v>4063.3</v>
          </cell>
          <cell r="N258">
            <v>5000</v>
          </cell>
          <cell r="P258">
            <v>5100</v>
          </cell>
          <cell r="Q258">
            <v>20722830</v>
          </cell>
          <cell r="R258">
            <v>0</v>
          </cell>
          <cell r="S258">
            <v>0</v>
          </cell>
          <cell r="T258">
            <v>5100</v>
          </cell>
          <cell r="U258">
            <v>20722830</v>
          </cell>
        </row>
        <row r="259">
          <cell r="C259">
            <v>209</v>
          </cell>
          <cell r="D259" t="str">
            <v>CÔNG TÁC CỬA, VÁCH KÍNH
DOORS AND WINDOWS</v>
          </cell>
        </row>
        <row r="260">
          <cell r="A260" t="str">
            <v>BoQ_223</v>
          </cell>
          <cell r="B260">
            <v>223</v>
          </cell>
          <cell r="C260">
            <v>213</v>
          </cell>
          <cell r="D260" t="str">
            <v>Aluminium glass window 
Cửa sổ nhôm kính mặt tiền</v>
          </cell>
          <cell r="E260" t="str">
            <v>High grade Xingfa, 6,38mm thk safety glass, opaque color.
Cửa hệ Xingfa , kính an toàn 6,38mm, kính mờ.</v>
          </cell>
          <cell r="F260" t="str">
            <v>NHA_XUONG</v>
          </cell>
          <cell r="G260" t="str">
            <v>Cong_tac_cua_di_cua_so</v>
          </cell>
          <cell r="H260" t="str">
            <v>Cua_so</v>
          </cell>
          <cell r="I260" t="str">
            <v>Tường ngoài</v>
          </cell>
          <cell r="J260" t="str">
            <v>Xingfa</v>
          </cell>
          <cell r="K260" t="str">
            <v>6,38mm</v>
          </cell>
          <cell r="L260" t="str">
            <v>m2</v>
          </cell>
          <cell r="M260">
            <v>127.21500000000002</v>
          </cell>
          <cell r="N260">
            <v>1350000</v>
          </cell>
          <cell r="O260">
            <v>250000</v>
          </cell>
          <cell r="P260">
            <v>1377000</v>
          </cell>
          <cell r="Q260">
            <v>175175055.00000003</v>
          </cell>
          <cell r="R260">
            <v>255000</v>
          </cell>
          <cell r="S260">
            <v>32439825.000000004</v>
          </cell>
          <cell r="T260">
            <v>1632000</v>
          </cell>
          <cell r="U260">
            <v>207614880.00000003</v>
          </cell>
        </row>
        <row r="261">
          <cell r="A261" t="str">
            <v>BoQ_224</v>
          </cell>
          <cell r="B261">
            <v>224</v>
          </cell>
          <cell r="C261">
            <v>214</v>
          </cell>
          <cell r="D261" t="str">
            <v>Accessories for window 
Phụ kiện cửa sổ</v>
          </cell>
          <cell r="E261" t="str">
            <v>Kin long</v>
          </cell>
          <cell r="F261" t="str">
            <v>NHA_XUONG</v>
          </cell>
          <cell r="G261" t="str">
            <v>Cong_tac_cua_di_cua_so</v>
          </cell>
          <cell r="H261" t="str">
            <v>Cua_so</v>
          </cell>
          <cell r="I261" t="str">
            <v>Tường ngoài</v>
          </cell>
          <cell r="J261" t="str">
            <v>Kinlong</v>
          </cell>
          <cell r="L261" t="str">
            <v>ea</v>
          </cell>
          <cell r="M261">
            <v>22</v>
          </cell>
          <cell r="N261">
            <v>450000</v>
          </cell>
          <cell r="P261">
            <v>459000</v>
          </cell>
          <cell r="Q261">
            <v>10098000</v>
          </cell>
          <cell r="R261">
            <v>0</v>
          </cell>
          <cell r="S261">
            <v>0</v>
          </cell>
          <cell r="T261">
            <v>459000</v>
          </cell>
          <cell r="U261">
            <v>10098000</v>
          </cell>
        </row>
        <row r="262">
          <cell r="A262" t="str">
            <v>BoQ_225</v>
          </cell>
          <cell r="B262">
            <v>225</v>
          </cell>
          <cell r="C262">
            <v>215</v>
          </cell>
          <cell r="D262" t="str">
            <v>Tempered glass auto door 
Cửa kính cường lực tự động</v>
          </cell>
          <cell r="E262" t="str">
            <v>10mm thk tempered glass partition, Kinlong accessories
Vách kính 10 mm, phụ kiện Kinlong.</v>
          </cell>
          <cell r="F262" t="str">
            <v>NHA_XUONG</v>
          </cell>
          <cell r="G262" t="str">
            <v>Cong_tac_cua_di_cua_so</v>
          </cell>
          <cell r="H262" t="str">
            <v>Cua_di</v>
          </cell>
          <cell r="I262" t="str">
            <v>Sảnh</v>
          </cell>
          <cell r="J262" t="str">
            <v>Kính cường lực</v>
          </cell>
          <cell r="K262" t="str">
            <v>Thk 10mm</v>
          </cell>
          <cell r="L262" t="str">
            <v>m2</v>
          </cell>
          <cell r="M262">
            <v>15.36</v>
          </cell>
          <cell r="N262">
            <v>3500000</v>
          </cell>
          <cell r="O262">
            <v>450000</v>
          </cell>
          <cell r="P262">
            <v>3570000</v>
          </cell>
          <cell r="Q262">
            <v>54835200</v>
          </cell>
          <cell r="R262">
            <v>459000</v>
          </cell>
          <cell r="S262">
            <v>7050240</v>
          </cell>
          <cell r="T262">
            <v>4029000</v>
          </cell>
          <cell r="U262">
            <v>61885440</v>
          </cell>
        </row>
        <row r="263">
          <cell r="A263" t="str">
            <v>BoQ_226</v>
          </cell>
          <cell r="B263">
            <v>226</v>
          </cell>
          <cell r="C263">
            <v>216</v>
          </cell>
          <cell r="D263" t="str">
            <v>Accessories for main entrance door
 Phụ kiện cửa cường lực</v>
          </cell>
          <cell r="E263" t="str">
            <v>Kinlong or equivalent</v>
          </cell>
          <cell r="F263" t="str">
            <v>NHA_XUONG</v>
          </cell>
          <cell r="G263" t="str">
            <v>Cong_tac_cua_di_cua_so</v>
          </cell>
          <cell r="H263" t="str">
            <v>Cua_di</v>
          </cell>
          <cell r="I263" t="str">
            <v>Cửa đi</v>
          </cell>
          <cell r="J263" t="str">
            <v>Phụ kiện</v>
          </cell>
          <cell r="L263" t="str">
            <v>ea</v>
          </cell>
          <cell r="M263">
            <v>4</v>
          </cell>
          <cell r="N263">
            <v>500000</v>
          </cell>
          <cell r="P263">
            <v>510000</v>
          </cell>
          <cell r="Q263">
            <v>2040000</v>
          </cell>
          <cell r="R263">
            <v>0</v>
          </cell>
          <cell r="S263">
            <v>0</v>
          </cell>
          <cell r="T263">
            <v>510000</v>
          </cell>
          <cell r="U263">
            <v>2040000</v>
          </cell>
        </row>
        <row r="264">
          <cell r="A264" t="str">
            <v>BoQ_227</v>
          </cell>
          <cell r="B264">
            <v>227</v>
          </cell>
          <cell r="C264">
            <v>217</v>
          </cell>
          <cell r="D264" t="str">
            <v>Bộ lưu điện UPS
UPS</v>
          </cell>
          <cell r="F264" t="str">
            <v>NHA_XUONG</v>
          </cell>
          <cell r="G264" t="str">
            <v>Cong_tac_cua_di_cua_so</v>
          </cell>
          <cell r="H264" t="str">
            <v>Cua_di</v>
          </cell>
          <cell r="I264" t="str">
            <v>Cửa đi</v>
          </cell>
          <cell r="J264" t="str">
            <v>Phụ kiện</v>
          </cell>
          <cell r="K264" t="str">
            <v>Bộ lưu điện</v>
          </cell>
          <cell r="L264" t="str">
            <v>ea</v>
          </cell>
          <cell r="M264">
            <v>4</v>
          </cell>
          <cell r="N264">
            <v>20000000</v>
          </cell>
          <cell r="P264">
            <v>20400000</v>
          </cell>
          <cell r="Q264">
            <v>81600000</v>
          </cell>
          <cell r="R264">
            <v>0</v>
          </cell>
          <cell r="S264">
            <v>0</v>
          </cell>
          <cell r="T264">
            <v>20400000</v>
          </cell>
          <cell r="U264">
            <v>81600000</v>
          </cell>
        </row>
        <row r="265">
          <cell r="A265" t="str">
            <v>BoQ_228</v>
          </cell>
          <cell r="B265">
            <v>228</v>
          </cell>
          <cell r="C265">
            <v>218</v>
          </cell>
          <cell r="D265" t="str">
            <v>Automatic rail, Automatic open/close sensor 
 Ray thiết bị tự động, Thiết bị cảm ứng cửa</v>
          </cell>
          <cell r="E265" t="str">
            <v>Kinlong or equivalent</v>
          </cell>
          <cell r="F265" t="str">
            <v>NHA_XUONG</v>
          </cell>
          <cell r="G265" t="str">
            <v>Cong_tac_cua_di_cua_so</v>
          </cell>
          <cell r="H265" t="str">
            <v>Cua_di</v>
          </cell>
          <cell r="I265" t="str">
            <v>Cửa đi</v>
          </cell>
          <cell r="J265" t="str">
            <v>Phụ kiện</v>
          </cell>
          <cell r="K265" t="str">
            <v>Ray tự động</v>
          </cell>
          <cell r="L265" t="str">
            <v>ea</v>
          </cell>
          <cell r="M265">
            <v>4</v>
          </cell>
          <cell r="N265">
            <v>15000000</v>
          </cell>
          <cell r="P265">
            <v>15300000</v>
          </cell>
          <cell r="Q265">
            <v>61200000</v>
          </cell>
          <cell r="R265">
            <v>0</v>
          </cell>
          <cell r="S265">
            <v>0</v>
          </cell>
          <cell r="T265">
            <v>15300000</v>
          </cell>
          <cell r="U265">
            <v>61200000</v>
          </cell>
        </row>
        <row r="266">
          <cell r="A266" t="str">
            <v>BoQ_229</v>
          </cell>
          <cell r="B266">
            <v>229</v>
          </cell>
          <cell r="C266">
            <v>219</v>
          </cell>
          <cell r="D266" t="str">
            <v xml:space="preserve">Tempered glass 
Cửa kính cường lực </v>
          </cell>
          <cell r="E266" t="str">
            <v>10mm thk tempered glass partition, Kinlong accessories
Vách kính 10 mm, phụ kiện Kinlong.</v>
          </cell>
          <cell r="F266" t="str">
            <v>NHA_XUONG</v>
          </cell>
          <cell r="G266" t="str">
            <v>Cong_tac_cua_di_cua_so</v>
          </cell>
          <cell r="H266" t="str">
            <v>Cua_di</v>
          </cell>
          <cell r="I266" t="str">
            <v>Cửa đi</v>
          </cell>
          <cell r="J266" t="str">
            <v>Kính cường lực</v>
          </cell>
          <cell r="K266" t="str">
            <v>Thk 10mm</v>
          </cell>
          <cell r="L266" t="str">
            <v>m2</v>
          </cell>
          <cell r="M266">
            <v>12.9</v>
          </cell>
          <cell r="N266">
            <v>3500000</v>
          </cell>
          <cell r="O266">
            <v>450000</v>
          </cell>
          <cell r="P266">
            <v>3570000</v>
          </cell>
          <cell r="Q266">
            <v>46053000</v>
          </cell>
          <cell r="R266">
            <v>459000</v>
          </cell>
          <cell r="S266">
            <v>5921100</v>
          </cell>
          <cell r="T266">
            <v>4029000</v>
          </cell>
          <cell r="U266">
            <v>51974100</v>
          </cell>
        </row>
        <row r="267">
          <cell r="A267" t="str">
            <v>BoQ_230</v>
          </cell>
          <cell r="B267">
            <v>230</v>
          </cell>
          <cell r="C267">
            <v>220</v>
          </cell>
          <cell r="D267" t="str">
            <v>Accessories for main entrance door
 Phụ kiện cửa cường lực</v>
          </cell>
          <cell r="E267" t="str">
            <v>Kinlong or equivalent</v>
          </cell>
          <cell r="F267" t="str">
            <v>NHA_XUONG</v>
          </cell>
          <cell r="G267" t="str">
            <v>Cong_tac_cua_di_cua_so</v>
          </cell>
          <cell r="H267" t="str">
            <v>Cua_di</v>
          </cell>
          <cell r="I267" t="str">
            <v>Cửa đi</v>
          </cell>
          <cell r="J267" t="str">
            <v>Phụ kiện</v>
          </cell>
          <cell r="L267" t="str">
            <v>ea</v>
          </cell>
          <cell r="M267">
            <v>1</v>
          </cell>
          <cell r="N267">
            <v>1500000</v>
          </cell>
          <cell r="P267">
            <v>1530000</v>
          </cell>
          <cell r="Q267">
            <v>1530000</v>
          </cell>
          <cell r="R267">
            <v>0</v>
          </cell>
          <cell r="S267">
            <v>0</v>
          </cell>
          <cell r="T267">
            <v>1530000</v>
          </cell>
          <cell r="U267">
            <v>1530000</v>
          </cell>
        </row>
        <row r="268">
          <cell r="A268" t="str">
            <v>BoQ_231</v>
          </cell>
          <cell r="B268">
            <v>231</v>
          </cell>
          <cell r="C268">
            <v>221</v>
          </cell>
          <cell r="D268" t="str">
            <v>Door handle 
Tay nắm cửa cường lực</v>
          </cell>
          <cell r="E268" t="str">
            <v>Kinlong or equivalent</v>
          </cell>
          <cell r="F268" t="str">
            <v>NHA_XUONG</v>
          </cell>
          <cell r="G268" t="str">
            <v>Cong_tac_cua_di_cua_so</v>
          </cell>
          <cell r="H268" t="str">
            <v>Cua_di</v>
          </cell>
          <cell r="I268" t="str">
            <v>Cửa đi</v>
          </cell>
          <cell r="J268" t="str">
            <v>Phụ kiện</v>
          </cell>
          <cell r="K268" t="str">
            <v>Tay nắm</v>
          </cell>
          <cell r="L268" t="str">
            <v>ea</v>
          </cell>
          <cell r="M268">
            <v>1</v>
          </cell>
          <cell r="N268">
            <v>500000</v>
          </cell>
          <cell r="P268">
            <v>510000</v>
          </cell>
          <cell r="Q268">
            <v>510000</v>
          </cell>
          <cell r="R268">
            <v>0</v>
          </cell>
          <cell r="S268">
            <v>0</v>
          </cell>
          <cell r="T268">
            <v>510000</v>
          </cell>
          <cell r="U268">
            <v>510000</v>
          </cell>
        </row>
        <row r="269">
          <cell r="A269" t="str">
            <v>BoQ_232</v>
          </cell>
          <cell r="B269">
            <v>232</v>
          </cell>
          <cell r="C269">
            <v>222</v>
          </cell>
          <cell r="D269" t="str">
            <v>Lock
Khoá tay gạt</v>
          </cell>
          <cell r="E269" t="str">
            <v>Kinlong or equivalent</v>
          </cell>
          <cell r="F269" t="str">
            <v>NHA_XUONG</v>
          </cell>
          <cell r="G269" t="str">
            <v>Cong_tac_cua_di_cua_so</v>
          </cell>
          <cell r="H269" t="str">
            <v>Cua_di</v>
          </cell>
          <cell r="I269" t="str">
            <v>Cửa đi</v>
          </cell>
          <cell r="J269" t="str">
            <v>Phụ kiện</v>
          </cell>
          <cell r="K269" t="str">
            <v>Khóa gạt</v>
          </cell>
          <cell r="L269" t="str">
            <v>ea</v>
          </cell>
          <cell r="M269">
            <v>1</v>
          </cell>
          <cell r="N269">
            <v>500000</v>
          </cell>
          <cell r="P269">
            <v>510000</v>
          </cell>
          <cell r="Q269">
            <v>510000</v>
          </cell>
          <cell r="R269">
            <v>0</v>
          </cell>
          <cell r="S269">
            <v>0</v>
          </cell>
          <cell r="T269">
            <v>510000</v>
          </cell>
          <cell r="U269">
            <v>510000</v>
          </cell>
        </row>
        <row r="270">
          <cell r="A270" t="str">
            <v>BoQ_233</v>
          </cell>
          <cell r="B270">
            <v>233</v>
          </cell>
          <cell r="C270">
            <v>223</v>
          </cell>
          <cell r="D270" t="str">
            <v>Aluminium glass door (indoor) 
Cửa đi nhôm kính (trong nhà)</v>
          </cell>
          <cell r="E270" t="str">
            <v>Cửa hệ Xingfa cao cấp, kính an toàn 6,38mm, kính mờ.
High grade Xingfa ' 6,38mm thk safety glass, opaque color.</v>
          </cell>
          <cell r="F270" t="str">
            <v>NHA_XUONG</v>
          </cell>
          <cell r="G270" t="str">
            <v>Cong_tac_cua_di_cua_so</v>
          </cell>
          <cell r="H270" t="str">
            <v>Cua_di</v>
          </cell>
          <cell r="I270" t="str">
            <v>Cửa đi</v>
          </cell>
          <cell r="J270" t="str">
            <v>Xingfa</v>
          </cell>
          <cell r="K270" t="str">
            <v>6,38mm</v>
          </cell>
          <cell r="L270" t="str">
            <v>m2</v>
          </cell>
          <cell r="M270">
            <v>44</v>
          </cell>
          <cell r="N270">
            <v>1350000</v>
          </cell>
          <cell r="O270">
            <v>250000</v>
          </cell>
          <cell r="P270">
            <v>1377000</v>
          </cell>
          <cell r="Q270">
            <v>60588000</v>
          </cell>
          <cell r="R270">
            <v>255000</v>
          </cell>
          <cell r="S270">
            <v>11220000</v>
          </cell>
          <cell r="T270">
            <v>1632000</v>
          </cell>
          <cell r="U270">
            <v>71808000</v>
          </cell>
        </row>
        <row r="271">
          <cell r="A271" t="str">
            <v>BoQ_234</v>
          </cell>
          <cell r="B271">
            <v>234</v>
          </cell>
          <cell r="C271">
            <v>224</v>
          </cell>
          <cell r="D271" t="str">
            <v>Accessories for Aluminium glass door 
Phụ kiện cửa đi</v>
          </cell>
          <cell r="E271" t="str">
            <v>Kin long</v>
          </cell>
          <cell r="F271" t="str">
            <v>NHA_XUONG</v>
          </cell>
          <cell r="G271" t="str">
            <v>Cong_tac_cua_di_cua_so</v>
          </cell>
          <cell r="H271" t="str">
            <v>Cua_di</v>
          </cell>
          <cell r="I271" t="str">
            <v>Cửa đi</v>
          </cell>
          <cell r="J271" t="str">
            <v>Phụ kiện</v>
          </cell>
          <cell r="L271" t="str">
            <v>ea</v>
          </cell>
          <cell r="M271">
            <v>10</v>
          </cell>
          <cell r="N271">
            <v>500000</v>
          </cell>
          <cell r="P271">
            <v>510000</v>
          </cell>
          <cell r="Q271">
            <v>5100000</v>
          </cell>
          <cell r="R271">
            <v>0</v>
          </cell>
          <cell r="S271">
            <v>0</v>
          </cell>
          <cell r="T271">
            <v>510000</v>
          </cell>
          <cell r="U271">
            <v>5100000</v>
          </cell>
        </row>
        <row r="272">
          <cell r="A272" t="str">
            <v>BoQ_235</v>
          </cell>
          <cell r="B272">
            <v>235</v>
          </cell>
          <cell r="C272">
            <v>225</v>
          </cell>
          <cell r="D272" t="str">
            <v>Shutter door
Cửa cuốn thép</v>
          </cell>
          <cell r="F272" t="str">
            <v>NHA_XUONG</v>
          </cell>
          <cell r="G272" t="str">
            <v>Cong_tac_cua_di_cua_so</v>
          </cell>
          <cell r="H272" t="str">
            <v>Cua_cuon</v>
          </cell>
          <cell r="I272" t="str">
            <v>Cửa cuốn</v>
          </cell>
          <cell r="J272" t="str">
            <v>Thép</v>
          </cell>
          <cell r="L272" t="str">
            <v>m2</v>
          </cell>
          <cell r="M272">
            <v>38.799999999999997</v>
          </cell>
          <cell r="N272">
            <v>3400000</v>
          </cell>
          <cell r="O272">
            <v>250000</v>
          </cell>
          <cell r="P272">
            <v>3468000</v>
          </cell>
          <cell r="Q272">
            <v>134558400</v>
          </cell>
          <cell r="R272">
            <v>255000</v>
          </cell>
          <cell r="S272">
            <v>9894000</v>
          </cell>
          <cell r="T272">
            <v>3723000</v>
          </cell>
          <cell r="U272">
            <v>144452400</v>
          </cell>
        </row>
        <row r="273">
          <cell r="A273" t="str">
            <v>BoQ_236</v>
          </cell>
          <cell r="B273">
            <v>236</v>
          </cell>
          <cell r="C273">
            <v>226</v>
          </cell>
          <cell r="D273" t="str">
            <v>Electric motor for slide shutter door + UPS
 Mô tơ cửa cuốn + UPS</v>
          </cell>
          <cell r="F273" t="str">
            <v>NHA_XUONG</v>
          </cell>
          <cell r="G273" t="str">
            <v>Cong_tac_cua_di_cua_so</v>
          </cell>
          <cell r="H273" t="str">
            <v>Cua_cuon</v>
          </cell>
          <cell r="I273" t="str">
            <v>Cửa đi</v>
          </cell>
          <cell r="J273" t="str">
            <v>Phụ kiện</v>
          </cell>
          <cell r="K273" t="str">
            <v>Mô tơ</v>
          </cell>
          <cell r="L273" t="str">
            <v>ea</v>
          </cell>
          <cell r="M273">
            <v>3</v>
          </cell>
          <cell r="N273">
            <v>10000000</v>
          </cell>
          <cell r="P273">
            <v>10200000</v>
          </cell>
          <cell r="Q273">
            <v>30600000</v>
          </cell>
          <cell r="R273">
            <v>0</v>
          </cell>
          <cell r="S273">
            <v>0</v>
          </cell>
          <cell r="T273">
            <v>10200000</v>
          </cell>
          <cell r="U273">
            <v>30600000</v>
          </cell>
        </row>
        <row r="274">
          <cell r="A274" t="str">
            <v>BoQ_237</v>
          </cell>
          <cell r="B274">
            <v>237</v>
          </cell>
          <cell r="C274">
            <v>227</v>
          </cell>
          <cell r="D274" t="str">
            <v>Fire-resistant door 60 min 
Cửa chống cháy 60 phút</v>
          </cell>
          <cell r="E274" t="str">
            <v>Thanh Tien or equivalent</v>
          </cell>
          <cell r="F274" t="str">
            <v>NHA_XUONG</v>
          </cell>
          <cell r="G274" t="str">
            <v>Cong_tac_cua_di_cua_so</v>
          </cell>
          <cell r="H274" t="str">
            <v>Cua_di</v>
          </cell>
          <cell r="I274" t="str">
            <v>Cửa đi</v>
          </cell>
          <cell r="J274" t="str">
            <v>Chống cháy</v>
          </cell>
          <cell r="K274" t="str">
            <v>EI60</v>
          </cell>
          <cell r="L274" t="str">
            <v>m2</v>
          </cell>
          <cell r="M274">
            <v>34.56</v>
          </cell>
          <cell r="N274">
            <v>3560000</v>
          </cell>
          <cell r="P274">
            <v>3631200</v>
          </cell>
          <cell r="Q274">
            <v>125494272.00000001</v>
          </cell>
          <cell r="R274">
            <v>0</v>
          </cell>
          <cell r="S274">
            <v>0</v>
          </cell>
          <cell r="T274">
            <v>3631200</v>
          </cell>
          <cell r="U274">
            <v>125494272.00000001</v>
          </cell>
        </row>
        <row r="275">
          <cell r="A275" t="str">
            <v>BoQ_238</v>
          </cell>
          <cell r="B275">
            <v>238</v>
          </cell>
          <cell r="C275">
            <v>228</v>
          </cell>
          <cell r="D275" t="str">
            <v>Khoá tay gạt ngang / Kospi
Lock</v>
          </cell>
          <cell r="E275" t="str">
            <v>Kospi</v>
          </cell>
          <cell r="F275" t="str">
            <v>NHA_XUONG</v>
          </cell>
          <cell r="G275" t="str">
            <v>Cong_tac_cua_di_cua_so</v>
          </cell>
          <cell r="H275" t="str">
            <v>Cua_di</v>
          </cell>
          <cell r="I275" t="str">
            <v>Cửa đi</v>
          </cell>
          <cell r="J275" t="str">
            <v>Phụ kiện</v>
          </cell>
          <cell r="K275" t="str">
            <v>Khóa gạt</v>
          </cell>
          <cell r="L275" t="str">
            <v>ea</v>
          </cell>
          <cell r="M275">
            <v>8</v>
          </cell>
          <cell r="N275">
            <v>500000</v>
          </cell>
          <cell r="O275">
            <v>150000</v>
          </cell>
          <cell r="P275">
            <v>510000</v>
          </cell>
          <cell r="Q275">
            <v>4080000</v>
          </cell>
          <cell r="R275">
            <v>153000</v>
          </cell>
          <cell r="S275">
            <v>1224000</v>
          </cell>
          <cell r="T275">
            <v>663000</v>
          </cell>
          <cell r="U275">
            <v>5304000</v>
          </cell>
        </row>
        <row r="276">
          <cell r="A276" t="str">
            <v>BoQ_239</v>
          </cell>
          <cell r="B276">
            <v>239</v>
          </cell>
          <cell r="C276">
            <v>229</v>
          </cell>
          <cell r="D276" t="str">
            <v>Tay co thuỷ lực 
Door closer</v>
          </cell>
          <cell r="E276" t="str">
            <v>Kinlong or equivalent</v>
          </cell>
          <cell r="F276" t="str">
            <v>NHA_XUONG</v>
          </cell>
          <cell r="G276" t="str">
            <v>Cong_tac_cua_di_cua_so</v>
          </cell>
          <cell r="H276" t="str">
            <v>Cua_di</v>
          </cell>
          <cell r="I276" t="str">
            <v>Cửa đi</v>
          </cell>
          <cell r="J276" t="str">
            <v>Phụ kiện</v>
          </cell>
          <cell r="K276" t="str">
            <v>Tay co thủy lực</v>
          </cell>
          <cell r="L276" t="str">
            <v>ea</v>
          </cell>
          <cell r="M276">
            <v>16</v>
          </cell>
          <cell r="N276">
            <v>500000</v>
          </cell>
          <cell r="O276">
            <v>150000</v>
          </cell>
          <cell r="P276">
            <v>510000</v>
          </cell>
          <cell r="Q276">
            <v>8160000</v>
          </cell>
          <cell r="R276">
            <v>153000</v>
          </cell>
          <cell r="S276">
            <v>2448000</v>
          </cell>
          <cell r="T276">
            <v>663000</v>
          </cell>
          <cell r="U276">
            <v>10608000</v>
          </cell>
        </row>
        <row r="277">
          <cell r="A277" t="str">
            <v>BoQ_240</v>
          </cell>
          <cell r="B277">
            <v>240</v>
          </cell>
          <cell r="C277">
            <v>230</v>
          </cell>
          <cell r="D277" t="str">
            <v>Doorsil Inox
Bậu cửa inox</v>
          </cell>
          <cell r="E277" t="str">
            <v>Inox 304</v>
          </cell>
          <cell r="F277" t="str">
            <v>NHA_XUONG</v>
          </cell>
          <cell r="G277" t="str">
            <v>Cong_tac_cua_di_cua_so</v>
          </cell>
          <cell r="H277" t="str">
            <v>Cua_di</v>
          </cell>
          <cell r="I277" t="str">
            <v>Cửa đi</v>
          </cell>
          <cell r="J277" t="str">
            <v>Phụ kiện</v>
          </cell>
          <cell r="K277" t="str">
            <v>Sill cửa</v>
          </cell>
          <cell r="L277" t="str">
            <v>m</v>
          </cell>
          <cell r="M277">
            <v>14.4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</row>
        <row r="278">
          <cell r="A278" t="str">
            <v>BoQ_241</v>
          </cell>
          <cell r="B278">
            <v>241</v>
          </cell>
          <cell r="C278">
            <v>231</v>
          </cell>
          <cell r="D278" t="str">
            <v>Đổ vữa khung bao
Fill door frame by mortar</v>
          </cell>
          <cell r="F278" t="str">
            <v>NHA_XUONG</v>
          </cell>
          <cell r="G278" t="str">
            <v>Cong_tac_cua_di_cua_so</v>
          </cell>
          <cell r="H278" t="str">
            <v>Cua_di</v>
          </cell>
          <cell r="I278" t="str">
            <v>Cửa đi</v>
          </cell>
          <cell r="J278" t="str">
            <v>Phụ kiện</v>
          </cell>
          <cell r="K278" t="str">
            <v>Vữa</v>
          </cell>
          <cell r="L278" t="str">
            <v>m</v>
          </cell>
          <cell r="M278">
            <v>46.199999999999996</v>
          </cell>
          <cell r="O278">
            <v>350000</v>
          </cell>
          <cell r="P278">
            <v>0</v>
          </cell>
          <cell r="Q278">
            <v>0</v>
          </cell>
          <cell r="R278">
            <v>357000</v>
          </cell>
          <cell r="S278">
            <v>16493399.999999998</v>
          </cell>
          <cell r="T278">
            <v>357000</v>
          </cell>
          <cell r="U278">
            <v>16493399.999999998</v>
          </cell>
        </row>
        <row r="279">
          <cell r="A279" t="str">
            <v>BoQ_242</v>
          </cell>
          <cell r="B279">
            <v>242</v>
          </cell>
          <cell r="C279">
            <v>232</v>
          </cell>
          <cell r="D279" t="str">
            <v>Chi phí lắp đặt, vật tư phụ
Sub material and installation</v>
          </cell>
          <cell r="F279" t="str">
            <v>NHA_XUONG</v>
          </cell>
          <cell r="G279" t="str">
            <v>Cong_tac_cua_di_cua_so</v>
          </cell>
          <cell r="H279" t="str">
            <v>Cua_di</v>
          </cell>
          <cell r="I279" t="str">
            <v>Cửa đi</v>
          </cell>
          <cell r="J279" t="str">
            <v>Lắp đặt</v>
          </cell>
          <cell r="K279" t="str">
            <v>Vữa</v>
          </cell>
          <cell r="L279" t="str">
            <v>m2</v>
          </cell>
          <cell r="M279">
            <v>34.56</v>
          </cell>
          <cell r="N279">
            <v>15000000</v>
          </cell>
          <cell r="P279">
            <v>15300000</v>
          </cell>
          <cell r="Q279">
            <v>528768000.00000006</v>
          </cell>
          <cell r="R279">
            <v>0</v>
          </cell>
          <cell r="S279">
            <v>0</v>
          </cell>
          <cell r="T279">
            <v>15300000</v>
          </cell>
          <cell r="U279">
            <v>528768000.00000006</v>
          </cell>
        </row>
        <row r="280">
          <cell r="A280" t="str">
            <v>BoQ_243</v>
          </cell>
          <cell r="B280">
            <v>243</v>
          </cell>
          <cell r="C280">
            <v>233</v>
          </cell>
          <cell r="D280" t="str">
            <v>Chi phí kiểm định cửa chống cháy
Testing and inspection fee for fire-resistant steel door</v>
          </cell>
          <cell r="F280" t="str">
            <v>NHA_XUONG</v>
          </cell>
          <cell r="G280" t="str">
            <v>Cong_tac_cua_di_cua_so</v>
          </cell>
          <cell r="H280" t="str">
            <v>Kiem_dinh</v>
          </cell>
          <cell r="I280" t="str">
            <v>Cửa đi</v>
          </cell>
          <cell r="L280" t="str">
            <v>lot</v>
          </cell>
          <cell r="M280">
            <v>1</v>
          </cell>
          <cell r="N280">
            <v>500000</v>
          </cell>
          <cell r="P280">
            <v>510000</v>
          </cell>
          <cell r="Q280">
            <v>510000</v>
          </cell>
          <cell r="R280">
            <v>0</v>
          </cell>
          <cell r="S280">
            <v>0</v>
          </cell>
          <cell r="T280">
            <v>510000</v>
          </cell>
          <cell r="U280">
            <v>510000</v>
          </cell>
        </row>
        <row r="281">
          <cell r="A281" t="str">
            <v>BoQ_244</v>
          </cell>
          <cell r="B281">
            <v>244</v>
          </cell>
          <cell r="C281">
            <v>234</v>
          </cell>
          <cell r="D281" t="str">
            <v>Cửa thép nan thoáng kho gas
Slatted steel door for gas storage</v>
          </cell>
          <cell r="F281" t="str">
            <v>NHA_XUONG</v>
          </cell>
          <cell r="G281" t="str">
            <v>Cong_tac_cua_di_cua_so</v>
          </cell>
          <cell r="H281" t="str">
            <v>Cua_di</v>
          </cell>
          <cell r="I281" t="str">
            <v>Cửa đi</v>
          </cell>
          <cell r="J281" t="str">
            <v>Thép</v>
          </cell>
          <cell r="K281" t="str">
            <v>Chớp</v>
          </cell>
          <cell r="L281" t="str">
            <v>m2</v>
          </cell>
          <cell r="M281">
            <v>0</v>
          </cell>
          <cell r="N281">
            <v>2500000</v>
          </cell>
          <cell r="O281">
            <v>250000</v>
          </cell>
          <cell r="P281">
            <v>2550000</v>
          </cell>
          <cell r="Q281">
            <v>0</v>
          </cell>
          <cell r="R281">
            <v>255000</v>
          </cell>
          <cell r="S281">
            <v>0</v>
          </cell>
          <cell r="T281">
            <v>2805000</v>
          </cell>
          <cell r="U281">
            <v>0</v>
          </cell>
        </row>
        <row r="282">
          <cell r="A282" t="str">
            <v>BoQ_245</v>
          </cell>
          <cell r="B282">
            <v>245</v>
          </cell>
          <cell r="C282">
            <v>235</v>
          </cell>
          <cell r="D282" t="str">
            <v>Phụ kiện cửa nan thoáng
Accessories</v>
          </cell>
          <cell r="F282" t="str">
            <v>NHA_XUONG</v>
          </cell>
          <cell r="G282" t="str">
            <v>Cong_tac_cua_di_cua_so</v>
          </cell>
          <cell r="H282" t="str">
            <v>Cua_di</v>
          </cell>
          <cell r="I282" t="str">
            <v>Cửa đi</v>
          </cell>
          <cell r="J282" t="str">
            <v>Phụ kiện</v>
          </cell>
          <cell r="L282" t="str">
            <v>ea</v>
          </cell>
          <cell r="M282">
            <v>0</v>
          </cell>
          <cell r="N282">
            <v>500000</v>
          </cell>
          <cell r="P282">
            <v>510000</v>
          </cell>
          <cell r="Q282">
            <v>0</v>
          </cell>
          <cell r="R282">
            <v>0</v>
          </cell>
          <cell r="S282">
            <v>0</v>
          </cell>
          <cell r="T282">
            <v>510000</v>
          </cell>
          <cell r="U282">
            <v>0</v>
          </cell>
        </row>
        <row r="283">
          <cell r="A283" t="str">
            <v>BoQ_246</v>
          </cell>
          <cell r="B283">
            <v>246</v>
          </cell>
          <cell r="C283">
            <v>236</v>
          </cell>
          <cell r="D283" t="str">
            <v>Cửa panel trượt ngang
Slatted steel door for gas storage</v>
          </cell>
          <cell r="F283" t="str">
            <v>NHA_XUONG</v>
          </cell>
          <cell r="G283" t="str">
            <v>Cong_tac_cua_di_cua_so</v>
          </cell>
          <cell r="H283" t="str">
            <v>Cua_panel</v>
          </cell>
          <cell r="I283" t="str">
            <v>Cửa đi</v>
          </cell>
          <cell r="J283" t="str">
            <v>Panel</v>
          </cell>
          <cell r="L283" t="str">
            <v>m2</v>
          </cell>
          <cell r="M283">
            <v>0</v>
          </cell>
          <cell r="N283">
            <v>4000000</v>
          </cell>
          <cell r="O283">
            <v>450000</v>
          </cell>
          <cell r="P283">
            <v>4080000</v>
          </cell>
          <cell r="Q283">
            <v>0</v>
          </cell>
          <cell r="R283">
            <v>459000</v>
          </cell>
          <cell r="S283">
            <v>0</v>
          </cell>
          <cell r="T283">
            <v>4539000</v>
          </cell>
          <cell r="U283">
            <v>0</v>
          </cell>
        </row>
        <row r="284">
          <cell r="A284" t="str">
            <v>BoQ_247</v>
          </cell>
          <cell r="B284">
            <v>247</v>
          </cell>
          <cell r="C284">
            <v>237</v>
          </cell>
          <cell r="D284" t="str">
            <v>Phụ kiện cửa 
Accessories</v>
          </cell>
          <cell r="F284" t="str">
            <v>NHA_XUONG</v>
          </cell>
          <cell r="G284" t="str">
            <v>Cong_tac_cua_di_cua_so</v>
          </cell>
          <cell r="H284" t="str">
            <v>Cua_panel</v>
          </cell>
          <cell r="I284" t="str">
            <v>Phụ kiện</v>
          </cell>
          <cell r="L284" t="str">
            <v>ea</v>
          </cell>
          <cell r="M284">
            <v>0</v>
          </cell>
          <cell r="N284">
            <v>500000</v>
          </cell>
          <cell r="P284">
            <v>510000</v>
          </cell>
          <cell r="Q284">
            <v>0</v>
          </cell>
          <cell r="R284">
            <v>0</v>
          </cell>
          <cell r="S284">
            <v>0</v>
          </cell>
          <cell r="T284">
            <v>510000</v>
          </cell>
          <cell r="U284">
            <v>0</v>
          </cell>
        </row>
        <row r="285">
          <cell r="A285" t="str">
            <v>BoQ_248</v>
          </cell>
          <cell r="B285">
            <v>248</v>
          </cell>
          <cell r="C285">
            <v>238</v>
          </cell>
          <cell r="D285" t="str">
            <v>Vận chuyển
Transportation fee</v>
          </cell>
          <cell r="F285" t="str">
            <v>NHA_XUONG</v>
          </cell>
          <cell r="G285" t="str">
            <v>Cong_tac_cua_di_cua_so</v>
          </cell>
          <cell r="H285" t="str">
            <v>Cua_panel</v>
          </cell>
          <cell r="I285" t="str">
            <v>Vận chuyển</v>
          </cell>
          <cell r="L285" t="str">
            <v>lot</v>
          </cell>
          <cell r="M285">
            <v>1</v>
          </cell>
          <cell r="O285">
            <v>5500000</v>
          </cell>
          <cell r="P285">
            <v>0</v>
          </cell>
          <cell r="Q285">
            <v>0</v>
          </cell>
          <cell r="R285">
            <v>5610000</v>
          </cell>
          <cell r="S285">
            <v>5610000</v>
          </cell>
          <cell r="T285">
            <v>5610000</v>
          </cell>
          <cell r="U285">
            <v>5610000</v>
          </cell>
        </row>
        <row r="286">
          <cell r="C286">
            <v>239</v>
          </cell>
          <cell r="D286" t="str">
            <v>ALUMINIUM MÁI CANOPY 
ALUMINUM CANOPY ROOF</v>
          </cell>
        </row>
        <row r="287">
          <cell r="A287" t="str">
            <v>BoQ_249</v>
          </cell>
          <cell r="B287">
            <v>249</v>
          </cell>
          <cell r="C287">
            <v>240</v>
          </cell>
          <cell r="D287" t="str">
            <v>Móng bê tông cốt thép 
Reinforced concrete foundation</v>
          </cell>
          <cell r="F287" t="str">
            <v>MAI_CANOPY</v>
          </cell>
          <cell r="G287" t="str">
            <v>Cong_tac_be_tong</v>
          </cell>
          <cell r="H287" t="str">
            <v>Be_tong</v>
          </cell>
          <cell r="L287" t="str">
            <v>cái</v>
          </cell>
          <cell r="M287">
            <v>4</v>
          </cell>
          <cell r="N287">
            <v>4500000</v>
          </cell>
          <cell r="P287">
            <v>4590000</v>
          </cell>
          <cell r="Q287">
            <v>18360000</v>
          </cell>
          <cell r="R287">
            <v>0</v>
          </cell>
          <cell r="S287">
            <v>0</v>
          </cell>
          <cell r="T287">
            <v>4590000</v>
          </cell>
          <cell r="U287">
            <v>18360000</v>
          </cell>
        </row>
        <row r="288">
          <cell r="A288" t="str">
            <v>BoQ_250</v>
          </cell>
          <cell r="B288">
            <v>250</v>
          </cell>
          <cell r="C288">
            <v>241</v>
          </cell>
          <cell r="D288" t="str">
            <v>Aluminum canopy roof
Ốp tấm alu cho mái canopy, viền nhấn mặt tiền</v>
          </cell>
          <cell r="E288" t="str">
            <v>5mm thk, Alcorest or equivalent</v>
          </cell>
          <cell r="F288" t="str">
            <v>MAI_CANOPY</v>
          </cell>
          <cell r="G288" t="str">
            <v>Cong_tac_khac</v>
          </cell>
          <cell r="H288" t="str">
            <v>Op_alu</v>
          </cell>
          <cell r="L288" t="str">
            <v>m2</v>
          </cell>
          <cell r="M288">
            <v>683.096</v>
          </cell>
          <cell r="N288">
            <v>750000</v>
          </cell>
          <cell r="O288">
            <v>150000</v>
          </cell>
          <cell r="P288">
            <v>765000</v>
          </cell>
          <cell r="Q288">
            <v>522568440</v>
          </cell>
          <cell r="R288">
            <v>153000</v>
          </cell>
          <cell r="S288">
            <v>104513688</v>
          </cell>
          <cell r="T288">
            <v>918000</v>
          </cell>
          <cell r="U288">
            <v>627082128</v>
          </cell>
        </row>
        <row r="289">
          <cell r="A289" t="str">
            <v>BoQ_251</v>
          </cell>
          <cell r="B289">
            <v>251</v>
          </cell>
          <cell r="C289">
            <v>242</v>
          </cell>
          <cell r="D289" t="str">
            <v>Mái tôn canopy</v>
          </cell>
          <cell r="F289" t="str">
            <v>MAI_CANOPY</v>
          </cell>
          <cell r="G289" t="str">
            <v>Cong_tac_mai</v>
          </cell>
          <cell r="H289" t="str">
            <v>Lop_mai</v>
          </cell>
          <cell r="L289" t="str">
            <v>m2</v>
          </cell>
          <cell r="M289">
            <v>232.2</v>
          </cell>
          <cell r="N289">
            <v>145000</v>
          </cell>
          <cell r="O289">
            <v>65000</v>
          </cell>
          <cell r="P289">
            <v>147900</v>
          </cell>
          <cell r="Q289">
            <v>34342380</v>
          </cell>
          <cell r="R289">
            <v>66300</v>
          </cell>
          <cell r="S289">
            <v>15394860</v>
          </cell>
          <cell r="T289">
            <v>214200</v>
          </cell>
          <cell r="U289">
            <v>49737240</v>
          </cell>
        </row>
        <row r="290">
          <cell r="A290" t="str">
            <v>BoQ_252</v>
          </cell>
          <cell r="B290">
            <v>252</v>
          </cell>
          <cell r="C290">
            <v>243</v>
          </cell>
          <cell r="D290" t="str">
            <v>Hệ khung thép gia cố
Steel frame</v>
          </cell>
          <cell r="F290" t="str">
            <v>MAI_CANOPY</v>
          </cell>
          <cell r="G290" t="str">
            <v>Cong_tac_ket_cau_thep</v>
          </cell>
          <cell r="H290" t="str">
            <v>Khung_thep_hop</v>
          </cell>
          <cell r="L290" t="str">
            <v>kg</v>
          </cell>
          <cell r="M290">
            <v>4781.6720000000005</v>
          </cell>
          <cell r="N290">
            <v>20500</v>
          </cell>
          <cell r="O290">
            <v>2400</v>
          </cell>
          <cell r="P290">
            <v>20910</v>
          </cell>
          <cell r="Q290">
            <v>99984761.520000011</v>
          </cell>
          <cell r="R290">
            <v>2448</v>
          </cell>
          <cell r="S290">
            <v>11705533.056000002</v>
          </cell>
          <cell r="T290">
            <v>23358</v>
          </cell>
          <cell r="U290">
            <v>111690294.57600001</v>
          </cell>
        </row>
        <row r="291">
          <cell r="A291" t="str">
            <v>BoQ_253</v>
          </cell>
          <cell r="B291">
            <v>253</v>
          </cell>
          <cell r="C291">
            <v>244</v>
          </cell>
          <cell r="D291" t="str">
            <v>Canopy structural steel
Thép hình kết cấu canopy</v>
          </cell>
          <cell r="F291" t="str">
            <v>MAI_CANOPY</v>
          </cell>
          <cell r="G291" t="str">
            <v>Cong_tac_ket_cau_thep</v>
          </cell>
          <cell r="H291" t="str">
            <v>Ket_cau_thep</v>
          </cell>
          <cell r="L291" t="str">
            <v>kg</v>
          </cell>
          <cell r="M291">
            <v>5805</v>
          </cell>
          <cell r="N291">
            <v>20500</v>
          </cell>
          <cell r="O291">
            <v>2400</v>
          </cell>
          <cell r="P291">
            <v>20910</v>
          </cell>
          <cell r="Q291">
            <v>121382550</v>
          </cell>
          <cell r="R291">
            <v>2448</v>
          </cell>
          <cell r="S291">
            <v>14210640</v>
          </cell>
          <cell r="T291">
            <v>23358</v>
          </cell>
          <cell r="U291">
            <v>135593190</v>
          </cell>
        </row>
        <row r="292">
          <cell r="A292" t="str">
            <v>BoQ_254</v>
          </cell>
          <cell r="B292">
            <v>254</v>
          </cell>
          <cell r="C292">
            <v>245</v>
          </cell>
          <cell r="D292" t="str">
            <v>Forklifts, scaffolding
Xe nâng, giàn giáo</v>
          </cell>
          <cell r="F292" t="str">
            <v>MAI_CANOPY</v>
          </cell>
          <cell r="G292" t="str">
            <v>Cong_tac_mai</v>
          </cell>
          <cell r="H292" t="str">
            <v>Nang_ha</v>
          </cell>
          <cell r="L292" t="str">
            <v>m2</v>
          </cell>
          <cell r="M292">
            <v>683.096</v>
          </cell>
          <cell r="N292">
            <v>80000</v>
          </cell>
          <cell r="P292">
            <v>81600</v>
          </cell>
          <cell r="Q292">
            <v>55740633.600000001</v>
          </cell>
          <cell r="R292">
            <v>0</v>
          </cell>
          <cell r="S292">
            <v>0</v>
          </cell>
          <cell r="T292">
            <v>81600</v>
          </cell>
          <cell r="U292">
            <v>55740633.600000001</v>
          </cell>
        </row>
        <row r="293">
          <cell r="A293" t="str">
            <v>BoQ_255</v>
          </cell>
          <cell r="B293">
            <v>255</v>
          </cell>
          <cell r="C293">
            <v>246</v>
          </cell>
          <cell r="D293" t="str">
            <v>Transportation
Vận chuyển</v>
          </cell>
          <cell r="F293" t="str">
            <v>MAI_CANOPY</v>
          </cell>
          <cell r="G293" t="str">
            <v>Cong_tac_mai</v>
          </cell>
          <cell r="H293" t="str">
            <v>Van_chuyen</v>
          </cell>
          <cell r="L293" t="str">
            <v>lot</v>
          </cell>
          <cell r="M293">
            <v>1</v>
          </cell>
          <cell r="N293">
            <v>2500000</v>
          </cell>
          <cell r="P293">
            <v>2550000</v>
          </cell>
          <cell r="Q293">
            <v>2550000</v>
          </cell>
          <cell r="R293">
            <v>0</v>
          </cell>
          <cell r="S293">
            <v>0</v>
          </cell>
          <cell r="T293">
            <v>2550000</v>
          </cell>
          <cell r="U293">
            <v>2550000</v>
          </cell>
        </row>
        <row r="294">
          <cell r="A294" t="str">
            <v>BoQ_256</v>
          </cell>
          <cell r="B294">
            <v>256</v>
          </cell>
          <cell r="C294">
            <v>247</v>
          </cell>
          <cell r="D294" t="str">
            <v>Máng nước
Gutter</v>
          </cell>
          <cell r="F294" t="str">
            <v>MAI_CANOPY</v>
          </cell>
          <cell r="G294" t="str">
            <v>Cong_tac_mai</v>
          </cell>
          <cell r="H294" t="str">
            <v>Mang_nuoc</v>
          </cell>
          <cell r="L294" t="str">
            <v>m</v>
          </cell>
          <cell r="M294">
            <v>40</v>
          </cell>
          <cell r="N294">
            <v>185000</v>
          </cell>
          <cell r="O294">
            <v>50000</v>
          </cell>
          <cell r="P294">
            <v>188700</v>
          </cell>
          <cell r="Q294">
            <v>7548000</v>
          </cell>
          <cell r="R294">
            <v>51000</v>
          </cell>
          <cell r="S294">
            <v>2040000</v>
          </cell>
          <cell r="T294">
            <v>239700</v>
          </cell>
          <cell r="U294">
            <v>9588000</v>
          </cell>
        </row>
        <row r="295">
          <cell r="A295" t="str">
            <v>BoQ_257</v>
          </cell>
          <cell r="B295">
            <v>257</v>
          </cell>
          <cell r="C295">
            <v>248</v>
          </cell>
          <cell r="D295" t="str">
            <v>UPVC Down Spout, D90
Ống thoát nước UPVC</v>
          </cell>
          <cell r="F295" t="str">
            <v>MAI_CANOPY</v>
          </cell>
          <cell r="G295" t="str">
            <v>Cong_tac_mai</v>
          </cell>
          <cell r="H295" t="str">
            <v>Ong_thoat_nuoc</v>
          </cell>
          <cell r="L295" t="str">
            <v>m</v>
          </cell>
          <cell r="M295">
            <v>80</v>
          </cell>
          <cell r="N295">
            <v>95000</v>
          </cell>
          <cell r="O295">
            <v>55000</v>
          </cell>
          <cell r="P295">
            <v>96900</v>
          </cell>
          <cell r="Q295">
            <v>7752000</v>
          </cell>
          <cell r="R295">
            <v>56100</v>
          </cell>
          <cell r="S295">
            <v>4488000</v>
          </cell>
          <cell r="T295">
            <v>153000</v>
          </cell>
          <cell r="U295">
            <v>12240000</v>
          </cell>
        </row>
        <row r="296">
          <cell r="A296" t="str">
            <v>BoQ_258</v>
          </cell>
          <cell r="B296">
            <v>258</v>
          </cell>
          <cell r="C296">
            <v>249</v>
          </cell>
          <cell r="D296" t="str">
            <v xml:space="preserve">Quả cầu chắn rác inox
SUS304 Rubbish dome grating </v>
          </cell>
          <cell r="F296" t="str">
            <v>MAI_CANOPY</v>
          </cell>
          <cell r="G296" t="str">
            <v>Cong_tac_mai</v>
          </cell>
          <cell r="H296" t="str">
            <v>Cau_chan_rac</v>
          </cell>
          <cell r="L296" t="str">
            <v>ea</v>
          </cell>
          <cell r="M296">
            <v>8</v>
          </cell>
          <cell r="N296">
            <v>105000</v>
          </cell>
          <cell r="O296">
            <v>15000</v>
          </cell>
          <cell r="P296">
            <v>107100</v>
          </cell>
          <cell r="Q296">
            <v>856800</v>
          </cell>
          <cell r="R296">
            <v>15300</v>
          </cell>
          <cell r="S296">
            <v>122400</v>
          </cell>
          <cell r="T296">
            <v>122400</v>
          </cell>
          <cell r="U296">
            <v>979200</v>
          </cell>
        </row>
        <row r="297">
          <cell r="A297" t="str">
            <v>BoQ_259</v>
          </cell>
          <cell r="B297">
            <v>259</v>
          </cell>
          <cell r="C297">
            <v>250</v>
          </cell>
          <cell r="D297" t="str">
            <v>Logo, 3 bộ (chữ: Vinatech Vina, Communication, Philathropy, Passion).</v>
          </cell>
          <cell r="F297" t="str">
            <v>MAI_CANOPY</v>
          </cell>
          <cell r="G297" t="str">
            <v>Cong_tac_khac</v>
          </cell>
          <cell r="H297" t="str">
            <v>Co_khi</v>
          </cell>
          <cell r="L297" t="str">
            <v>ea</v>
          </cell>
          <cell r="M297">
            <v>2</v>
          </cell>
          <cell r="N297">
            <v>15000000</v>
          </cell>
          <cell r="O297">
            <v>2500000</v>
          </cell>
          <cell r="P297">
            <v>15300000</v>
          </cell>
          <cell r="Q297">
            <v>30600000</v>
          </cell>
          <cell r="R297">
            <v>2550000</v>
          </cell>
          <cell r="S297">
            <v>5100000</v>
          </cell>
          <cell r="T297">
            <v>17850000</v>
          </cell>
          <cell r="U297">
            <v>35700000</v>
          </cell>
        </row>
        <row r="298">
          <cell r="A298" t="str">
            <v>BoQ_260</v>
          </cell>
          <cell r="B298">
            <v>260</v>
          </cell>
          <cell r="C298">
            <v>251</v>
          </cell>
          <cell r="D298" t="str">
            <v>Logo, 1 bộ (chữ: Vinatech Vina)</v>
          </cell>
          <cell r="F298" t="str">
            <v>MAI_CANOPY</v>
          </cell>
          <cell r="G298" t="str">
            <v>Cong_tac_khac</v>
          </cell>
          <cell r="H298" t="str">
            <v>Co_khi</v>
          </cell>
          <cell r="L298" t="str">
            <v>ea</v>
          </cell>
          <cell r="M298">
            <v>2</v>
          </cell>
          <cell r="N298">
            <v>15000000</v>
          </cell>
          <cell r="O298">
            <v>2500000</v>
          </cell>
          <cell r="P298">
            <v>15300000</v>
          </cell>
          <cell r="Q298">
            <v>30600000</v>
          </cell>
          <cell r="R298">
            <v>2550000</v>
          </cell>
          <cell r="S298">
            <v>5100000</v>
          </cell>
          <cell r="T298">
            <v>17850000</v>
          </cell>
          <cell r="U298">
            <v>35700000</v>
          </cell>
        </row>
        <row r="299">
          <cell r="C299">
            <v>252</v>
          </cell>
          <cell r="D299" t="str">
            <v>THANG HÀNG 0,5 TẤN
0,5 TON FEIGHT ELEVATOR:</v>
          </cell>
        </row>
        <row r="300">
          <cell r="A300" t="str">
            <v>BoQ_261</v>
          </cell>
          <cell r="B300">
            <v>261</v>
          </cell>
          <cell r="C300">
            <v>253</v>
          </cell>
          <cell r="D300" t="str">
            <v>Thang hàng 500kg
500kg freight elevator</v>
          </cell>
          <cell r="E300" t="str">
            <v>không bao gồm</v>
          </cell>
          <cell r="F300" t="str">
            <v>THANG_HANG</v>
          </cell>
          <cell r="G300" t="str">
            <v>Cong_tac_thiet_bi</v>
          </cell>
          <cell r="H300" t="str">
            <v>Thang_hang</v>
          </cell>
          <cell r="K300" t="str">
            <v>500KG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</row>
        <row r="301">
          <cell r="C301">
            <v>2</v>
          </cell>
          <cell r="D301" t="str">
            <v>KHO HÚT ẨM</v>
          </cell>
        </row>
        <row r="302">
          <cell r="C302">
            <v>1</v>
          </cell>
          <cell r="D302" t="str">
            <v>CÔNG TÁC CỌC/PILE WORK</v>
          </cell>
        </row>
        <row r="303">
          <cell r="A303" t="str">
            <v>BoQ_262</v>
          </cell>
          <cell r="B303">
            <v>262</v>
          </cell>
          <cell r="C303">
            <v>1</v>
          </cell>
          <cell r="D303" t="str">
            <v>Vận chuyển máy ép cọc về công trình
Mobilization &amp; demobilization of robot equipment</v>
          </cell>
          <cell r="E303" t="str">
            <v>By trainer and crane</v>
          </cell>
          <cell r="F303" t="str">
            <v>KHO_HUT_AM</v>
          </cell>
          <cell r="G303" t="str">
            <v>Cong_tac_coc</v>
          </cell>
          <cell r="H303" t="str">
            <v>May_ep_coc</v>
          </cell>
          <cell r="L303" t="str">
            <v>PCS</v>
          </cell>
          <cell r="O303">
            <v>20000000</v>
          </cell>
          <cell r="P303">
            <v>0</v>
          </cell>
          <cell r="Q303">
            <v>0</v>
          </cell>
          <cell r="R303">
            <v>20400000</v>
          </cell>
          <cell r="S303">
            <v>0</v>
          </cell>
          <cell r="T303">
            <v>20400000</v>
          </cell>
          <cell r="U303">
            <v>0</v>
          </cell>
        </row>
        <row r="304">
          <cell r="A304" t="str">
            <v>BoQ_263</v>
          </cell>
          <cell r="B304">
            <v>263</v>
          </cell>
          <cell r="C304">
            <v>254</v>
          </cell>
          <cell r="D304" t="str">
            <v>Cọc 200x200mm
Concrete spun pile 200x200</v>
          </cell>
          <cell r="E304" t="str">
            <v>L=20 m/ea</v>
          </cell>
          <cell r="F304" t="str">
            <v>KHO_HUT_AM</v>
          </cell>
          <cell r="G304" t="str">
            <v>Cong_tac_coc</v>
          </cell>
          <cell r="H304" t="str">
            <v>Ep_coc</v>
          </cell>
          <cell r="L304" t="str">
            <v>m</v>
          </cell>
          <cell r="N304">
            <v>140000</v>
          </cell>
          <cell r="O304">
            <v>45000</v>
          </cell>
          <cell r="P304">
            <v>142800</v>
          </cell>
          <cell r="Q304">
            <v>0</v>
          </cell>
          <cell r="R304">
            <v>45900</v>
          </cell>
          <cell r="S304">
            <v>0</v>
          </cell>
          <cell r="T304">
            <v>188700</v>
          </cell>
          <cell r="U304">
            <v>0</v>
          </cell>
        </row>
        <row r="305">
          <cell r="A305" t="str">
            <v>BoQ_264</v>
          </cell>
          <cell r="B305">
            <v>264</v>
          </cell>
          <cell r="C305">
            <v>255</v>
          </cell>
          <cell r="D305" t="str">
            <v>Định vị tim cọc
Pile positioning</v>
          </cell>
          <cell r="F305" t="str">
            <v>KHO_HUT_AM</v>
          </cell>
          <cell r="G305" t="str">
            <v>Cong_tac_coc</v>
          </cell>
          <cell r="H305" t="str">
            <v>Trac_dac</v>
          </cell>
          <cell r="L305" t="str">
            <v>ea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</row>
        <row r="306">
          <cell r="A306" t="str">
            <v>BoQ_265</v>
          </cell>
          <cell r="B306">
            <v>265</v>
          </cell>
          <cell r="C306">
            <v>256</v>
          </cell>
          <cell r="D306" t="str">
            <v>Đập đầu cọc
Breakdown the top of pile</v>
          </cell>
          <cell r="F306" t="str">
            <v>KHO_HUT_AM</v>
          </cell>
          <cell r="G306" t="str">
            <v>Cong_tac_coc</v>
          </cell>
          <cell r="H306" t="str">
            <v>Dap_dau_coc</v>
          </cell>
          <cell r="L306" t="str">
            <v>ea</v>
          </cell>
          <cell r="N306">
            <v>60000</v>
          </cell>
          <cell r="P306">
            <v>61200</v>
          </cell>
          <cell r="Q306">
            <v>0</v>
          </cell>
          <cell r="R306">
            <v>0</v>
          </cell>
          <cell r="S306">
            <v>0</v>
          </cell>
          <cell r="T306">
            <v>61200</v>
          </cell>
          <cell r="U306">
            <v>0</v>
          </cell>
        </row>
        <row r="307">
          <cell r="A307" t="str">
            <v>BoQ_266</v>
          </cell>
          <cell r="B307">
            <v>266</v>
          </cell>
          <cell r="C307">
            <v>257</v>
          </cell>
          <cell r="D307" t="str">
            <v>Vận chuyển cọc về công trình
Transporting piles to construction</v>
          </cell>
          <cell r="E307" t="str">
            <v>By trainer and crane</v>
          </cell>
          <cell r="F307" t="str">
            <v>KHO_HUT_AM</v>
          </cell>
          <cell r="G307" t="str">
            <v>Cong_tac_coc</v>
          </cell>
          <cell r="H307" t="str">
            <v>Van_chuyen</v>
          </cell>
          <cell r="L307" t="str">
            <v>m</v>
          </cell>
          <cell r="O307">
            <v>10000</v>
          </cell>
          <cell r="P307">
            <v>0</v>
          </cell>
          <cell r="Q307">
            <v>0</v>
          </cell>
          <cell r="R307">
            <v>10200</v>
          </cell>
          <cell r="S307">
            <v>0</v>
          </cell>
          <cell r="T307">
            <v>10200</v>
          </cell>
          <cell r="U307">
            <v>0</v>
          </cell>
        </row>
        <row r="308">
          <cell r="C308">
            <v>2</v>
          </cell>
          <cell r="D308" t="str">
            <v>KẾT CẤU KHUNG, VÁCH</v>
          </cell>
        </row>
        <row r="309">
          <cell r="A309" t="str">
            <v>BoQ_267</v>
          </cell>
          <cell r="B309">
            <v>267</v>
          </cell>
          <cell r="C309">
            <v>1</v>
          </cell>
          <cell r="D309" t="str">
            <v xml:space="preserve">Đào đất 
Excavation </v>
          </cell>
          <cell r="F309" t="str">
            <v>KHO_HUT_AM</v>
          </cell>
          <cell r="G309" t="str">
            <v>Cong_tac_dat</v>
          </cell>
          <cell r="H309" t="str">
            <v>Dao_dat</v>
          </cell>
          <cell r="L309" t="str">
            <v>lot</v>
          </cell>
          <cell r="O309">
            <v>15000000</v>
          </cell>
          <cell r="P309">
            <v>0</v>
          </cell>
          <cell r="Q309">
            <v>0</v>
          </cell>
          <cell r="R309">
            <v>15300000</v>
          </cell>
          <cell r="S309">
            <v>0</v>
          </cell>
          <cell r="T309">
            <v>15300000</v>
          </cell>
          <cell r="U309">
            <v>0</v>
          </cell>
        </row>
        <row r="310">
          <cell r="A310" t="str">
            <v>BoQ_268</v>
          </cell>
          <cell r="B310">
            <v>268</v>
          </cell>
          <cell r="C310">
            <v>258</v>
          </cell>
          <cell r="D310" t="str">
            <v>Lấp đất móng
Backfilling soil for foundation</v>
          </cell>
          <cell r="F310" t="str">
            <v>KHO_HUT_AM</v>
          </cell>
          <cell r="G310" t="str">
            <v>Cong_tac_dat</v>
          </cell>
          <cell r="H310" t="str">
            <v>Lap_dat</v>
          </cell>
          <cell r="L310" t="str">
            <v>lot</v>
          </cell>
          <cell r="N310">
            <v>25000000</v>
          </cell>
          <cell r="O310">
            <v>15000</v>
          </cell>
          <cell r="P310">
            <v>25500000</v>
          </cell>
          <cell r="Q310">
            <v>0</v>
          </cell>
          <cell r="R310">
            <v>15300</v>
          </cell>
          <cell r="S310">
            <v>0</v>
          </cell>
          <cell r="T310">
            <v>25515300</v>
          </cell>
          <cell r="U310">
            <v>0</v>
          </cell>
        </row>
        <row r="311">
          <cell r="A311" t="str">
            <v>BoQ_269</v>
          </cell>
          <cell r="B311">
            <v>269</v>
          </cell>
          <cell r="C311">
            <v>259</v>
          </cell>
          <cell r="D311" t="str">
            <v>Vận chuyển đất ra hồ
Transport surplus soil to lake</v>
          </cell>
          <cell r="F311" t="str">
            <v>KHO_HUT_AM</v>
          </cell>
          <cell r="G311" t="str">
            <v>Cong_tac_dat</v>
          </cell>
          <cell r="H311" t="str">
            <v>Van_chuyen_dat</v>
          </cell>
          <cell r="L311" t="str">
            <v>lot</v>
          </cell>
          <cell r="O311">
            <v>15000000</v>
          </cell>
          <cell r="P311">
            <v>0</v>
          </cell>
          <cell r="Q311">
            <v>0</v>
          </cell>
          <cell r="R311">
            <v>15300000</v>
          </cell>
          <cell r="S311">
            <v>0</v>
          </cell>
          <cell r="T311">
            <v>15300000</v>
          </cell>
          <cell r="U311">
            <v>0</v>
          </cell>
        </row>
        <row r="312">
          <cell r="A312" t="str">
            <v>BoQ_270</v>
          </cell>
          <cell r="B312">
            <v>270</v>
          </cell>
          <cell r="C312">
            <v>260</v>
          </cell>
          <cell r="D312" t="str">
            <v xml:space="preserve">Đầm nền đất hiện trạng
Natural soil well compacted, k = 0.95 </v>
          </cell>
          <cell r="F312" t="str">
            <v>KHO_HUT_AM</v>
          </cell>
          <cell r="G312" t="str">
            <v>Cong_tac_dat</v>
          </cell>
          <cell r="H312" t="str">
            <v>Dam_dat</v>
          </cell>
          <cell r="L312" t="str">
            <v>lot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</row>
        <row r="313">
          <cell r="A313" t="str">
            <v>BoQ_271</v>
          </cell>
          <cell r="B313">
            <v>271</v>
          </cell>
          <cell r="C313">
            <v>261</v>
          </cell>
          <cell r="D313" t="str">
            <v>Bê tông lót mác 100, đá 10x20 mm, dày 100 mm
Lean concrete grade 100, stone 10x20, 100mm thk</v>
          </cell>
          <cell r="F313" t="str">
            <v>KHO_HUT_AM</v>
          </cell>
          <cell r="G313" t="str">
            <v>Cong_tac_be_tong</v>
          </cell>
          <cell r="H313" t="str">
            <v>Be_tong</v>
          </cell>
          <cell r="L313" t="str">
            <v>m3</v>
          </cell>
          <cell r="N313">
            <v>720000</v>
          </cell>
          <cell r="O313">
            <v>110000</v>
          </cell>
          <cell r="P313">
            <v>734400</v>
          </cell>
          <cell r="Q313">
            <v>0</v>
          </cell>
          <cell r="R313">
            <v>112200</v>
          </cell>
          <cell r="S313">
            <v>0</v>
          </cell>
          <cell r="T313">
            <v>846600</v>
          </cell>
          <cell r="U313">
            <v>0</v>
          </cell>
        </row>
        <row r="314">
          <cell r="A314" t="str">
            <v>BoQ_272</v>
          </cell>
          <cell r="B314">
            <v>272</v>
          </cell>
          <cell r="C314">
            <v>262</v>
          </cell>
          <cell r="D314" t="str">
            <v>Bê tông kết cấu mác300, đá 10x20 mm
Concrete grade 300, stone aggregate 10x20.</v>
          </cell>
          <cell r="F314" t="str">
            <v>KHO_HUT_AM</v>
          </cell>
          <cell r="G314" t="str">
            <v>Cong_tac_be_tong</v>
          </cell>
          <cell r="H314" t="str">
            <v>Be_tong</v>
          </cell>
          <cell r="L314" t="str">
            <v>m3</v>
          </cell>
          <cell r="N314">
            <v>910000</v>
          </cell>
          <cell r="O314">
            <v>110000</v>
          </cell>
          <cell r="P314">
            <v>928200</v>
          </cell>
          <cell r="Q314">
            <v>0</v>
          </cell>
          <cell r="R314">
            <v>112200</v>
          </cell>
          <cell r="S314">
            <v>0</v>
          </cell>
          <cell r="T314">
            <v>1040400</v>
          </cell>
          <cell r="U314">
            <v>0</v>
          </cell>
        </row>
        <row r="315">
          <cell r="A315" t="str">
            <v>BoQ_273</v>
          </cell>
          <cell r="B315">
            <v>273</v>
          </cell>
          <cell r="C315">
            <v>263</v>
          </cell>
          <cell r="D315" t="str">
            <v>Steel trowel
Xoa nền bê tông</v>
          </cell>
          <cell r="F315" t="str">
            <v>KHO_HUT_AM</v>
          </cell>
          <cell r="G315" t="str">
            <v>Cong_tac_be_tong</v>
          </cell>
          <cell r="H315" t="str">
            <v>Be_tong</v>
          </cell>
          <cell r="L315" t="str">
            <v>m2</v>
          </cell>
          <cell r="O315">
            <v>16000</v>
          </cell>
          <cell r="P315">
            <v>0</v>
          </cell>
          <cell r="Q315">
            <v>0</v>
          </cell>
          <cell r="R315">
            <v>16320</v>
          </cell>
          <cell r="S315">
            <v>0</v>
          </cell>
          <cell r="T315">
            <v>16320</v>
          </cell>
          <cell r="U315">
            <v>0</v>
          </cell>
        </row>
        <row r="316">
          <cell r="A316" t="str">
            <v>BoQ_274</v>
          </cell>
          <cell r="B316">
            <v>274</v>
          </cell>
          <cell r="C316">
            <v>264</v>
          </cell>
          <cell r="D316" t="str">
            <v>Sơn epoxy hệ lăn
Epoxy paint roller system</v>
          </cell>
          <cell r="F316" t="str">
            <v>KHO_HUT_AM</v>
          </cell>
          <cell r="G316" t="str">
            <v>Cong_tac_son_nen</v>
          </cell>
          <cell r="H316" t="str">
            <v>Son_nen</v>
          </cell>
          <cell r="L316" t="str">
            <v>m2</v>
          </cell>
          <cell r="N316">
            <v>40000</v>
          </cell>
          <cell r="O316">
            <v>45000</v>
          </cell>
          <cell r="P316">
            <v>40800</v>
          </cell>
          <cell r="Q316">
            <v>0</v>
          </cell>
          <cell r="R316">
            <v>45900</v>
          </cell>
          <cell r="S316">
            <v>0</v>
          </cell>
          <cell r="T316">
            <v>86700</v>
          </cell>
          <cell r="U316">
            <v>0</v>
          </cell>
        </row>
        <row r="317">
          <cell r="A317" t="str">
            <v>BoQ_275</v>
          </cell>
          <cell r="B317">
            <v>275</v>
          </cell>
          <cell r="C317">
            <v>265</v>
          </cell>
          <cell r="D317" t="str">
            <v>Ván khuôn móng,, cột
Foundation, colum</v>
          </cell>
          <cell r="E317" t="str">
            <v>Thép hộp và ván phủ phim
Steel boxes &amp; Plywood form</v>
          </cell>
          <cell r="F317" t="str">
            <v>KHO_HUT_AM</v>
          </cell>
          <cell r="G317" t="str">
            <v>Cong_tac_van_khuon</v>
          </cell>
          <cell r="H317" t="str">
            <v>Van_khuon</v>
          </cell>
          <cell r="L317" t="str">
            <v>m²</v>
          </cell>
          <cell r="N317">
            <v>70000</v>
          </cell>
          <cell r="O317">
            <v>120000</v>
          </cell>
          <cell r="P317">
            <v>71400</v>
          </cell>
          <cell r="Q317">
            <v>0</v>
          </cell>
          <cell r="R317">
            <v>122400</v>
          </cell>
          <cell r="S317">
            <v>0</v>
          </cell>
          <cell r="T317">
            <v>193800</v>
          </cell>
          <cell r="U317">
            <v>0</v>
          </cell>
        </row>
        <row r="318">
          <cell r="A318" t="str">
            <v>BoQ_276</v>
          </cell>
          <cell r="B318">
            <v>276</v>
          </cell>
          <cell r="C318">
            <v>266</v>
          </cell>
          <cell r="D318" t="str">
            <v>Manufacture and assemble of reinforcement for Foundation, Base Column, Ground beam , Ground slab &amp; Roof
Thép cho toàn bộ cấu kiện</v>
          </cell>
          <cell r="E318" t="str">
            <v>CB-240T &amp; CB-300V</v>
          </cell>
          <cell r="F318" t="str">
            <v>KHO_HUT_AM</v>
          </cell>
          <cell r="G318" t="str">
            <v>Cong_tac_ket_cau_thep</v>
          </cell>
          <cell r="H318" t="str">
            <v>Ket_cau_thep</v>
          </cell>
          <cell r="L318" t="str">
            <v>ton</v>
          </cell>
          <cell r="N318">
            <v>20500000</v>
          </cell>
          <cell r="O318">
            <v>2400000</v>
          </cell>
          <cell r="P318">
            <v>20910000</v>
          </cell>
          <cell r="Q318">
            <v>0</v>
          </cell>
          <cell r="R318">
            <v>2448000</v>
          </cell>
          <cell r="S318">
            <v>0</v>
          </cell>
          <cell r="T318">
            <v>23358000</v>
          </cell>
          <cell r="U318">
            <v>0</v>
          </cell>
        </row>
        <row r="319">
          <cell r="A319" t="str">
            <v>BoQ_277</v>
          </cell>
          <cell r="B319">
            <v>277</v>
          </cell>
          <cell r="C319">
            <v>267</v>
          </cell>
          <cell r="D319" t="str">
            <v>Thép hình
Steel H</v>
          </cell>
          <cell r="F319" t="str">
            <v>KHO_HUT_AM</v>
          </cell>
          <cell r="G319" t="str">
            <v>Cong_tac_ket_cau_thep</v>
          </cell>
          <cell r="H319" t="str">
            <v>Ket_cau_thep</v>
          </cell>
          <cell r="L319" t="str">
            <v>ton</v>
          </cell>
          <cell r="N319">
            <v>20500000</v>
          </cell>
          <cell r="O319">
            <v>2400000</v>
          </cell>
          <cell r="P319">
            <v>20910000</v>
          </cell>
          <cell r="Q319">
            <v>0</v>
          </cell>
          <cell r="R319">
            <v>2448000</v>
          </cell>
          <cell r="S319">
            <v>0</v>
          </cell>
          <cell r="T319">
            <v>23358000</v>
          </cell>
          <cell r="U319">
            <v>0</v>
          </cell>
        </row>
        <row r="320">
          <cell r="A320" t="str">
            <v>BoQ_278</v>
          </cell>
          <cell r="B320">
            <v>278</v>
          </cell>
          <cell r="C320">
            <v>268</v>
          </cell>
          <cell r="D320" t="str">
            <v>Bulong M20
M20 bolts</v>
          </cell>
          <cell r="F320" t="str">
            <v>KHO_HUT_AM</v>
          </cell>
          <cell r="G320" t="str">
            <v>Cong_tac_ket_cau_thep</v>
          </cell>
          <cell r="H320" t="str">
            <v>Bulong</v>
          </cell>
          <cell r="L320" t="str">
            <v>Bộ</v>
          </cell>
          <cell r="N320">
            <v>144900</v>
          </cell>
          <cell r="O320">
            <v>99750</v>
          </cell>
          <cell r="P320">
            <v>147798</v>
          </cell>
          <cell r="Q320">
            <v>0</v>
          </cell>
          <cell r="R320">
            <v>101745</v>
          </cell>
          <cell r="S320">
            <v>0</v>
          </cell>
          <cell r="T320">
            <v>249543</v>
          </cell>
          <cell r="U320">
            <v>0</v>
          </cell>
        </row>
        <row r="321">
          <cell r="A321" t="str">
            <v>BoQ_279</v>
          </cell>
          <cell r="B321">
            <v>279</v>
          </cell>
          <cell r="C321">
            <v>269</v>
          </cell>
          <cell r="D321" t="str">
            <v>Bulon liên kết
Anchor bolt</v>
          </cell>
          <cell r="F321" t="str">
            <v>KHO_HUT_AM</v>
          </cell>
          <cell r="G321" t="str">
            <v>Cong_tac_ket_cau_thep</v>
          </cell>
          <cell r="H321" t="str">
            <v>Bulong</v>
          </cell>
          <cell r="L321" t="str">
            <v>lot</v>
          </cell>
          <cell r="N321">
            <v>25000</v>
          </cell>
          <cell r="P321">
            <v>25500</v>
          </cell>
          <cell r="Q321">
            <v>0</v>
          </cell>
          <cell r="R321">
            <v>0</v>
          </cell>
          <cell r="S321">
            <v>0</v>
          </cell>
          <cell r="T321">
            <v>25500</v>
          </cell>
          <cell r="U321">
            <v>0</v>
          </cell>
        </row>
        <row r="322">
          <cell r="A322" t="str">
            <v>BoQ_280</v>
          </cell>
          <cell r="B322">
            <v>280</v>
          </cell>
          <cell r="C322">
            <v>270</v>
          </cell>
          <cell r="D322" t="str">
            <v>Vữa sika
Sika grout</v>
          </cell>
          <cell r="F322" t="str">
            <v>KHO_HUT_AM</v>
          </cell>
          <cell r="G322" t="str">
            <v>Cong_tac_ket_cau_thep</v>
          </cell>
          <cell r="H322" t="str">
            <v>Sika</v>
          </cell>
          <cell r="L322" t="str">
            <v>lot</v>
          </cell>
          <cell r="N322">
            <v>150000</v>
          </cell>
          <cell r="P322">
            <v>153000</v>
          </cell>
          <cell r="Q322">
            <v>0</v>
          </cell>
          <cell r="R322">
            <v>0</v>
          </cell>
          <cell r="S322">
            <v>0</v>
          </cell>
          <cell r="T322">
            <v>153000</v>
          </cell>
          <cell r="U322">
            <v>0</v>
          </cell>
        </row>
        <row r="323">
          <cell r="A323" t="str">
            <v>BoQ_281</v>
          </cell>
          <cell r="B323">
            <v>281</v>
          </cell>
          <cell r="C323">
            <v>271</v>
          </cell>
          <cell r="D323" t="str">
            <v>Tấm sàn deck 0,95mm, đinh chống cắt, phụ kiện 
Deck panels, anti-cut nails, accessories</v>
          </cell>
          <cell r="F323" t="str">
            <v>KHO_HUT_AM</v>
          </cell>
          <cell r="G323" t="str">
            <v>Cong_tac_ket_cau_thep</v>
          </cell>
          <cell r="H323" t="str">
            <v>San_deck</v>
          </cell>
          <cell r="L323" t="str">
            <v>m2</v>
          </cell>
          <cell r="N323">
            <v>215000</v>
          </cell>
          <cell r="O323">
            <v>36000</v>
          </cell>
          <cell r="P323">
            <v>219300</v>
          </cell>
          <cell r="Q323">
            <v>0</v>
          </cell>
          <cell r="R323">
            <v>36720</v>
          </cell>
          <cell r="S323">
            <v>0</v>
          </cell>
          <cell r="T323">
            <v>256020</v>
          </cell>
          <cell r="U323">
            <v>0</v>
          </cell>
        </row>
        <row r="324">
          <cell r="A324" t="str">
            <v>BoQ_282</v>
          </cell>
          <cell r="B324">
            <v>282</v>
          </cell>
          <cell r="C324">
            <v>272</v>
          </cell>
          <cell r="D324" t="str">
            <v>Phụ kiện ke diềm sàn
Z accessories</v>
          </cell>
          <cell r="F324" t="str">
            <v>KHO_HUT_AM</v>
          </cell>
          <cell r="G324" t="str">
            <v>Cong_tac_ket_cau_thep</v>
          </cell>
          <cell r="H324" t="str">
            <v>Phu_kien</v>
          </cell>
          <cell r="L324" t="str">
            <v>m</v>
          </cell>
          <cell r="N324">
            <v>450000</v>
          </cell>
          <cell r="O324">
            <v>36750</v>
          </cell>
          <cell r="P324">
            <v>459000</v>
          </cell>
          <cell r="Q324">
            <v>0</v>
          </cell>
          <cell r="R324">
            <v>37485</v>
          </cell>
          <cell r="S324">
            <v>0</v>
          </cell>
          <cell r="T324">
            <v>496485</v>
          </cell>
          <cell r="U324">
            <v>0</v>
          </cell>
        </row>
        <row r="325">
          <cell r="A325" t="str">
            <v>BoQ_283</v>
          </cell>
          <cell r="B325">
            <v>283</v>
          </cell>
          <cell r="C325">
            <v>273</v>
          </cell>
          <cell r="D325" t="str">
            <v>Panel PU ngăn cháy EI15 dày 75mm
EI15 fireproof panel 75mm thick</v>
          </cell>
          <cell r="F325" t="str">
            <v>KHO_HUT_AM</v>
          </cell>
          <cell r="G325" t="str">
            <v>Cong_tac_panel</v>
          </cell>
          <cell r="H325" t="str">
            <v>PANEL</v>
          </cell>
          <cell r="I325" t="str">
            <v>Tường</v>
          </cell>
          <cell r="J325" t="str">
            <v>PU sandwich</v>
          </cell>
          <cell r="K325" t="str">
            <v>75mm</v>
          </cell>
          <cell r="L325" t="str">
            <v>m²</v>
          </cell>
          <cell r="N325">
            <v>750000</v>
          </cell>
          <cell r="O325">
            <v>41000</v>
          </cell>
          <cell r="P325">
            <v>765000</v>
          </cell>
          <cell r="Q325">
            <v>0</v>
          </cell>
          <cell r="R325">
            <v>41820</v>
          </cell>
          <cell r="S325">
            <v>0</v>
          </cell>
          <cell r="T325">
            <v>806820</v>
          </cell>
          <cell r="U325">
            <v>0</v>
          </cell>
        </row>
        <row r="326">
          <cell r="A326" t="str">
            <v>BoQ_284</v>
          </cell>
          <cell r="B326">
            <v>284</v>
          </cell>
          <cell r="C326">
            <v>274</v>
          </cell>
          <cell r="D326" t="str">
            <v xml:space="preserve">Khung thép hộp panel
Steel frame </v>
          </cell>
          <cell r="F326" t="str">
            <v>KHO_HUT_AM</v>
          </cell>
          <cell r="G326" t="str">
            <v>Cong_tac_panel</v>
          </cell>
          <cell r="H326" t="str">
            <v>Khung_thep_hop</v>
          </cell>
          <cell r="L326" t="str">
            <v>Kg</v>
          </cell>
          <cell r="N326">
            <v>24000</v>
          </cell>
          <cell r="O326">
            <v>2500</v>
          </cell>
          <cell r="P326">
            <v>24480</v>
          </cell>
          <cell r="Q326">
            <v>0</v>
          </cell>
          <cell r="R326">
            <v>2550</v>
          </cell>
          <cell r="S326">
            <v>0</v>
          </cell>
          <cell r="T326">
            <v>27030</v>
          </cell>
          <cell r="U326">
            <v>0</v>
          </cell>
        </row>
        <row r="327">
          <cell r="A327" t="str">
            <v>BoQ_285</v>
          </cell>
          <cell r="B327">
            <v>285</v>
          </cell>
          <cell r="C327">
            <v>275</v>
          </cell>
          <cell r="D327" t="str">
            <v>Vật tư phụ
Sub matarial &amp; acessories</v>
          </cell>
          <cell r="F327" t="str">
            <v>KHO_HUT_AM</v>
          </cell>
          <cell r="G327" t="str">
            <v>Cong_tac_panel</v>
          </cell>
          <cell r="H327" t="str">
            <v>Vat_tu_phu</v>
          </cell>
          <cell r="L327" t="str">
            <v>m2</v>
          </cell>
          <cell r="N327">
            <v>15000</v>
          </cell>
          <cell r="P327">
            <v>15300</v>
          </cell>
          <cell r="Q327">
            <v>0</v>
          </cell>
          <cell r="R327">
            <v>0</v>
          </cell>
          <cell r="S327">
            <v>0</v>
          </cell>
          <cell r="T327">
            <v>15300</v>
          </cell>
          <cell r="U327">
            <v>0</v>
          </cell>
        </row>
        <row r="328">
          <cell r="A328" t="str">
            <v>BoQ_286</v>
          </cell>
          <cell r="B328">
            <v>286</v>
          </cell>
          <cell r="C328">
            <v>276</v>
          </cell>
          <cell r="D328" t="str">
            <v>Chi phí vận chuyển
Transportation fee</v>
          </cell>
          <cell r="F328" t="str">
            <v>KHO_HUT_AM</v>
          </cell>
          <cell r="G328" t="str">
            <v>Cong_tac_panel</v>
          </cell>
          <cell r="H328" t="str">
            <v>Van_chuyen</v>
          </cell>
          <cell r="L328" t="str">
            <v>m2</v>
          </cell>
          <cell r="N328">
            <v>5000</v>
          </cell>
          <cell r="P328">
            <v>5100</v>
          </cell>
          <cell r="Q328">
            <v>0</v>
          </cell>
          <cell r="R328">
            <v>0</v>
          </cell>
          <cell r="S328">
            <v>0</v>
          </cell>
          <cell r="T328">
            <v>5100</v>
          </cell>
          <cell r="U328">
            <v>0</v>
          </cell>
        </row>
        <row r="329">
          <cell r="A329" t="str">
            <v>BoQ_287</v>
          </cell>
          <cell r="B329">
            <v>287</v>
          </cell>
          <cell r="D329" t="str">
            <v>Aluminium glass window 
Cửa sổ nhôm kính</v>
          </cell>
          <cell r="E329" t="str">
            <v>High grade Xingfa , 6,38mm thk safety glass, opaque color.
Cửa hệ Xingfa , kính an toàn 6,38mm, kính mờ.</v>
          </cell>
          <cell r="F329" t="str">
            <v>KHO_HUT_AM</v>
          </cell>
          <cell r="G329" t="str">
            <v>Cong_tac_cua_di_cua_so</v>
          </cell>
          <cell r="H329" t="str">
            <v>Cua_so</v>
          </cell>
          <cell r="L329" t="str">
            <v>m2</v>
          </cell>
          <cell r="N329">
            <v>1350000</v>
          </cell>
          <cell r="O329">
            <v>250000</v>
          </cell>
          <cell r="P329">
            <v>1377000</v>
          </cell>
          <cell r="Q329">
            <v>0</v>
          </cell>
          <cell r="R329">
            <v>255000</v>
          </cell>
          <cell r="S329">
            <v>0</v>
          </cell>
          <cell r="T329">
            <v>1632000</v>
          </cell>
          <cell r="U329">
            <v>0</v>
          </cell>
        </row>
        <row r="330">
          <cell r="A330" t="str">
            <v>BoQ_288</v>
          </cell>
          <cell r="B330">
            <v>288</v>
          </cell>
          <cell r="D330" t="str">
            <v>Accessories for window 
Phụ kiện cửa sổ</v>
          </cell>
          <cell r="E330" t="str">
            <v>Kin long</v>
          </cell>
          <cell r="F330" t="str">
            <v>KHO_HUT_AM</v>
          </cell>
          <cell r="G330" t="str">
            <v>Cong_tac_cua_di_cua_so</v>
          </cell>
          <cell r="H330" t="str">
            <v>Phu_kien</v>
          </cell>
          <cell r="L330" t="str">
            <v>ea</v>
          </cell>
          <cell r="N330">
            <v>500000</v>
          </cell>
          <cell r="P330">
            <v>510000</v>
          </cell>
          <cell r="Q330">
            <v>0</v>
          </cell>
          <cell r="R330">
            <v>0</v>
          </cell>
          <cell r="S330">
            <v>0</v>
          </cell>
          <cell r="T330">
            <v>510000</v>
          </cell>
          <cell r="U330">
            <v>0</v>
          </cell>
        </row>
        <row r="331">
          <cell r="A331" t="str">
            <v>BoQ_289</v>
          </cell>
          <cell r="B331">
            <v>289</v>
          </cell>
          <cell r="C331">
            <v>277</v>
          </cell>
          <cell r="D331" t="str">
            <v>Shutter door
Cửa cuốn thép</v>
          </cell>
          <cell r="F331" t="str">
            <v>KHO_HUT_AM</v>
          </cell>
          <cell r="G331" t="str">
            <v>Cong_tac_cua_di_cua_so</v>
          </cell>
          <cell r="H331" t="str">
            <v>Cua_cuon</v>
          </cell>
          <cell r="L331" t="str">
            <v>m2</v>
          </cell>
          <cell r="N331">
            <v>3400000</v>
          </cell>
          <cell r="O331">
            <v>300000</v>
          </cell>
          <cell r="P331">
            <v>3468000</v>
          </cell>
          <cell r="Q331">
            <v>0</v>
          </cell>
          <cell r="R331">
            <v>306000</v>
          </cell>
          <cell r="S331">
            <v>0</v>
          </cell>
          <cell r="T331">
            <v>3774000</v>
          </cell>
          <cell r="U331">
            <v>0</v>
          </cell>
        </row>
        <row r="332">
          <cell r="A332" t="str">
            <v>BoQ_290</v>
          </cell>
          <cell r="B332">
            <v>290</v>
          </cell>
          <cell r="C332">
            <v>278</v>
          </cell>
          <cell r="D332" t="str">
            <v>Electric motor for slide shutter door + UPS
 Mô tơ cửa cuốn + UPS</v>
          </cell>
          <cell r="F332" t="str">
            <v>KHO_HUT_AM</v>
          </cell>
          <cell r="G332" t="str">
            <v>Cong_tac_cua_di_cua_so</v>
          </cell>
          <cell r="H332" t="str">
            <v>Phu_kien</v>
          </cell>
          <cell r="L332" t="str">
            <v>lot</v>
          </cell>
          <cell r="N332">
            <v>500000</v>
          </cell>
          <cell r="P332">
            <v>510000</v>
          </cell>
          <cell r="Q332">
            <v>0</v>
          </cell>
          <cell r="R332">
            <v>0</v>
          </cell>
          <cell r="S332">
            <v>0</v>
          </cell>
          <cell r="T332">
            <v>510000</v>
          </cell>
          <cell r="U332">
            <v>0</v>
          </cell>
        </row>
        <row r="333">
          <cell r="C333">
            <v>278</v>
          </cell>
          <cell r="D333" t="str">
            <v>HOÀN THIỆN MÁI BÊ TÔNG
CONCRETE ROOF FINISHING</v>
          </cell>
        </row>
        <row r="334">
          <cell r="A334" t="str">
            <v>BoQ_291</v>
          </cell>
          <cell r="B334">
            <v>291</v>
          </cell>
          <cell r="C334">
            <v>279</v>
          </cell>
          <cell r="D334" t="str">
            <v xml:space="preserve">Chống thấm mái
Waterproofing </v>
          </cell>
          <cell r="E334" t="str">
            <v xml:space="preserve">Sika </v>
          </cell>
          <cell r="F334" t="str">
            <v>KHO_HUT_AM</v>
          </cell>
          <cell r="G334" t="str">
            <v>Cong_tac_chong_tham</v>
          </cell>
          <cell r="H334" t="str">
            <v>Chong_tham</v>
          </cell>
          <cell r="I334" t="str">
            <v>Mái</v>
          </cell>
          <cell r="J334" t="str">
            <v>Sika membranine</v>
          </cell>
          <cell r="L334" t="str">
            <v>m²</v>
          </cell>
          <cell r="N334">
            <v>56000</v>
          </cell>
          <cell r="O334">
            <v>45000</v>
          </cell>
          <cell r="P334">
            <v>57120</v>
          </cell>
          <cell r="Q334">
            <v>0</v>
          </cell>
          <cell r="R334">
            <v>45900</v>
          </cell>
          <cell r="S334">
            <v>0</v>
          </cell>
          <cell r="T334">
            <v>103020</v>
          </cell>
          <cell r="U334">
            <v>0</v>
          </cell>
        </row>
        <row r="335">
          <cell r="A335" t="str">
            <v>BoQ_292</v>
          </cell>
          <cell r="B335">
            <v>292</v>
          </cell>
          <cell r="C335">
            <v>280</v>
          </cell>
          <cell r="D335" t="str">
            <v>Lưới thép D6 @300
Steel mesh ∅6 @300</v>
          </cell>
          <cell r="F335" t="str">
            <v>KHO_HUT_AM</v>
          </cell>
          <cell r="G335" t="str">
            <v>Cong_tac_cot_thep</v>
          </cell>
          <cell r="H335" t="str">
            <v>Luoi_thep_han</v>
          </cell>
          <cell r="L335" t="str">
            <v>m2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</row>
        <row r="336">
          <cell r="A336" t="str">
            <v>BoQ_293</v>
          </cell>
          <cell r="B336">
            <v>293</v>
          </cell>
          <cell r="C336">
            <v>281</v>
          </cell>
          <cell r="D336" t="str">
            <v>Lớp bê tông bảo vệ mác 200
Concrete grade 200, stone 10x20, 100mm thk, make slope</v>
          </cell>
          <cell r="F336" t="str">
            <v>KHO_HUT_AM</v>
          </cell>
          <cell r="G336" t="str">
            <v>Cong_tac_be_tong</v>
          </cell>
          <cell r="H336" t="str">
            <v>Be_tong</v>
          </cell>
          <cell r="I336" t="str">
            <v>Mái</v>
          </cell>
          <cell r="J336" t="str">
            <v>M200</v>
          </cell>
          <cell r="K336" t="str">
            <v>Đá mi</v>
          </cell>
          <cell r="L336" t="str">
            <v>m3</v>
          </cell>
          <cell r="N336">
            <v>865000</v>
          </cell>
          <cell r="O336">
            <v>110000</v>
          </cell>
          <cell r="P336">
            <v>882300</v>
          </cell>
          <cell r="Q336">
            <v>0</v>
          </cell>
          <cell r="R336">
            <v>112200</v>
          </cell>
          <cell r="S336">
            <v>0</v>
          </cell>
          <cell r="T336">
            <v>994500</v>
          </cell>
          <cell r="U336">
            <v>0</v>
          </cell>
        </row>
        <row r="337">
          <cell r="A337" t="str">
            <v>BoQ_294</v>
          </cell>
          <cell r="B337">
            <v>294</v>
          </cell>
          <cell r="C337">
            <v>282</v>
          </cell>
          <cell r="D337" t="str">
            <v>Cán vữa nền
Rolling mortar background</v>
          </cell>
          <cell r="F337" t="str">
            <v>KHO_HUT_AM</v>
          </cell>
          <cell r="G337" t="str">
            <v>Cong_tac_op_lat</v>
          </cell>
          <cell r="H337" t="str">
            <v>Can_nen</v>
          </cell>
          <cell r="I337" t="str">
            <v>Nền</v>
          </cell>
          <cell r="J337" t="str">
            <v>Vữa</v>
          </cell>
          <cell r="K337" t="str">
            <v>M50</v>
          </cell>
          <cell r="L337" t="str">
            <v>m2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</row>
        <row r="338">
          <cell r="A338" t="str">
            <v>BoQ_295</v>
          </cell>
          <cell r="B338">
            <v>295</v>
          </cell>
          <cell r="C338">
            <v>283</v>
          </cell>
          <cell r="D338" t="str">
            <v>Lát gạch đất nung chống nóng 400x400
400x400 . heat resistant terracotta tiles</v>
          </cell>
          <cell r="F338" t="str">
            <v>KHO_HUT_AM</v>
          </cell>
          <cell r="G338" t="str">
            <v>Cong_tac_op_lat</v>
          </cell>
          <cell r="H338" t="str">
            <v>Lat_nen</v>
          </cell>
          <cell r="I338" t="str">
            <v>Nền</v>
          </cell>
          <cell r="J338" t="str">
            <v>Gạch đất đỏ</v>
          </cell>
          <cell r="K338" t="str">
            <v>400X400</v>
          </cell>
          <cell r="L338" t="str">
            <v>m2</v>
          </cell>
          <cell r="N338">
            <v>125000</v>
          </cell>
          <cell r="O338">
            <v>75000</v>
          </cell>
          <cell r="P338">
            <v>127500</v>
          </cell>
          <cell r="Q338">
            <v>0</v>
          </cell>
          <cell r="R338">
            <v>76500</v>
          </cell>
          <cell r="S338">
            <v>0</v>
          </cell>
          <cell r="T338">
            <v>204000</v>
          </cell>
          <cell r="U338">
            <v>0</v>
          </cell>
        </row>
        <row r="339">
          <cell r="A339" t="str">
            <v>BoQ_296</v>
          </cell>
          <cell r="B339">
            <v>296</v>
          </cell>
          <cell r="C339">
            <v>284</v>
          </cell>
          <cell r="D339" t="str">
            <v>Vận chuyển gạch chống nóng lên mái
Transporting heat-resistant bricks to the roof</v>
          </cell>
          <cell r="F339" t="str">
            <v>KHO_HUT_AM</v>
          </cell>
          <cell r="G339" t="str">
            <v>Cong_tac_op_lat</v>
          </cell>
          <cell r="H339" t="str">
            <v>Van_chuyen</v>
          </cell>
          <cell r="I339" t="str">
            <v>Gạch</v>
          </cell>
          <cell r="L339" t="str">
            <v>m2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</row>
        <row r="340">
          <cell r="A340" t="str">
            <v>BoQ_297</v>
          </cell>
          <cell r="B340">
            <v>297</v>
          </cell>
          <cell r="C340">
            <v>285</v>
          </cell>
          <cell r="D340" t="str">
            <v>UPVC Down Spout, D90
Ống thoát nước UPVC</v>
          </cell>
          <cell r="E340" t="str">
            <v>Tiền Phong, C2</v>
          </cell>
          <cell r="F340" t="str">
            <v>KHO_HUT_AM</v>
          </cell>
          <cell r="G340" t="str">
            <v>Cong_tac_mai</v>
          </cell>
          <cell r="H340" t="str">
            <v>Ong_thoat_nuoc</v>
          </cell>
          <cell r="I340" t="str">
            <v>Mái</v>
          </cell>
          <cell r="J340" t="str">
            <v>UPVC</v>
          </cell>
          <cell r="K340" t="str">
            <v>D90</v>
          </cell>
          <cell r="L340" t="str">
            <v>m</v>
          </cell>
          <cell r="N340">
            <v>95000</v>
          </cell>
          <cell r="O340">
            <v>55000</v>
          </cell>
          <cell r="P340">
            <v>96900</v>
          </cell>
          <cell r="Q340">
            <v>0</v>
          </cell>
          <cell r="R340">
            <v>56100</v>
          </cell>
          <cell r="S340">
            <v>0</v>
          </cell>
          <cell r="T340">
            <v>153000</v>
          </cell>
          <cell r="U340">
            <v>0</v>
          </cell>
        </row>
        <row r="341">
          <cell r="A341" t="str">
            <v>BoQ_298</v>
          </cell>
          <cell r="B341">
            <v>298</v>
          </cell>
          <cell r="C341">
            <v>286</v>
          </cell>
          <cell r="D341" t="str">
            <v>Côn, cút ống thoát 
Down Spout Elbow</v>
          </cell>
          <cell r="F341" t="str">
            <v>KHO_HUT_AM</v>
          </cell>
          <cell r="G341" t="str">
            <v>Cong_tac_mai</v>
          </cell>
          <cell r="H341" t="str">
            <v>Phu_kien</v>
          </cell>
          <cell r="I341" t="str">
            <v>Mái</v>
          </cell>
          <cell r="L341" t="str">
            <v>ea</v>
          </cell>
          <cell r="N341">
            <v>95000</v>
          </cell>
          <cell r="O341">
            <v>55000</v>
          </cell>
          <cell r="P341">
            <v>96900</v>
          </cell>
          <cell r="Q341">
            <v>0</v>
          </cell>
          <cell r="R341">
            <v>56100</v>
          </cell>
          <cell r="S341">
            <v>0</v>
          </cell>
          <cell r="T341">
            <v>153000</v>
          </cell>
          <cell r="U341">
            <v>0</v>
          </cell>
        </row>
        <row r="342">
          <cell r="A342" t="str">
            <v>BoQ_299</v>
          </cell>
          <cell r="B342">
            <v>299</v>
          </cell>
          <cell r="C342">
            <v>287</v>
          </cell>
          <cell r="D342" t="str">
            <v xml:space="preserve">Quả cầu chắn rác
Rubbish dome grating </v>
          </cell>
          <cell r="F342" t="str">
            <v>KHO_HUT_AM</v>
          </cell>
          <cell r="G342" t="str">
            <v>Cong_tac_mai</v>
          </cell>
          <cell r="H342" t="str">
            <v>Phu_kien</v>
          </cell>
          <cell r="I342" t="str">
            <v>Cầu chắn rác</v>
          </cell>
          <cell r="L342" t="str">
            <v>cái</v>
          </cell>
          <cell r="N342">
            <v>105000</v>
          </cell>
          <cell r="O342">
            <v>2500</v>
          </cell>
          <cell r="P342">
            <v>107100</v>
          </cell>
          <cell r="Q342">
            <v>0</v>
          </cell>
          <cell r="R342">
            <v>2550</v>
          </cell>
          <cell r="S342">
            <v>0</v>
          </cell>
          <cell r="T342">
            <v>109650</v>
          </cell>
          <cell r="U342">
            <v>0</v>
          </cell>
        </row>
        <row r="343">
          <cell r="A343" t="str">
            <v>BoQ_300</v>
          </cell>
          <cell r="B343">
            <v>300</v>
          </cell>
          <cell r="C343">
            <v>288</v>
          </cell>
          <cell r="D343" t="str">
            <v>Chi phí vận chuyển
Transportation fee</v>
          </cell>
          <cell r="F343" t="str">
            <v>KHO_HUT_AM</v>
          </cell>
          <cell r="G343" t="str">
            <v>Cong_tac_mai</v>
          </cell>
          <cell r="H343" t="str">
            <v>Van_chuyen</v>
          </cell>
          <cell r="L343" t="str">
            <v>lot</v>
          </cell>
          <cell r="N343">
            <v>5000000</v>
          </cell>
          <cell r="P343">
            <v>5100000</v>
          </cell>
          <cell r="Q343">
            <v>0</v>
          </cell>
          <cell r="R343">
            <v>0</v>
          </cell>
          <cell r="S343">
            <v>0</v>
          </cell>
          <cell r="T343">
            <v>5100000</v>
          </cell>
          <cell r="U343">
            <v>0</v>
          </cell>
        </row>
        <row r="344">
          <cell r="A344" t="str">
            <v>BoQ_301</v>
          </cell>
          <cell r="B344">
            <v>301</v>
          </cell>
          <cell r="C344">
            <v>289</v>
          </cell>
          <cell r="D344" t="str">
            <v>Aluminium glass door (indoor) 
Cửa đi nhôm kính (trong nhà)</v>
          </cell>
          <cell r="E344" t="str">
            <v>Cửa hệ Xingfa cao cấp
High grade Xingfa brand</v>
          </cell>
          <cell r="F344" t="str">
            <v>KHO_HUT_AM</v>
          </cell>
          <cell r="G344" t="str">
            <v>Cong_tac_cua_di_cua_so</v>
          </cell>
          <cell r="H344" t="str">
            <v>Cua_di</v>
          </cell>
          <cell r="I344" t="str">
            <v>Nhôm kinh</v>
          </cell>
          <cell r="L344" t="str">
            <v>m2</v>
          </cell>
          <cell r="N344">
            <v>1350000</v>
          </cell>
          <cell r="O344">
            <v>250000</v>
          </cell>
          <cell r="P344">
            <v>1377000</v>
          </cell>
          <cell r="Q344">
            <v>0</v>
          </cell>
          <cell r="R344">
            <v>255000</v>
          </cell>
          <cell r="S344">
            <v>0</v>
          </cell>
          <cell r="T344">
            <v>1632000</v>
          </cell>
          <cell r="U344">
            <v>0</v>
          </cell>
        </row>
        <row r="345">
          <cell r="A345" t="str">
            <v>BoQ_302</v>
          </cell>
          <cell r="B345">
            <v>302</v>
          </cell>
          <cell r="C345">
            <v>290</v>
          </cell>
          <cell r="D345" t="str">
            <v>Accessories for Aluminium glass door 
Phụ kiện cửa đi</v>
          </cell>
          <cell r="E345" t="str">
            <v>Kin long</v>
          </cell>
          <cell r="F345" t="str">
            <v>KHO_HUT_AM</v>
          </cell>
          <cell r="G345" t="str">
            <v>Cong_tac_cua_di_cua_so</v>
          </cell>
          <cell r="H345" t="str">
            <v>Cua_di</v>
          </cell>
          <cell r="I345" t="str">
            <v>Phụ kiện</v>
          </cell>
          <cell r="L345" t="str">
            <v>ea</v>
          </cell>
          <cell r="N345">
            <v>500000</v>
          </cell>
          <cell r="P345">
            <v>510000</v>
          </cell>
          <cell r="Q345">
            <v>0</v>
          </cell>
          <cell r="R345">
            <v>0</v>
          </cell>
          <cell r="S345">
            <v>0</v>
          </cell>
          <cell r="T345">
            <v>510000</v>
          </cell>
          <cell r="U345">
            <v>0</v>
          </cell>
        </row>
        <row r="346">
          <cell r="D346" t="str">
            <v>AUXILIARY BUILDING, GUARD HOUSE/NHÀ PHỤ TRỢ &amp; BẢO VỆ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</row>
        <row r="347">
          <cell r="C347">
            <v>5</v>
          </cell>
          <cell r="D347" t="str">
            <v>AUXILIARY BUILDING, KHU PHỤ TRỢ</v>
          </cell>
        </row>
        <row r="348">
          <cell r="C348">
            <v>1</v>
          </cell>
          <cell r="D348" t="str">
            <v>EARTH WORK
CÔNG TÁC ĐẤT</v>
          </cell>
        </row>
        <row r="349">
          <cell r="A349" t="str">
            <v>BoQ_303</v>
          </cell>
          <cell r="B349">
            <v>303</v>
          </cell>
          <cell r="C349">
            <v>1</v>
          </cell>
          <cell r="D349" t="str">
            <v>Excavation 
Đào đất</v>
          </cell>
          <cell r="F349" t="str">
            <v>NHA_PHU_TRO</v>
          </cell>
          <cell r="G349" t="str">
            <v>Cong_tac_dat</v>
          </cell>
          <cell r="H349" t="str">
            <v>Dao_dat</v>
          </cell>
          <cell r="I349" t="str">
            <v>Móng</v>
          </cell>
          <cell r="J349" t="str">
            <v>Móng</v>
          </cell>
          <cell r="L349" t="str">
            <v>m3</v>
          </cell>
          <cell r="M349">
            <v>90</v>
          </cell>
          <cell r="O349">
            <v>22000</v>
          </cell>
          <cell r="P349">
            <v>0</v>
          </cell>
          <cell r="Q349">
            <v>0</v>
          </cell>
          <cell r="R349">
            <v>22440</v>
          </cell>
          <cell r="S349">
            <v>2019600</v>
          </cell>
          <cell r="T349">
            <v>22440</v>
          </cell>
          <cell r="U349">
            <v>2019600</v>
          </cell>
        </row>
        <row r="350">
          <cell r="A350" t="str">
            <v>BoQ_304</v>
          </cell>
          <cell r="B350">
            <v>304</v>
          </cell>
          <cell r="C350">
            <v>291</v>
          </cell>
          <cell r="D350" t="str">
            <v>Compact foundation by hand 
Đầm nền móng bằng đầm cóc</v>
          </cell>
          <cell r="F350" t="str">
            <v>NHA_PHU_TRO</v>
          </cell>
          <cell r="G350" t="str">
            <v>Cong_tac_dat</v>
          </cell>
          <cell r="H350" t="str">
            <v>Dam_dat</v>
          </cell>
          <cell r="I350" t="str">
            <v>Móng</v>
          </cell>
          <cell r="J350" t="str">
            <v>Móng</v>
          </cell>
          <cell r="L350" t="str">
            <v>m2</v>
          </cell>
          <cell r="M350">
            <v>10.08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</row>
        <row r="351">
          <cell r="A351" t="str">
            <v>BoQ_305</v>
          </cell>
          <cell r="B351">
            <v>305</v>
          </cell>
          <cell r="C351">
            <v>2</v>
          </cell>
          <cell r="D351" t="str">
            <v>Backfilling sand for foundation
Lấp cát móng</v>
          </cell>
          <cell r="E351" t="str">
            <v>Black sand
 Cát đen</v>
          </cell>
          <cell r="F351" t="str">
            <v>NHA_PHU_TRO</v>
          </cell>
          <cell r="G351" t="str">
            <v>Cong_tac_dat</v>
          </cell>
          <cell r="H351" t="str">
            <v>Lap_cat</v>
          </cell>
          <cell r="I351" t="str">
            <v>Móng</v>
          </cell>
          <cell r="J351" t="str">
            <v>Móng</v>
          </cell>
          <cell r="L351" t="str">
            <v>m3</v>
          </cell>
          <cell r="M351">
            <v>67.792959999999994</v>
          </cell>
          <cell r="N351">
            <v>316800</v>
          </cell>
          <cell r="O351">
            <v>25000</v>
          </cell>
          <cell r="P351">
            <v>323136</v>
          </cell>
          <cell r="Q351">
            <v>21906345.922559999</v>
          </cell>
          <cell r="R351">
            <v>25500</v>
          </cell>
          <cell r="S351">
            <v>1728720.4799999997</v>
          </cell>
          <cell r="T351">
            <v>348636</v>
          </cell>
          <cell r="U351">
            <v>23635066.402559999</v>
          </cell>
        </row>
        <row r="352">
          <cell r="A352" t="str">
            <v>BoQ_306</v>
          </cell>
          <cell r="B352">
            <v>306</v>
          </cell>
          <cell r="C352">
            <v>292</v>
          </cell>
          <cell r="D352" t="str">
            <v>Remove surplus soil 
Vận chuyển đất thừa</v>
          </cell>
          <cell r="F352" t="str">
            <v>NHA_PHU_TRO</v>
          </cell>
          <cell r="G352" t="str">
            <v>Cong_tac_dat</v>
          </cell>
          <cell r="H352" t="str">
            <v>Van_chuyen_dat</v>
          </cell>
          <cell r="I352" t="str">
            <v>Đất</v>
          </cell>
          <cell r="L352" t="str">
            <v>m3</v>
          </cell>
          <cell r="M352">
            <v>90</v>
          </cell>
          <cell r="O352">
            <v>22000</v>
          </cell>
          <cell r="P352">
            <v>0</v>
          </cell>
          <cell r="Q352">
            <v>0</v>
          </cell>
          <cell r="R352">
            <v>22440</v>
          </cell>
          <cell r="S352">
            <v>2019600</v>
          </cell>
          <cell r="T352">
            <v>22440</v>
          </cell>
          <cell r="U352">
            <v>2019600</v>
          </cell>
        </row>
        <row r="353">
          <cell r="A353" t="str">
            <v>BoQ_307</v>
          </cell>
          <cell r="B353">
            <v>307</v>
          </cell>
          <cell r="C353">
            <v>3</v>
          </cell>
          <cell r="D353" t="str">
            <v>Natural soil well compacted, k = 0.95 
Đầm nền đất tự nhiên</v>
          </cell>
          <cell r="F353" t="str">
            <v>NHA_PHU_TRO</v>
          </cell>
          <cell r="G353" t="str">
            <v>Cong_tac_dat</v>
          </cell>
          <cell r="H353" t="str">
            <v>Dam_dat</v>
          </cell>
          <cell r="I353" t="str">
            <v>Đất</v>
          </cell>
          <cell r="J353" t="str">
            <v>Đất</v>
          </cell>
          <cell r="K353" t="str">
            <v>K95</v>
          </cell>
          <cell r="L353" t="str">
            <v>m2</v>
          </cell>
          <cell r="M353">
            <v>106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</row>
        <row r="354">
          <cell r="A354" t="str">
            <v>BoQ_308</v>
          </cell>
          <cell r="B354">
            <v>308</v>
          </cell>
          <cell r="C354">
            <v>293</v>
          </cell>
          <cell r="D354" t="str">
            <v>Crushed  base stone well compacted, K=0.98
Lớp đá base đầm chặt</v>
          </cell>
          <cell r="E354" t="str">
            <v>200mm Thk</v>
          </cell>
          <cell r="F354" t="str">
            <v>NHA_PHU_TRO</v>
          </cell>
          <cell r="G354" t="str">
            <v>Cong_tac_dat</v>
          </cell>
          <cell r="H354" t="str">
            <v>Lap_da</v>
          </cell>
          <cell r="I354" t="str">
            <v>Nền</v>
          </cell>
          <cell r="J354" t="str">
            <v>Đá base</v>
          </cell>
          <cell r="K354" t="str">
            <v>K98</v>
          </cell>
          <cell r="L354" t="str">
            <v>m3</v>
          </cell>
          <cell r="M354">
            <v>0</v>
          </cell>
          <cell r="N354">
            <v>397600</v>
          </cell>
          <cell r="O354">
            <v>45000</v>
          </cell>
          <cell r="P354">
            <v>405552</v>
          </cell>
          <cell r="Q354">
            <v>0</v>
          </cell>
          <cell r="R354">
            <v>45900</v>
          </cell>
          <cell r="S354">
            <v>0</v>
          </cell>
          <cell r="T354">
            <v>451452</v>
          </cell>
          <cell r="U354">
            <v>0</v>
          </cell>
        </row>
        <row r="355">
          <cell r="A355" t="str">
            <v>BoQ_309</v>
          </cell>
          <cell r="B355">
            <v>309</v>
          </cell>
          <cell r="C355">
            <v>4</v>
          </cell>
          <cell r="D355" t="str">
            <v>Black sand filling k=0.95 
Cát tôn nền đầm chặt</v>
          </cell>
          <cell r="E355" t="str">
            <v>300mm Thk</v>
          </cell>
          <cell r="F355" t="str">
            <v>NHA_PHU_TRO</v>
          </cell>
          <cell r="G355" t="str">
            <v>Cong_tac_dat</v>
          </cell>
          <cell r="H355" t="str">
            <v>Lap_cat</v>
          </cell>
          <cell r="I355" t="str">
            <v>Nền</v>
          </cell>
          <cell r="J355" t="str">
            <v>Cát</v>
          </cell>
          <cell r="K355" t="str">
            <v>K95</v>
          </cell>
          <cell r="L355" t="str">
            <v>m3</v>
          </cell>
          <cell r="M355">
            <v>38.795999999999992</v>
          </cell>
          <cell r="N355">
            <v>316800</v>
          </cell>
          <cell r="O355">
            <v>25000</v>
          </cell>
          <cell r="P355">
            <v>323136</v>
          </cell>
          <cell r="Q355">
            <v>12536384.255999997</v>
          </cell>
          <cell r="R355">
            <v>25500</v>
          </cell>
          <cell r="S355">
            <v>989297.99999999977</v>
          </cell>
          <cell r="T355">
            <v>348636</v>
          </cell>
          <cell r="U355">
            <v>13525682.255999997</v>
          </cell>
        </row>
        <row r="356">
          <cell r="A356" t="str">
            <v>BoQ_310</v>
          </cell>
          <cell r="B356">
            <v>310</v>
          </cell>
          <cell r="C356">
            <v>294</v>
          </cell>
          <cell r="D356" t="str">
            <v>PVC film layer under ground slab
Lớp nylon lót nền</v>
          </cell>
          <cell r="E356" t="str">
            <v>0.3mm thk</v>
          </cell>
          <cell r="F356" t="str">
            <v>NHA_PHU_TRO</v>
          </cell>
          <cell r="G356" t="str">
            <v>Cong_tac_dat</v>
          </cell>
          <cell r="H356" t="str">
            <v>Nilong</v>
          </cell>
          <cell r="I356" t="str">
            <v>Nền</v>
          </cell>
          <cell r="J356" t="str">
            <v>Nilong</v>
          </cell>
          <cell r="K356" t="str">
            <v>0.3mm</v>
          </cell>
          <cell r="L356" t="str">
            <v>m2</v>
          </cell>
          <cell r="M356">
            <v>116.6</v>
          </cell>
          <cell r="N356">
            <v>3500</v>
          </cell>
          <cell r="O356">
            <v>1000</v>
          </cell>
          <cell r="P356">
            <v>3570</v>
          </cell>
          <cell r="Q356">
            <v>416262</v>
          </cell>
          <cell r="R356">
            <v>1020</v>
          </cell>
          <cell r="S356">
            <v>118932</v>
          </cell>
          <cell r="T356">
            <v>4590</v>
          </cell>
          <cell r="U356">
            <v>535194</v>
          </cell>
        </row>
        <row r="357">
          <cell r="C357">
            <v>2</v>
          </cell>
          <cell r="D357" t="str">
            <v>CONCRETE WORK
CÔNG TÁC BÊ TÔNG</v>
          </cell>
        </row>
        <row r="358">
          <cell r="A358" t="str">
            <v>BoQ_311</v>
          </cell>
          <cell r="B358">
            <v>311</v>
          </cell>
          <cell r="C358">
            <v>295</v>
          </cell>
          <cell r="D358" t="str">
            <v>Lean concrete grade 100, stone 10x20, 100mm thk
Bê tông lót</v>
          </cell>
          <cell r="E358" t="str">
            <v>Foundation &amp; ground beam</v>
          </cell>
          <cell r="F358" t="str">
            <v>NHA_PHU_TRO</v>
          </cell>
          <cell r="G358" t="str">
            <v>Cong_tac_be_tong</v>
          </cell>
          <cell r="H358" t="str">
            <v>Be_tong</v>
          </cell>
          <cell r="I358" t="str">
            <v>Móng</v>
          </cell>
          <cell r="J358" t="str">
            <v>M100</v>
          </cell>
          <cell r="L358" t="str">
            <v>m3</v>
          </cell>
          <cell r="M358">
            <v>4.3264000000000014</v>
          </cell>
          <cell r="N358">
            <v>720000</v>
          </cell>
          <cell r="O358">
            <v>110000</v>
          </cell>
          <cell r="P358">
            <v>734400</v>
          </cell>
          <cell r="Q358">
            <v>3177308.1600000011</v>
          </cell>
          <cell r="R358">
            <v>112200</v>
          </cell>
          <cell r="S358">
            <v>485422.08000000013</v>
          </cell>
          <cell r="T358">
            <v>846600</v>
          </cell>
          <cell r="U358">
            <v>3662730.2400000012</v>
          </cell>
        </row>
        <row r="359">
          <cell r="A359" t="str">
            <v>BoQ_312</v>
          </cell>
          <cell r="B359">
            <v>312</v>
          </cell>
          <cell r="C359">
            <v>296</v>
          </cell>
          <cell r="D359" t="str">
            <v>Concrete grade 300, stone aggregate 10x20.
Bê tông móng, giằng móng</v>
          </cell>
          <cell r="E359" t="str">
            <v xml:space="preserve">Foundation &amp; Ground Beam </v>
          </cell>
          <cell r="F359" t="str">
            <v>NHA_PHU_TRO</v>
          </cell>
          <cell r="G359" t="str">
            <v>Cong_tac_be_tong</v>
          </cell>
          <cell r="H359" t="str">
            <v>Be_tong</v>
          </cell>
          <cell r="I359" t="str">
            <v>MÓNG</v>
          </cell>
          <cell r="J359" t="str">
            <v>M300</v>
          </cell>
          <cell r="L359" t="str">
            <v>m3</v>
          </cell>
          <cell r="M359">
            <v>8.6501999999999999</v>
          </cell>
          <cell r="N359">
            <v>910000</v>
          </cell>
          <cell r="O359">
            <v>110000</v>
          </cell>
          <cell r="P359">
            <v>928200</v>
          </cell>
          <cell r="Q359">
            <v>8029115.6399999997</v>
          </cell>
          <cell r="R359">
            <v>112200</v>
          </cell>
          <cell r="S359">
            <v>970552.44</v>
          </cell>
          <cell r="T359">
            <v>1040400</v>
          </cell>
          <cell r="U359">
            <v>8999668.0800000001</v>
          </cell>
        </row>
        <row r="360">
          <cell r="A360" t="str">
            <v>BoQ_313</v>
          </cell>
          <cell r="B360">
            <v>313</v>
          </cell>
          <cell r="C360">
            <v>297</v>
          </cell>
          <cell r="D360" t="str">
            <v>Concrete grade 300, stone aggregate 10x20.
Bê tông cột</v>
          </cell>
          <cell r="E360" t="str">
            <v>Column</v>
          </cell>
          <cell r="F360" t="str">
            <v>NHA_PHU_TRO</v>
          </cell>
          <cell r="G360" t="str">
            <v>Cong_tac_be_tong</v>
          </cell>
          <cell r="H360" t="str">
            <v>Be_tong</v>
          </cell>
          <cell r="I360" t="str">
            <v>Cột</v>
          </cell>
          <cell r="J360" t="str">
            <v>M300</v>
          </cell>
          <cell r="L360" t="str">
            <v>m3</v>
          </cell>
          <cell r="M360">
            <v>1.76176</v>
          </cell>
          <cell r="N360">
            <v>910000</v>
          </cell>
          <cell r="O360">
            <v>110000</v>
          </cell>
          <cell r="P360">
            <v>928200</v>
          </cell>
          <cell r="Q360">
            <v>1635265.632</v>
          </cell>
          <cell r="R360">
            <v>112200</v>
          </cell>
          <cell r="S360">
            <v>197669.47200000001</v>
          </cell>
          <cell r="T360">
            <v>1040400</v>
          </cell>
          <cell r="U360">
            <v>1832935.1040000001</v>
          </cell>
        </row>
        <row r="361">
          <cell r="A361" t="str">
            <v>BoQ_314</v>
          </cell>
          <cell r="B361">
            <v>314</v>
          </cell>
          <cell r="C361">
            <v>298</v>
          </cell>
          <cell r="D361" t="str">
            <v>Concrete grade 300, stone aggregate 10x20.
Bê tông dầm sàn</v>
          </cell>
          <cell r="E361" t="str">
            <v>Beam &amp; Slab</v>
          </cell>
          <cell r="F361" t="str">
            <v>NHA_PHU_TRO</v>
          </cell>
          <cell r="G361" t="str">
            <v>Cong_tac_be_tong</v>
          </cell>
          <cell r="H361" t="str">
            <v>Be_tong</v>
          </cell>
          <cell r="I361" t="str">
            <v>Dầm sàn</v>
          </cell>
          <cell r="J361" t="str">
            <v>M300</v>
          </cell>
          <cell r="L361" t="str">
            <v>m3</v>
          </cell>
          <cell r="M361">
            <v>0</v>
          </cell>
          <cell r="N361">
            <v>910000</v>
          </cell>
          <cell r="O361">
            <v>110000</v>
          </cell>
          <cell r="P361">
            <v>928200</v>
          </cell>
          <cell r="Q361">
            <v>0</v>
          </cell>
          <cell r="R361">
            <v>112200</v>
          </cell>
          <cell r="S361">
            <v>0</v>
          </cell>
          <cell r="T361">
            <v>1040400</v>
          </cell>
          <cell r="U361">
            <v>0</v>
          </cell>
        </row>
        <row r="362">
          <cell r="A362" t="str">
            <v>BoQ_315</v>
          </cell>
          <cell r="B362">
            <v>315</v>
          </cell>
          <cell r="C362">
            <v>299</v>
          </cell>
          <cell r="D362" t="str">
            <v>Concrete grade 300, stone aggregate 10x20.
Bê tông nền</v>
          </cell>
          <cell r="E362" t="str">
            <v>Ground slab</v>
          </cell>
          <cell r="F362" t="str">
            <v>NHA_PHU_TRO</v>
          </cell>
          <cell r="G362" t="str">
            <v>Cong_tac_be_tong</v>
          </cell>
          <cell r="H362" t="str">
            <v>Be_tong</v>
          </cell>
          <cell r="I362" t="str">
            <v>Nền</v>
          </cell>
          <cell r="J362" t="str">
            <v>M300</v>
          </cell>
          <cell r="L362" t="str">
            <v>m3</v>
          </cell>
          <cell r="M362">
            <v>13.78</v>
          </cell>
          <cell r="N362">
            <v>910000</v>
          </cell>
          <cell r="O362">
            <v>110000</v>
          </cell>
          <cell r="P362">
            <v>928200</v>
          </cell>
          <cell r="Q362">
            <v>12790596</v>
          </cell>
          <cell r="R362">
            <v>112200</v>
          </cell>
          <cell r="S362">
            <v>1546116</v>
          </cell>
          <cell r="T362">
            <v>1040400</v>
          </cell>
          <cell r="U362">
            <v>14336712</v>
          </cell>
        </row>
        <row r="363">
          <cell r="A363" t="str">
            <v>BoQ_316</v>
          </cell>
          <cell r="B363">
            <v>316</v>
          </cell>
          <cell r="C363">
            <v>300</v>
          </cell>
          <cell r="D363" t="str">
            <v>Concrete pump
Bơm bê tông</v>
          </cell>
          <cell r="F363" t="str">
            <v>NHA_PHU_TRO</v>
          </cell>
          <cell r="G363" t="str">
            <v>Cong_tac_be_tong</v>
          </cell>
          <cell r="H363" t="str">
            <v>Bom_be_tong</v>
          </cell>
          <cell r="L363" t="str">
            <v>m³</v>
          </cell>
          <cell r="M363">
            <v>0</v>
          </cell>
          <cell r="O363">
            <v>70000</v>
          </cell>
          <cell r="P363">
            <v>0</v>
          </cell>
          <cell r="Q363">
            <v>0</v>
          </cell>
          <cell r="R363">
            <v>71400</v>
          </cell>
          <cell r="S363">
            <v>0</v>
          </cell>
          <cell r="T363">
            <v>71400</v>
          </cell>
          <cell r="U363">
            <v>0</v>
          </cell>
        </row>
        <row r="364">
          <cell r="A364" t="str">
            <v>BoQ_317</v>
          </cell>
          <cell r="B364">
            <v>317</v>
          </cell>
          <cell r="C364">
            <v>301</v>
          </cell>
          <cell r="D364" t="str">
            <v>Concrete curing by pouring wate
Bảo dưỡng bê tông</v>
          </cell>
          <cell r="F364" t="str">
            <v>NHA_PHU_TRO</v>
          </cell>
          <cell r="G364" t="str">
            <v>Cong_tac_be_tong</v>
          </cell>
          <cell r="H364" t="str">
            <v>Bao_duong_be_tong</v>
          </cell>
          <cell r="L364" t="str">
            <v>m³</v>
          </cell>
          <cell r="M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</row>
        <row r="365">
          <cell r="C365">
            <v>3</v>
          </cell>
          <cell r="D365" t="str">
            <v>FORM WORK 
CÔNG TÁC VÁN KHUÔN</v>
          </cell>
        </row>
        <row r="366">
          <cell r="A366" t="str">
            <v>BoQ_318</v>
          </cell>
          <cell r="B366">
            <v>318</v>
          </cell>
          <cell r="C366">
            <v>302</v>
          </cell>
          <cell r="D366" t="str">
            <v>For Lean concrete (Foundation &amp; Ground Beam)
Ván khuôn lót móng, giằng móng</v>
          </cell>
          <cell r="E366" t="str">
            <v>Steel boxes &amp; Plywood form</v>
          </cell>
          <cell r="F366" t="str">
            <v>NHA_PHU_TRO</v>
          </cell>
          <cell r="G366" t="str">
            <v>Cong_tac_van_khuon</v>
          </cell>
          <cell r="H366" t="str">
            <v>Van_khuon_lot</v>
          </cell>
          <cell r="I366" t="str">
            <v>Móng</v>
          </cell>
          <cell r="J366" t="str">
            <v>Gỗ</v>
          </cell>
          <cell r="L366" t="str">
            <v>m²</v>
          </cell>
          <cell r="M366">
            <v>17.231999999999999</v>
          </cell>
          <cell r="N366">
            <v>70000</v>
          </cell>
          <cell r="O366">
            <v>120000</v>
          </cell>
          <cell r="P366">
            <v>71400</v>
          </cell>
          <cell r="Q366">
            <v>1230364.8</v>
          </cell>
          <cell r="R366">
            <v>122400</v>
          </cell>
          <cell r="S366">
            <v>2109196.7999999998</v>
          </cell>
          <cell r="T366">
            <v>193800</v>
          </cell>
          <cell r="U366">
            <v>3339561.6</v>
          </cell>
        </row>
        <row r="367">
          <cell r="A367" t="str">
            <v>BoQ_319</v>
          </cell>
          <cell r="B367">
            <v>319</v>
          </cell>
          <cell r="C367">
            <v>303</v>
          </cell>
          <cell r="D367" t="str">
            <v>For concrete (Foundation &amp; Ground Beam)
Ván khuôn móng, giằng móng</v>
          </cell>
          <cell r="E367" t="str">
            <v>Steel boxes &amp; Plywood form</v>
          </cell>
          <cell r="F367" t="str">
            <v>NHA_PHU_TRO</v>
          </cell>
          <cell r="G367" t="str">
            <v>Cong_tac_van_khuon</v>
          </cell>
          <cell r="H367" t="str">
            <v>Van_khuon</v>
          </cell>
          <cell r="I367" t="str">
            <v>Móng</v>
          </cell>
          <cell r="J367" t="str">
            <v>Gỗ</v>
          </cell>
          <cell r="L367" t="str">
            <v>m²</v>
          </cell>
          <cell r="M367">
            <v>47.663999999999994</v>
          </cell>
          <cell r="N367">
            <v>70000</v>
          </cell>
          <cell r="O367">
            <v>120000</v>
          </cell>
          <cell r="P367">
            <v>71400</v>
          </cell>
          <cell r="Q367">
            <v>3403209.5999999996</v>
          </cell>
          <cell r="R367">
            <v>122400</v>
          </cell>
          <cell r="S367">
            <v>5834073.5999999996</v>
          </cell>
          <cell r="T367">
            <v>193800</v>
          </cell>
          <cell r="U367">
            <v>9237283.1999999993</v>
          </cell>
        </row>
        <row r="368">
          <cell r="A368" t="str">
            <v>BoQ_320</v>
          </cell>
          <cell r="B368">
            <v>320</v>
          </cell>
          <cell r="C368">
            <v>304</v>
          </cell>
          <cell r="D368" t="str">
            <v>For concrete (Calumn)
Ván khuôn cột</v>
          </cell>
          <cell r="E368" t="str">
            <v>Steel boxes &amp; Plywood form</v>
          </cell>
          <cell r="F368" t="str">
            <v>NHA_PHU_TRO</v>
          </cell>
          <cell r="G368" t="str">
            <v>Cong_tac_van_khuon</v>
          </cell>
          <cell r="H368" t="str">
            <v>Van_khuon</v>
          </cell>
          <cell r="I368" t="str">
            <v>Cột</v>
          </cell>
          <cell r="J368" t="str">
            <v>Gỗ</v>
          </cell>
          <cell r="L368" t="str">
            <v>m²</v>
          </cell>
          <cell r="M368">
            <v>29.567999999999998</v>
          </cell>
          <cell r="N368">
            <v>70000</v>
          </cell>
          <cell r="O368">
            <v>120000</v>
          </cell>
          <cell r="P368">
            <v>71400</v>
          </cell>
          <cell r="Q368">
            <v>2111155.1999999997</v>
          </cell>
          <cell r="R368">
            <v>122400</v>
          </cell>
          <cell r="S368">
            <v>3619123.1999999997</v>
          </cell>
          <cell r="T368">
            <v>193800</v>
          </cell>
          <cell r="U368">
            <v>5730278.3999999994</v>
          </cell>
        </row>
        <row r="369">
          <cell r="A369" t="str">
            <v>BoQ_321</v>
          </cell>
          <cell r="B369">
            <v>321</v>
          </cell>
          <cell r="C369">
            <v>305</v>
          </cell>
          <cell r="D369" t="str">
            <v>For concrete (Beam &amp; Slab)
Ván khuôn dầm, sàn</v>
          </cell>
          <cell r="E369" t="str">
            <v>Steel boxes &amp; Plywood form</v>
          </cell>
          <cell r="F369" t="str">
            <v>NHA_PHU_TRO</v>
          </cell>
          <cell r="G369" t="str">
            <v>Cong_tac_van_khuon</v>
          </cell>
          <cell r="H369" t="str">
            <v>Van_khuon</v>
          </cell>
          <cell r="I369" t="str">
            <v>Dầm, sàn</v>
          </cell>
          <cell r="J369" t="str">
            <v>Gỗ</v>
          </cell>
          <cell r="L369" t="str">
            <v>m2</v>
          </cell>
          <cell r="M369">
            <v>0</v>
          </cell>
          <cell r="N369">
            <v>70000</v>
          </cell>
          <cell r="O369">
            <v>120000</v>
          </cell>
          <cell r="P369">
            <v>71400</v>
          </cell>
          <cell r="Q369">
            <v>0</v>
          </cell>
          <cell r="R369">
            <v>122400</v>
          </cell>
          <cell r="S369">
            <v>0</v>
          </cell>
          <cell r="T369">
            <v>193800</v>
          </cell>
          <cell r="U369">
            <v>0</v>
          </cell>
        </row>
        <row r="370">
          <cell r="C370">
            <v>4</v>
          </cell>
          <cell r="D370" t="str">
            <v>REBAR WORK
CÔNG TÁC THÉP</v>
          </cell>
        </row>
        <row r="371">
          <cell r="A371" t="str">
            <v>BoQ_322</v>
          </cell>
          <cell r="B371">
            <v>322</v>
          </cell>
          <cell r="C371">
            <v>306</v>
          </cell>
          <cell r="D371" t="str">
            <v>Manufacture and assemble of reinforcement for Foundation, Base Column, Ground beam , Ground slab &amp; Roof
Thép cho toàn bộ cấu kiện</v>
          </cell>
          <cell r="E371" t="str">
            <v>CB-240 &amp; CB-300V</v>
          </cell>
          <cell r="F371" t="str">
            <v>NHA_PHU_TRO</v>
          </cell>
          <cell r="G371" t="str">
            <v>Cong_tac_cot_thep</v>
          </cell>
          <cell r="H371" t="str">
            <v>Cot_thep</v>
          </cell>
          <cell r="I371" t="str">
            <v>Móng</v>
          </cell>
          <cell r="L371" t="str">
            <v>ton</v>
          </cell>
          <cell r="M371">
            <v>1.5340821679999996</v>
          </cell>
          <cell r="N371">
            <v>14500000</v>
          </cell>
          <cell r="O371">
            <v>2300000</v>
          </cell>
          <cell r="P371">
            <v>14790000</v>
          </cell>
          <cell r="Q371">
            <v>22689075.264719993</v>
          </cell>
          <cell r="R371">
            <v>2346000</v>
          </cell>
          <cell r="S371">
            <v>3598956.7661279989</v>
          </cell>
          <cell r="T371">
            <v>17136000</v>
          </cell>
          <cell r="U371">
            <v>26288032.030847993</v>
          </cell>
        </row>
        <row r="372">
          <cell r="A372" t="str">
            <v>BoQ_323</v>
          </cell>
          <cell r="B372">
            <v>323</v>
          </cell>
          <cell r="D372" t="str">
            <v>Khoan cấy thép giằng móng đỡ tường và móng hiện trạng 
Drilling and transplanting steel to support the existing wall and foundation</v>
          </cell>
          <cell r="E372" t="str">
            <v>CB-240T &amp; CB-300V</v>
          </cell>
          <cell r="F372" t="str">
            <v>NHA_PHU_TRO</v>
          </cell>
          <cell r="G372" t="str">
            <v>Cong_tac_cot_thep</v>
          </cell>
          <cell r="H372" t="str">
            <v>Khoan_cay_thep</v>
          </cell>
          <cell r="I372" t="str">
            <v>Móng</v>
          </cell>
          <cell r="L372" t="str">
            <v>mũi</v>
          </cell>
          <cell r="M372">
            <v>36</v>
          </cell>
          <cell r="N372">
            <v>450000</v>
          </cell>
          <cell r="O372">
            <v>150000</v>
          </cell>
          <cell r="P372">
            <v>459000</v>
          </cell>
          <cell r="Q372">
            <v>16524000</v>
          </cell>
          <cell r="R372">
            <v>153000</v>
          </cell>
          <cell r="S372">
            <v>5508000</v>
          </cell>
          <cell r="T372">
            <v>612000</v>
          </cell>
          <cell r="U372">
            <v>22032000</v>
          </cell>
        </row>
        <row r="373">
          <cell r="C373">
            <v>5</v>
          </cell>
          <cell r="D373" t="str">
            <v>BRICK WORKS 
CÔNG TÁC XÂY</v>
          </cell>
        </row>
        <row r="374">
          <cell r="A374" t="str">
            <v>BoQ_324</v>
          </cell>
          <cell r="B374">
            <v>324</v>
          </cell>
          <cell r="C374">
            <v>307</v>
          </cell>
          <cell r="D374" t="str">
            <v>Brick wall 220mm thk.
Xây tường 220 mm</v>
          </cell>
          <cell r="E374" t="str">
            <v>Solid brick with motar grade M75</v>
          </cell>
          <cell r="F374" t="str">
            <v>NHA_PHU_TRO</v>
          </cell>
          <cell r="G374" t="str">
            <v>Cong_tac_xay_trat</v>
          </cell>
          <cell r="H374" t="str">
            <v>Xay_tuong</v>
          </cell>
          <cell r="I374" t="str">
            <v>Tường</v>
          </cell>
          <cell r="J374" t="str">
            <v>Vữa</v>
          </cell>
          <cell r="K374" t="str">
            <v>M75</v>
          </cell>
          <cell r="L374" t="str">
            <v>m3</v>
          </cell>
          <cell r="M374">
            <v>67.451999999999998</v>
          </cell>
          <cell r="N374">
            <v>950000</v>
          </cell>
          <cell r="O374">
            <v>700000</v>
          </cell>
          <cell r="P374">
            <v>969000</v>
          </cell>
          <cell r="Q374">
            <v>65360988</v>
          </cell>
          <cell r="R374">
            <v>714000</v>
          </cell>
          <cell r="S374">
            <v>48160728</v>
          </cell>
          <cell r="T374">
            <v>1683000</v>
          </cell>
          <cell r="U374">
            <v>113521716</v>
          </cell>
        </row>
        <row r="375">
          <cell r="C375">
            <v>6</v>
          </cell>
          <cell r="D375" t="str">
            <v xml:space="preserve"> CÔNG TÁC MÁI PHÒNG BƠM CỨU HỎA
ROOFING WORK FOR PUMP ROOM</v>
          </cell>
        </row>
        <row r="376">
          <cell r="A376" t="str">
            <v>BoQ_325</v>
          </cell>
          <cell r="B376">
            <v>325</v>
          </cell>
          <cell r="C376">
            <v>308</v>
          </cell>
          <cell r="D376" t="str">
            <v>Tôn mái dày 0.4mm
Metal sheet roof, 0,4mm thickness</v>
          </cell>
          <cell r="F376" t="str">
            <v>NHA_PHU_TRO</v>
          </cell>
          <cell r="G376" t="str">
            <v>Cong_tac_mai</v>
          </cell>
          <cell r="H376" t="str">
            <v>Lop_mai</v>
          </cell>
          <cell r="I376" t="str">
            <v>Mái</v>
          </cell>
          <cell r="J376" t="str">
            <v>Tôn</v>
          </cell>
          <cell r="K376" t="str">
            <v>Thk 0.4mm</v>
          </cell>
          <cell r="L376" t="str">
            <v>m²</v>
          </cell>
          <cell r="M376">
            <v>123</v>
          </cell>
          <cell r="N376">
            <v>145000</v>
          </cell>
          <cell r="O376">
            <v>65000</v>
          </cell>
          <cell r="P376">
            <v>147900</v>
          </cell>
          <cell r="Q376">
            <v>18191700</v>
          </cell>
          <cell r="R376">
            <v>66300</v>
          </cell>
          <cell r="S376">
            <v>8154900</v>
          </cell>
          <cell r="T376">
            <v>214200</v>
          </cell>
          <cell r="U376">
            <v>26346600</v>
          </cell>
        </row>
        <row r="377">
          <cell r="A377" t="str">
            <v>BoQ_326</v>
          </cell>
          <cell r="B377">
            <v>326</v>
          </cell>
          <cell r="C377">
            <v>309</v>
          </cell>
          <cell r="D377" t="str">
            <v>Steel frame , Pluin
Kèo xà gồ mái</v>
          </cell>
          <cell r="F377" t="str">
            <v>NHA_PHU_TRO</v>
          </cell>
          <cell r="G377" t="str">
            <v>Cong_tac_ket_cau_thep</v>
          </cell>
          <cell r="H377" t="str">
            <v>Ket_cau_thep</v>
          </cell>
          <cell r="I377" t="str">
            <v>Xa_go</v>
          </cell>
          <cell r="L377" t="str">
            <v>kg</v>
          </cell>
          <cell r="M377">
            <v>563.78699999999992</v>
          </cell>
          <cell r="N377">
            <v>20500</v>
          </cell>
          <cell r="O377">
            <v>2400</v>
          </cell>
          <cell r="P377">
            <v>20910</v>
          </cell>
          <cell r="Q377">
            <v>11788786.169999998</v>
          </cell>
          <cell r="R377">
            <v>2448</v>
          </cell>
          <cell r="S377">
            <v>1380150.5759999999</v>
          </cell>
          <cell r="T377">
            <v>23358</v>
          </cell>
          <cell r="U377">
            <v>13168936.745999997</v>
          </cell>
        </row>
        <row r="378">
          <cell r="A378" t="str">
            <v>BoQ_327</v>
          </cell>
          <cell r="B378">
            <v>327</v>
          </cell>
          <cell r="C378">
            <v>310</v>
          </cell>
          <cell r="D378" t="str">
            <v>C/S Flashing ridge lower
Diềm đỉnh tường</v>
          </cell>
          <cell r="F378" t="str">
            <v>NHA_PHU_TRO</v>
          </cell>
          <cell r="G378" t="str">
            <v>Cong_tac_mai</v>
          </cell>
          <cell r="H378" t="str">
            <v>Diem_mai</v>
          </cell>
          <cell r="I378" t="str">
            <v>Mái</v>
          </cell>
          <cell r="J378" t="str">
            <v>Tôn</v>
          </cell>
          <cell r="L378" t="str">
            <v>md</v>
          </cell>
          <cell r="M378">
            <v>78</v>
          </cell>
          <cell r="N378">
            <v>20500</v>
          </cell>
          <cell r="O378">
            <v>2400</v>
          </cell>
          <cell r="P378">
            <v>20910</v>
          </cell>
          <cell r="Q378">
            <v>1630980</v>
          </cell>
          <cell r="R378">
            <v>2448</v>
          </cell>
          <cell r="S378">
            <v>190944</v>
          </cell>
          <cell r="T378">
            <v>23358</v>
          </cell>
          <cell r="U378">
            <v>1821924</v>
          </cell>
        </row>
        <row r="379">
          <cell r="A379" t="str">
            <v>BoQ_328</v>
          </cell>
          <cell r="B379">
            <v>328</v>
          </cell>
          <cell r="C379">
            <v>311</v>
          </cell>
          <cell r="D379" t="str">
            <v>Máng nước inox
SUS Gutter</v>
          </cell>
          <cell r="E379" t="str">
            <v>Thk 1mm</v>
          </cell>
          <cell r="F379" t="str">
            <v>NHA_PHU_TRO</v>
          </cell>
          <cell r="G379" t="str">
            <v>Cong_tac_mai</v>
          </cell>
          <cell r="H379" t="str">
            <v>Mang_nuoc</v>
          </cell>
          <cell r="I379" t="str">
            <v>Mái</v>
          </cell>
          <cell r="J379" t="str">
            <v>Inox</v>
          </cell>
          <cell r="L379" t="str">
            <v>m</v>
          </cell>
          <cell r="M379">
            <v>35</v>
          </cell>
          <cell r="N379">
            <v>185000</v>
          </cell>
          <cell r="O379">
            <v>50000</v>
          </cell>
          <cell r="P379">
            <v>188700</v>
          </cell>
          <cell r="Q379">
            <v>6604500</v>
          </cell>
          <cell r="R379">
            <v>51000</v>
          </cell>
          <cell r="S379">
            <v>1785000</v>
          </cell>
          <cell r="T379">
            <v>239700</v>
          </cell>
          <cell r="U379">
            <v>8389500</v>
          </cell>
        </row>
        <row r="380">
          <cell r="A380" t="str">
            <v>BoQ_329</v>
          </cell>
          <cell r="B380">
            <v>329</v>
          </cell>
          <cell r="C380">
            <v>312</v>
          </cell>
          <cell r="D380" t="str">
            <v>Giá đỡ máng nước
Gutter Supporter</v>
          </cell>
          <cell r="E380" t="str">
            <v>By L bar</v>
          </cell>
          <cell r="F380" t="str">
            <v>NHA_PHU_TRO</v>
          </cell>
          <cell r="G380" t="str">
            <v>Cong_tac_mai</v>
          </cell>
          <cell r="H380" t="str">
            <v>Phu_kien</v>
          </cell>
          <cell r="I380" t="str">
            <v>Mái</v>
          </cell>
          <cell r="J380" t="str">
            <v>Gía đợ</v>
          </cell>
          <cell r="L380" t="str">
            <v>ea</v>
          </cell>
          <cell r="M380">
            <v>70</v>
          </cell>
          <cell r="N380">
            <v>150000</v>
          </cell>
          <cell r="O380">
            <v>50000</v>
          </cell>
          <cell r="P380">
            <v>153000</v>
          </cell>
          <cell r="Q380">
            <v>10710000</v>
          </cell>
          <cell r="R380">
            <v>51000</v>
          </cell>
          <cell r="S380">
            <v>3570000</v>
          </cell>
          <cell r="T380">
            <v>204000</v>
          </cell>
          <cell r="U380">
            <v>14280000</v>
          </cell>
        </row>
        <row r="381">
          <cell r="A381" t="str">
            <v>BoQ_330</v>
          </cell>
          <cell r="B381">
            <v>330</v>
          </cell>
          <cell r="C381">
            <v>313</v>
          </cell>
          <cell r="D381" t="str">
            <v>Vật tư phụ
Sub-Materials</v>
          </cell>
          <cell r="F381" t="str">
            <v>NHA_PHU_TRO</v>
          </cell>
          <cell r="G381" t="str">
            <v>Cong_tac_mai</v>
          </cell>
          <cell r="H381" t="str">
            <v>Vat_tu_phu</v>
          </cell>
          <cell r="I381" t="str">
            <v>Mái</v>
          </cell>
          <cell r="J381" t="str">
            <v>Gía đợ</v>
          </cell>
          <cell r="L381" t="str">
            <v>m2</v>
          </cell>
          <cell r="M381">
            <v>123</v>
          </cell>
          <cell r="N381">
            <v>95000</v>
          </cell>
          <cell r="O381">
            <v>55000</v>
          </cell>
          <cell r="P381">
            <v>96900</v>
          </cell>
          <cell r="Q381">
            <v>11918700</v>
          </cell>
          <cell r="R381">
            <v>56100</v>
          </cell>
          <cell r="S381">
            <v>6900300</v>
          </cell>
          <cell r="T381">
            <v>153000</v>
          </cell>
          <cell r="U381">
            <v>18819000</v>
          </cell>
        </row>
        <row r="382">
          <cell r="A382" t="str">
            <v>BoQ_331</v>
          </cell>
          <cell r="B382">
            <v>331</v>
          </cell>
          <cell r="C382">
            <v>314</v>
          </cell>
          <cell r="D382" t="str">
            <v>UPVC Down Spout, D90
Ống thoát nước UPVC</v>
          </cell>
          <cell r="E382" t="str">
            <v>Tiền Phong, C2</v>
          </cell>
          <cell r="F382" t="str">
            <v>NHA_PHU_TRO</v>
          </cell>
          <cell r="G382" t="str">
            <v>Cong_tac_mai</v>
          </cell>
          <cell r="H382" t="str">
            <v>Thoat_nuoc</v>
          </cell>
          <cell r="I382" t="str">
            <v>Mái</v>
          </cell>
          <cell r="J382" t="str">
            <v>UPVC</v>
          </cell>
          <cell r="K382" t="str">
            <v>D90</v>
          </cell>
          <cell r="L382" t="str">
            <v>m</v>
          </cell>
          <cell r="M382">
            <v>35</v>
          </cell>
          <cell r="N382">
            <v>95000</v>
          </cell>
          <cell r="O382">
            <v>55000</v>
          </cell>
          <cell r="P382">
            <v>96900</v>
          </cell>
          <cell r="Q382">
            <v>3391500</v>
          </cell>
          <cell r="R382">
            <v>56100</v>
          </cell>
          <cell r="S382">
            <v>1963500</v>
          </cell>
          <cell r="T382">
            <v>153000</v>
          </cell>
          <cell r="U382">
            <v>5355000</v>
          </cell>
        </row>
        <row r="383">
          <cell r="A383" t="str">
            <v>BoQ_332</v>
          </cell>
          <cell r="B383">
            <v>332</v>
          </cell>
          <cell r="C383">
            <v>315</v>
          </cell>
          <cell r="D383" t="str">
            <v>Côn, cút ống thoát 
Down Spout Elbow</v>
          </cell>
          <cell r="F383" t="str">
            <v>NHA_PHU_TRO</v>
          </cell>
          <cell r="G383" t="str">
            <v>Cong_tac_mai</v>
          </cell>
          <cell r="H383" t="str">
            <v>Thoat_nuoc</v>
          </cell>
          <cell r="I383" t="str">
            <v>Mái</v>
          </cell>
          <cell r="J383" t="str">
            <v>Phụ kiện</v>
          </cell>
          <cell r="L383" t="str">
            <v>ea</v>
          </cell>
          <cell r="M383">
            <v>21</v>
          </cell>
          <cell r="N383">
            <v>95000</v>
          </cell>
          <cell r="O383">
            <v>55000</v>
          </cell>
          <cell r="P383">
            <v>96900</v>
          </cell>
          <cell r="Q383">
            <v>2034900</v>
          </cell>
          <cell r="R383">
            <v>56100</v>
          </cell>
          <cell r="S383">
            <v>1178100</v>
          </cell>
          <cell r="T383">
            <v>153000</v>
          </cell>
          <cell r="U383">
            <v>3213000</v>
          </cell>
        </row>
        <row r="384">
          <cell r="A384" t="str">
            <v>BoQ_333</v>
          </cell>
          <cell r="B384">
            <v>333</v>
          </cell>
          <cell r="C384">
            <v>316</v>
          </cell>
          <cell r="D384" t="str">
            <v>Phễu tôn thu 
Accessories</v>
          </cell>
          <cell r="F384" t="str">
            <v>NHA_PHU_TRO</v>
          </cell>
          <cell r="G384" t="str">
            <v>Cong_tac_mai</v>
          </cell>
          <cell r="H384" t="str">
            <v>Thoat_nuoc</v>
          </cell>
          <cell r="I384" t="str">
            <v>Mái</v>
          </cell>
          <cell r="J384" t="str">
            <v>Phụ kiện</v>
          </cell>
          <cell r="L384" t="str">
            <v>cái</v>
          </cell>
          <cell r="M384">
            <v>7</v>
          </cell>
          <cell r="N384">
            <v>98000</v>
          </cell>
          <cell r="O384">
            <v>15000</v>
          </cell>
          <cell r="P384">
            <v>99960</v>
          </cell>
          <cell r="Q384">
            <v>699720</v>
          </cell>
          <cell r="R384">
            <v>15300</v>
          </cell>
          <cell r="S384">
            <v>107100</v>
          </cell>
          <cell r="T384">
            <v>115260</v>
          </cell>
          <cell r="U384">
            <v>806820</v>
          </cell>
        </row>
        <row r="385">
          <cell r="A385" t="str">
            <v>BoQ_334</v>
          </cell>
          <cell r="B385">
            <v>334</v>
          </cell>
          <cell r="C385">
            <v>317</v>
          </cell>
          <cell r="D385" t="str">
            <v xml:space="preserve">Quả cầu chắn rác
Rubbish dome grating </v>
          </cell>
          <cell r="F385" t="str">
            <v>NHA_PHU_TRO</v>
          </cell>
          <cell r="G385" t="str">
            <v>Cong_tac_mai</v>
          </cell>
          <cell r="H385" t="str">
            <v>Thoat_nuoc</v>
          </cell>
          <cell r="I385" t="str">
            <v>Mái</v>
          </cell>
          <cell r="J385" t="str">
            <v>Cầu chắn rác</v>
          </cell>
          <cell r="L385" t="str">
            <v>cái</v>
          </cell>
          <cell r="M385">
            <v>7</v>
          </cell>
          <cell r="N385">
            <v>105000</v>
          </cell>
          <cell r="O385">
            <v>2500</v>
          </cell>
          <cell r="P385">
            <v>107100</v>
          </cell>
          <cell r="Q385">
            <v>749700</v>
          </cell>
          <cell r="R385">
            <v>2550</v>
          </cell>
          <cell r="S385">
            <v>17850</v>
          </cell>
          <cell r="T385">
            <v>109650</v>
          </cell>
          <cell r="U385">
            <v>767550</v>
          </cell>
        </row>
        <row r="386">
          <cell r="A386" t="str">
            <v>BoQ_335</v>
          </cell>
          <cell r="B386">
            <v>335</v>
          </cell>
          <cell r="C386">
            <v>318</v>
          </cell>
          <cell r="D386" t="str">
            <v>Vận chuyển
Transportation</v>
          </cell>
          <cell r="F386" t="str">
            <v>NHA_PHU_TRO</v>
          </cell>
          <cell r="G386" t="str">
            <v>Cong_tac_mai</v>
          </cell>
          <cell r="H386" t="str">
            <v>Van_chuyen</v>
          </cell>
          <cell r="L386" t="str">
            <v>m2</v>
          </cell>
          <cell r="M386">
            <v>123</v>
          </cell>
          <cell r="N386">
            <v>5000</v>
          </cell>
          <cell r="P386">
            <v>5100</v>
          </cell>
          <cell r="Q386">
            <v>627300</v>
          </cell>
          <cell r="R386">
            <v>0</v>
          </cell>
          <cell r="S386">
            <v>0</v>
          </cell>
          <cell r="T386">
            <v>5100</v>
          </cell>
          <cell r="U386">
            <v>627300</v>
          </cell>
        </row>
        <row r="387">
          <cell r="C387">
            <v>7</v>
          </cell>
          <cell r="D387" t="str">
            <v>PLASTERING, PAINTING WORKS
CÔN TÁC TRÁT, SƠN</v>
          </cell>
        </row>
        <row r="388">
          <cell r="A388" t="str">
            <v>BoQ_336</v>
          </cell>
          <cell r="B388">
            <v>336</v>
          </cell>
          <cell r="C388">
            <v>319</v>
          </cell>
          <cell r="D388" t="str">
            <v>Plastering for wall surfaces 1.5cm.
Trát tường vữa dày 1,5 cm</v>
          </cell>
          <cell r="E388" t="str">
            <v>Mortar grade 75</v>
          </cell>
          <cell r="F388" t="str">
            <v>NHA_PHU_TRO</v>
          </cell>
          <cell r="G388" t="str">
            <v>Cong_tac_xay_trat</v>
          </cell>
          <cell r="H388" t="str">
            <v>Cong_tac_xay_trat</v>
          </cell>
          <cell r="I388" t="str">
            <v>Tường</v>
          </cell>
          <cell r="J388" t="str">
            <v>Vữa</v>
          </cell>
          <cell r="K388" t="str">
            <v>M75</v>
          </cell>
          <cell r="L388" t="str">
            <v>m2</v>
          </cell>
          <cell r="M388">
            <v>613.19999999999993</v>
          </cell>
          <cell r="N388">
            <v>65000</v>
          </cell>
          <cell r="O388">
            <v>85000</v>
          </cell>
          <cell r="P388">
            <v>66300</v>
          </cell>
          <cell r="Q388">
            <v>40655159.999999993</v>
          </cell>
          <cell r="R388">
            <v>86700</v>
          </cell>
          <cell r="S388">
            <v>53164439.999999993</v>
          </cell>
          <cell r="T388">
            <v>153000</v>
          </cell>
          <cell r="U388">
            <v>93819599.999999985</v>
          </cell>
        </row>
        <row r="389">
          <cell r="A389" t="str">
            <v>BoQ_337</v>
          </cell>
          <cell r="B389">
            <v>337</v>
          </cell>
          <cell r="C389">
            <v>320</v>
          </cell>
          <cell r="D389" t="str">
            <v xml:space="preserve">Emulsion Paint for wall 
Sơn tường, </v>
          </cell>
          <cell r="F389" t="str">
            <v>NHA_PHU_TRO</v>
          </cell>
          <cell r="G389" t="str">
            <v>Cong_tac_son</v>
          </cell>
          <cell r="H389" t="str">
            <v>Cong_tac_son</v>
          </cell>
          <cell r="I389" t="str">
            <v>Tường</v>
          </cell>
          <cell r="J389" t="str">
            <v>Sơn nước</v>
          </cell>
          <cell r="L389" t="str">
            <v>m2</v>
          </cell>
          <cell r="M389">
            <v>1180.3599999999999</v>
          </cell>
          <cell r="N389">
            <v>40000</v>
          </cell>
          <cell r="O389">
            <v>45000</v>
          </cell>
          <cell r="P389">
            <v>40800</v>
          </cell>
          <cell r="Q389">
            <v>48158687.999999993</v>
          </cell>
          <cell r="R389">
            <v>45900</v>
          </cell>
          <cell r="S389">
            <v>54178523.999999993</v>
          </cell>
          <cell r="T389">
            <v>86700</v>
          </cell>
          <cell r="U389">
            <v>102337211.99999999</v>
          </cell>
        </row>
        <row r="390">
          <cell r="C390">
            <v>8</v>
          </cell>
          <cell r="D390" t="str">
            <v>DOORS AND WINDOWS
CÔNG TÁC CỬA</v>
          </cell>
        </row>
        <row r="391">
          <cell r="A391" t="str">
            <v>BoQ_338</v>
          </cell>
          <cell r="B391">
            <v>338</v>
          </cell>
          <cell r="C391">
            <v>321</v>
          </cell>
          <cell r="D391" t="str">
            <v>Alumnium glass door, 6,38mm safety glass, 
Cửa nhôm hệ xingfa  kính Hải long 6,38 mm</v>
          </cell>
          <cell r="E391" t="str">
            <v>Xingfa</v>
          </cell>
          <cell r="F391" t="str">
            <v>NHA_PHU_TRO</v>
          </cell>
          <cell r="G391" t="str">
            <v>Cong_tac_cua_di_cua_so</v>
          </cell>
          <cell r="H391" t="str">
            <v>Cua_di</v>
          </cell>
          <cell r="I391" t="str">
            <v>Tường</v>
          </cell>
          <cell r="J391" t="str">
            <v>Xingfa</v>
          </cell>
          <cell r="K391" t="str">
            <v>6,38mm</v>
          </cell>
          <cell r="L391" t="str">
            <v>m2</v>
          </cell>
          <cell r="M391">
            <v>37.619999999999997</v>
          </cell>
          <cell r="N391">
            <v>1350000</v>
          </cell>
          <cell r="O391">
            <v>250000</v>
          </cell>
          <cell r="P391">
            <v>1377000</v>
          </cell>
          <cell r="Q391">
            <v>51802740</v>
          </cell>
          <cell r="R391">
            <v>255000</v>
          </cell>
          <cell r="S391">
            <v>9593100</v>
          </cell>
          <cell r="T391">
            <v>1632000</v>
          </cell>
          <cell r="U391">
            <v>61395839.999999993</v>
          </cell>
        </row>
        <row r="392">
          <cell r="A392" t="str">
            <v>BoQ_339</v>
          </cell>
          <cell r="B392">
            <v>339</v>
          </cell>
          <cell r="C392">
            <v>322</v>
          </cell>
          <cell r="D392" t="str">
            <v>Cửa lam nhôm thoáng
Louver</v>
          </cell>
          <cell r="F392" t="str">
            <v>NHA_PHU_TRO</v>
          </cell>
          <cell r="G392" t="str">
            <v>Cong_tac_cua_di_cua_so</v>
          </cell>
          <cell r="H392" t="str">
            <v>Cua_so</v>
          </cell>
          <cell r="I392" t="str">
            <v>Tường</v>
          </cell>
          <cell r="J392" t="str">
            <v>Xingfa</v>
          </cell>
          <cell r="L392" t="str">
            <v>m2</v>
          </cell>
          <cell r="M392">
            <v>17.919999999999998</v>
          </cell>
          <cell r="N392">
            <v>750000</v>
          </cell>
          <cell r="O392">
            <v>250000</v>
          </cell>
          <cell r="P392">
            <v>765000</v>
          </cell>
          <cell r="Q392">
            <v>13708799.999999998</v>
          </cell>
          <cell r="R392">
            <v>255000</v>
          </cell>
          <cell r="S392">
            <v>4569599.9999999991</v>
          </cell>
          <cell r="T392">
            <v>1020000</v>
          </cell>
          <cell r="U392">
            <v>18278399.999999996</v>
          </cell>
        </row>
        <row r="393">
          <cell r="A393" t="str">
            <v>BoQ_340</v>
          </cell>
          <cell r="B393">
            <v>340</v>
          </cell>
          <cell r="C393">
            <v>323</v>
          </cell>
          <cell r="D393" t="str">
            <v>Door accessories
Phụ kiện cửa</v>
          </cell>
          <cell r="E393" t="str">
            <v>Kinlong</v>
          </cell>
          <cell r="F393" t="str">
            <v>NHA_PHU_TRO</v>
          </cell>
          <cell r="G393" t="str">
            <v>Cong_tac_cua_di_cua_so</v>
          </cell>
          <cell r="H393" t="str">
            <v>Phu_kien</v>
          </cell>
          <cell r="I393" t="str">
            <v>Tường</v>
          </cell>
          <cell r="L393" t="str">
            <v>bộ</v>
          </cell>
          <cell r="M393">
            <v>8</v>
          </cell>
          <cell r="N393">
            <v>500000</v>
          </cell>
          <cell r="P393">
            <v>510000</v>
          </cell>
          <cell r="Q393">
            <v>4080000</v>
          </cell>
          <cell r="R393">
            <v>0</v>
          </cell>
          <cell r="S393">
            <v>0</v>
          </cell>
          <cell r="T393">
            <v>510000</v>
          </cell>
          <cell r="U393">
            <v>4080000</v>
          </cell>
        </row>
        <row r="394">
          <cell r="C394">
            <v>6</v>
          </cell>
          <cell r="D394" t="str">
            <v xml:space="preserve"> GUARD HOUSE , NHÀ BẢO VỆ CỔNG</v>
          </cell>
        </row>
        <row r="395">
          <cell r="C395">
            <v>1</v>
          </cell>
          <cell r="D395" t="str">
            <v>EARTH WORK
CÔNG TÁC ĐẤT</v>
          </cell>
        </row>
        <row r="396">
          <cell r="A396" t="str">
            <v>BoQ_341</v>
          </cell>
          <cell r="B396">
            <v>341</v>
          </cell>
          <cell r="C396">
            <v>324</v>
          </cell>
          <cell r="D396" t="str">
            <v>Excavation 
Đào đất</v>
          </cell>
          <cell r="F396" t="str">
            <v>NHA_BAO_VE</v>
          </cell>
          <cell r="G396" t="str">
            <v>CONG_TAC_DAT</v>
          </cell>
          <cell r="H396" t="str">
            <v>Dao_dat</v>
          </cell>
          <cell r="I396" t="str">
            <v>Móng</v>
          </cell>
          <cell r="J396" t="str">
            <v>Đất</v>
          </cell>
          <cell r="L396" t="str">
            <v>m3</v>
          </cell>
          <cell r="M396">
            <v>0</v>
          </cell>
          <cell r="O396">
            <v>22000</v>
          </cell>
          <cell r="P396">
            <v>0</v>
          </cell>
          <cell r="Q396">
            <v>0</v>
          </cell>
          <cell r="R396">
            <v>22440</v>
          </cell>
          <cell r="S396">
            <v>0</v>
          </cell>
          <cell r="T396">
            <v>22440</v>
          </cell>
          <cell r="U396">
            <v>0</v>
          </cell>
        </row>
        <row r="397">
          <cell r="A397" t="str">
            <v>BoQ_342</v>
          </cell>
          <cell r="B397">
            <v>342</v>
          </cell>
          <cell r="C397">
            <v>325</v>
          </cell>
          <cell r="D397" t="str">
            <v>Compact foundation by hand 
Đầm nền móng bằng đầm cóc</v>
          </cell>
          <cell r="F397" t="str">
            <v>NHA_BAO_VE</v>
          </cell>
          <cell r="G397" t="str">
            <v>CONG_TAC_DAT</v>
          </cell>
          <cell r="H397" t="str">
            <v>Dam_dat</v>
          </cell>
          <cell r="I397" t="str">
            <v>Móng</v>
          </cell>
          <cell r="J397" t="str">
            <v>Đất</v>
          </cell>
          <cell r="L397" t="str">
            <v>m2</v>
          </cell>
          <cell r="M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</row>
        <row r="398">
          <cell r="A398" t="str">
            <v>BoQ_343</v>
          </cell>
          <cell r="B398">
            <v>343</v>
          </cell>
          <cell r="C398">
            <v>326</v>
          </cell>
          <cell r="D398" t="str">
            <v>Backfilling sand for foundation
Lấp cát móng</v>
          </cell>
          <cell r="E398" t="str">
            <v>Black sand
 Cát đen</v>
          </cell>
          <cell r="F398" t="str">
            <v>NHA_BAO_VE</v>
          </cell>
          <cell r="G398" t="str">
            <v>CONG_TAC_DAT</v>
          </cell>
          <cell r="H398" t="str">
            <v>Lap_cat</v>
          </cell>
          <cell r="I398" t="str">
            <v>Móng</v>
          </cell>
          <cell r="J398" t="str">
            <v>Cát</v>
          </cell>
          <cell r="L398" t="str">
            <v>m3</v>
          </cell>
          <cell r="M398">
            <v>0</v>
          </cell>
          <cell r="N398">
            <v>316800</v>
          </cell>
          <cell r="O398">
            <v>25000</v>
          </cell>
          <cell r="P398">
            <v>323136</v>
          </cell>
          <cell r="Q398">
            <v>0</v>
          </cell>
          <cell r="R398">
            <v>25500</v>
          </cell>
          <cell r="S398">
            <v>0</v>
          </cell>
          <cell r="T398">
            <v>348636</v>
          </cell>
          <cell r="U398">
            <v>0</v>
          </cell>
        </row>
        <row r="399">
          <cell r="A399" t="str">
            <v>BoQ_344</v>
          </cell>
          <cell r="B399">
            <v>344</v>
          </cell>
          <cell r="C399">
            <v>327</v>
          </cell>
          <cell r="D399" t="str">
            <v>Remove surplus soil 
Vận chuyển đất thừa</v>
          </cell>
          <cell r="F399" t="str">
            <v>NHA_BAO_VE</v>
          </cell>
          <cell r="G399" t="str">
            <v>CONG_TAC_DAT</v>
          </cell>
          <cell r="H399" t="str">
            <v>Van_chuyen_dat</v>
          </cell>
          <cell r="I399" t="str">
            <v>MÓNG</v>
          </cell>
          <cell r="J399" t="str">
            <v>Đất</v>
          </cell>
          <cell r="L399" t="str">
            <v>m3</v>
          </cell>
          <cell r="M399">
            <v>0</v>
          </cell>
          <cell r="O399">
            <v>22000</v>
          </cell>
          <cell r="P399">
            <v>0</v>
          </cell>
          <cell r="Q399">
            <v>0</v>
          </cell>
          <cell r="R399">
            <v>22440</v>
          </cell>
          <cell r="S399">
            <v>0</v>
          </cell>
          <cell r="T399">
            <v>22440</v>
          </cell>
          <cell r="U399">
            <v>0</v>
          </cell>
        </row>
        <row r="400">
          <cell r="A400" t="str">
            <v>BoQ_345</v>
          </cell>
          <cell r="B400">
            <v>345</v>
          </cell>
          <cell r="C400">
            <v>328</v>
          </cell>
          <cell r="D400" t="str">
            <v>Natural soil well compacted, k = 0.95 
Đầm nền đất tự nhiên</v>
          </cell>
          <cell r="F400" t="str">
            <v>NHA_BAO_VE</v>
          </cell>
          <cell r="G400" t="str">
            <v>CONG_TAC_DAT</v>
          </cell>
          <cell r="H400" t="str">
            <v>Dam_dat</v>
          </cell>
          <cell r="I400" t="str">
            <v>Nền</v>
          </cell>
          <cell r="J400" t="str">
            <v>Nền</v>
          </cell>
          <cell r="L400" t="str">
            <v>m2</v>
          </cell>
          <cell r="M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</row>
        <row r="401">
          <cell r="A401" t="str">
            <v>BoQ_346</v>
          </cell>
          <cell r="B401">
            <v>346</v>
          </cell>
          <cell r="C401">
            <v>329</v>
          </cell>
          <cell r="D401" t="str">
            <v>Crushed  base stone well compacted, K=0.98
Lớp đá base đầm chặt</v>
          </cell>
          <cell r="E401" t="str">
            <v>200mm Thk</v>
          </cell>
          <cell r="F401" t="str">
            <v>NHA_BAO_VE</v>
          </cell>
          <cell r="G401" t="str">
            <v>CONG_TAC_DAT</v>
          </cell>
          <cell r="H401" t="str">
            <v>Lap_da</v>
          </cell>
          <cell r="I401" t="str">
            <v>Nền</v>
          </cell>
          <cell r="J401" t="str">
            <v>Đá 0x4</v>
          </cell>
          <cell r="L401" t="str">
            <v>m3</v>
          </cell>
          <cell r="M401">
            <v>0</v>
          </cell>
          <cell r="N401">
            <v>397600</v>
          </cell>
          <cell r="O401">
            <v>45000</v>
          </cell>
          <cell r="P401">
            <v>405552</v>
          </cell>
          <cell r="Q401">
            <v>0</v>
          </cell>
          <cell r="R401">
            <v>45900</v>
          </cell>
          <cell r="S401">
            <v>0</v>
          </cell>
          <cell r="T401">
            <v>451452</v>
          </cell>
          <cell r="U401">
            <v>0</v>
          </cell>
        </row>
        <row r="402">
          <cell r="A402" t="str">
            <v>BoQ_347</v>
          </cell>
          <cell r="B402">
            <v>347</v>
          </cell>
          <cell r="C402">
            <v>330</v>
          </cell>
          <cell r="D402" t="str">
            <v>Black sand filling k=0.95 
Cát tôn nền đầm chặt</v>
          </cell>
          <cell r="E402" t="str">
            <v>300mm Thk</v>
          </cell>
          <cell r="F402" t="str">
            <v>NHA_BAO_VE</v>
          </cell>
          <cell r="G402" t="str">
            <v>CONG_TAC_DAT</v>
          </cell>
          <cell r="H402" t="str">
            <v>Lap_cat</v>
          </cell>
          <cell r="I402" t="str">
            <v>Nền</v>
          </cell>
          <cell r="J402" t="str">
            <v>Cát</v>
          </cell>
          <cell r="L402" t="str">
            <v>m3</v>
          </cell>
          <cell r="M402">
            <v>0</v>
          </cell>
          <cell r="N402">
            <v>316800</v>
          </cell>
          <cell r="O402">
            <v>25000</v>
          </cell>
          <cell r="P402">
            <v>323136</v>
          </cell>
          <cell r="Q402">
            <v>0</v>
          </cell>
          <cell r="R402">
            <v>25500</v>
          </cell>
          <cell r="S402">
            <v>0</v>
          </cell>
          <cell r="T402">
            <v>348636</v>
          </cell>
          <cell r="U402">
            <v>0</v>
          </cell>
        </row>
        <row r="403">
          <cell r="A403" t="str">
            <v>BoQ_348</v>
          </cell>
          <cell r="B403">
            <v>348</v>
          </cell>
          <cell r="C403">
            <v>331</v>
          </cell>
          <cell r="D403" t="str">
            <v>PVC film layer under ground slab
Lớp nylon lót nền</v>
          </cell>
          <cell r="E403" t="str">
            <v>0.3mm thk</v>
          </cell>
          <cell r="F403" t="str">
            <v>NHA_BAO_VE</v>
          </cell>
          <cell r="G403" t="str">
            <v>CONG_TAC_DAT</v>
          </cell>
          <cell r="H403" t="str">
            <v>Nilong</v>
          </cell>
          <cell r="I403" t="str">
            <v>Nền</v>
          </cell>
          <cell r="J403" t="str">
            <v>Nilong</v>
          </cell>
          <cell r="L403" t="str">
            <v>m2</v>
          </cell>
          <cell r="M403">
            <v>0</v>
          </cell>
          <cell r="N403">
            <v>3500</v>
          </cell>
          <cell r="O403">
            <v>1000</v>
          </cell>
          <cell r="P403">
            <v>3570</v>
          </cell>
          <cell r="Q403">
            <v>0</v>
          </cell>
          <cell r="R403">
            <v>1020</v>
          </cell>
          <cell r="S403">
            <v>0</v>
          </cell>
          <cell r="T403">
            <v>4590</v>
          </cell>
          <cell r="U403">
            <v>0</v>
          </cell>
        </row>
        <row r="404">
          <cell r="C404">
            <v>2</v>
          </cell>
          <cell r="D404" t="str">
            <v>CONCRETE WORK
CÔNG TÁC BÊ TÔNG</v>
          </cell>
        </row>
        <row r="405">
          <cell r="A405" t="str">
            <v>BoQ_349</v>
          </cell>
          <cell r="B405">
            <v>349</v>
          </cell>
          <cell r="C405">
            <v>332</v>
          </cell>
          <cell r="D405" t="str">
            <v>Lean concrete grade 100, stone 10x20, 100mm thk
Bê tông lót</v>
          </cell>
          <cell r="E405" t="str">
            <v>Foundation &amp; ground beam</v>
          </cell>
          <cell r="F405" t="str">
            <v>NHA_BAO_VE</v>
          </cell>
          <cell r="G405" t="str">
            <v>Cong_tac_be_tong</v>
          </cell>
          <cell r="H405" t="str">
            <v>Be_tong</v>
          </cell>
          <cell r="I405" t="str">
            <v>Móng</v>
          </cell>
          <cell r="J405" t="str">
            <v>M100</v>
          </cell>
          <cell r="K405" t="str">
            <v>Đá 1x2</v>
          </cell>
          <cell r="L405" t="str">
            <v>m3</v>
          </cell>
          <cell r="M405">
            <v>0</v>
          </cell>
          <cell r="N405">
            <v>720000</v>
          </cell>
          <cell r="O405">
            <v>110000</v>
          </cell>
          <cell r="P405">
            <v>734400</v>
          </cell>
          <cell r="Q405">
            <v>0</v>
          </cell>
          <cell r="R405">
            <v>112200</v>
          </cell>
          <cell r="S405">
            <v>0</v>
          </cell>
          <cell r="T405">
            <v>846600</v>
          </cell>
          <cell r="U405">
            <v>0</v>
          </cell>
        </row>
        <row r="406">
          <cell r="A406" t="str">
            <v>BoQ_350</v>
          </cell>
          <cell r="B406">
            <v>350</v>
          </cell>
          <cell r="C406">
            <v>333</v>
          </cell>
          <cell r="D406" t="str">
            <v>Concrete grade 300, stone aggregate 10x20.
Bê tông móng, giằng móng</v>
          </cell>
          <cell r="E406" t="str">
            <v xml:space="preserve">Foundation &amp; Ground Beam </v>
          </cell>
          <cell r="F406" t="str">
            <v>NHA_BAO_VE</v>
          </cell>
          <cell r="G406" t="str">
            <v>Cong_tac_be_tong</v>
          </cell>
          <cell r="H406" t="str">
            <v>Be_tong</v>
          </cell>
          <cell r="I406" t="str">
            <v>Móng</v>
          </cell>
          <cell r="J406" t="str">
            <v>M300</v>
          </cell>
          <cell r="K406" t="str">
            <v>Đá 1x2</v>
          </cell>
          <cell r="L406" t="str">
            <v>m3</v>
          </cell>
          <cell r="M406">
            <v>0</v>
          </cell>
          <cell r="N406">
            <v>910000</v>
          </cell>
          <cell r="O406">
            <v>110000</v>
          </cell>
          <cell r="P406">
            <v>928200</v>
          </cell>
          <cell r="Q406">
            <v>0</v>
          </cell>
          <cell r="R406">
            <v>112200</v>
          </cell>
          <cell r="S406">
            <v>0</v>
          </cell>
          <cell r="T406">
            <v>1040400</v>
          </cell>
          <cell r="U406">
            <v>0</v>
          </cell>
        </row>
        <row r="407">
          <cell r="A407" t="str">
            <v>BoQ_351</v>
          </cell>
          <cell r="B407">
            <v>351</v>
          </cell>
          <cell r="C407">
            <v>334</v>
          </cell>
          <cell r="D407" t="str">
            <v>Concrete grade 300, stone aggregate 10x20.
Bê tông cột</v>
          </cell>
          <cell r="E407" t="str">
            <v>Column</v>
          </cell>
          <cell r="F407" t="str">
            <v>NHA_BAO_VE</v>
          </cell>
          <cell r="G407" t="str">
            <v>Cong_tac_be_tong</v>
          </cell>
          <cell r="H407" t="str">
            <v>Be_tong</v>
          </cell>
          <cell r="I407" t="str">
            <v>Cột</v>
          </cell>
          <cell r="J407" t="str">
            <v>M300</v>
          </cell>
          <cell r="K407" t="str">
            <v>Đá 1x2</v>
          </cell>
          <cell r="L407" t="str">
            <v>m3</v>
          </cell>
          <cell r="M407">
            <v>0</v>
          </cell>
          <cell r="N407">
            <v>910000</v>
          </cell>
          <cell r="O407">
            <v>110000</v>
          </cell>
          <cell r="P407">
            <v>928200</v>
          </cell>
          <cell r="Q407">
            <v>0</v>
          </cell>
          <cell r="R407">
            <v>112200</v>
          </cell>
          <cell r="S407">
            <v>0</v>
          </cell>
          <cell r="T407">
            <v>1040400</v>
          </cell>
          <cell r="U407">
            <v>0</v>
          </cell>
        </row>
        <row r="408">
          <cell r="A408" t="str">
            <v>BoQ_352</v>
          </cell>
          <cell r="B408">
            <v>352</v>
          </cell>
          <cell r="C408">
            <v>335</v>
          </cell>
          <cell r="D408" t="str">
            <v>Concrete grade 300, stone aggregate 10x20.
Bê tông dầm sàn</v>
          </cell>
          <cell r="E408" t="str">
            <v>Beam &amp; Slab</v>
          </cell>
          <cell r="F408" t="str">
            <v>NHA_BAO_VE</v>
          </cell>
          <cell r="G408" t="str">
            <v>Cong_tac_be_tong</v>
          </cell>
          <cell r="H408" t="str">
            <v>Be_tong</v>
          </cell>
          <cell r="I408" t="str">
            <v>Dầm</v>
          </cell>
          <cell r="J408" t="str">
            <v>M300</v>
          </cell>
          <cell r="K408" t="str">
            <v>Đá 1x2</v>
          </cell>
          <cell r="L408" t="str">
            <v>m3</v>
          </cell>
          <cell r="M408">
            <v>5.2160000000000002</v>
          </cell>
          <cell r="N408">
            <v>910000</v>
          </cell>
          <cell r="O408">
            <v>110000</v>
          </cell>
          <cell r="P408">
            <v>928200</v>
          </cell>
          <cell r="Q408">
            <v>4841491.2</v>
          </cell>
          <cell r="R408">
            <v>112200</v>
          </cell>
          <cell r="S408">
            <v>585235.20000000007</v>
          </cell>
          <cell r="T408">
            <v>1040400</v>
          </cell>
          <cell r="U408">
            <v>5426726.4000000004</v>
          </cell>
        </row>
        <row r="409">
          <cell r="A409" t="str">
            <v>BoQ_353</v>
          </cell>
          <cell r="B409">
            <v>353</v>
          </cell>
          <cell r="C409">
            <v>336</v>
          </cell>
          <cell r="D409" t="str">
            <v>Concrete grade 300, stone aggregate 10x20.
Bê tông nền</v>
          </cell>
          <cell r="E409" t="str">
            <v>Ground slab</v>
          </cell>
          <cell r="F409" t="str">
            <v>NHA_BAO_VE</v>
          </cell>
          <cell r="G409" t="str">
            <v>Cong_tac_be_tong</v>
          </cell>
          <cell r="H409" t="str">
            <v>Be_tong</v>
          </cell>
          <cell r="I409" t="str">
            <v>Nền</v>
          </cell>
          <cell r="J409" t="str">
            <v>M300</v>
          </cell>
          <cell r="K409" t="str">
            <v>Đá 1x2</v>
          </cell>
          <cell r="L409" t="str">
            <v>m3</v>
          </cell>
          <cell r="M409">
            <v>0</v>
          </cell>
          <cell r="N409">
            <v>910000</v>
          </cell>
          <cell r="O409">
            <v>110000</v>
          </cell>
          <cell r="P409">
            <v>928200</v>
          </cell>
          <cell r="Q409">
            <v>0</v>
          </cell>
          <cell r="R409">
            <v>112200</v>
          </cell>
          <cell r="S409">
            <v>0</v>
          </cell>
          <cell r="T409">
            <v>1040400</v>
          </cell>
          <cell r="U409">
            <v>0</v>
          </cell>
        </row>
        <row r="410">
          <cell r="A410" t="str">
            <v>BoQ_354</v>
          </cell>
          <cell r="B410">
            <v>354</v>
          </cell>
          <cell r="C410">
            <v>337</v>
          </cell>
          <cell r="D410" t="str">
            <v>Concrete curing by pouring wate
Bảo dưỡng bê tông</v>
          </cell>
          <cell r="F410" t="str">
            <v>NHA_BAO_VE</v>
          </cell>
          <cell r="G410" t="str">
            <v>Cong_tac_be_tong</v>
          </cell>
          <cell r="H410" t="str">
            <v>Bao_duong_be_tong</v>
          </cell>
          <cell r="L410" t="str">
            <v>m³</v>
          </cell>
          <cell r="M410">
            <v>5.2160000000000002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</row>
        <row r="411">
          <cell r="C411">
            <v>3</v>
          </cell>
          <cell r="D411" t="str">
            <v>FORM WORK 
CÔNG TÁC VÁN KHUÔN</v>
          </cell>
        </row>
        <row r="412">
          <cell r="A412" t="str">
            <v>BoQ_355</v>
          </cell>
          <cell r="B412">
            <v>355</v>
          </cell>
          <cell r="C412">
            <v>338</v>
          </cell>
          <cell r="D412" t="str">
            <v>For Lean concrete (Foundation &amp; Ground Beam)
Ván khuôn lót móng, giằng móng</v>
          </cell>
          <cell r="E412" t="str">
            <v>Steel boxes &amp; Plywood form</v>
          </cell>
          <cell r="F412" t="str">
            <v>NHA_BAO_VE</v>
          </cell>
          <cell r="G412" t="str">
            <v>Cong_tac_van_khuon</v>
          </cell>
          <cell r="H412" t="str">
            <v>Van_khuon_lot</v>
          </cell>
          <cell r="I412" t="str">
            <v>Móng</v>
          </cell>
          <cell r="J412" t="str">
            <v>Gỗ</v>
          </cell>
          <cell r="L412" t="str">
            <v>m²</v>
          </cell>
          <cell r="M412">
            <v>0</v>
          </cell>
          <cell r="N412">
            <v>70000</v>
          </cell>
          <cell r="O412">
            <v>120000</v>
          </cell>
          <cell r="P412">
            <v>71400</v>
          </cell>
          <cell r="Q412">
            <v>0</v>
          </cell>
          <cell r="R412">
            <v>122400</v>
          </cell>
          <cell r="S412">
            <v>0</v>
          </cell>
          <cell r="T412">
            <v>193800</v>
          </cell>
          <cell r="U412">
            <v>0</v>
          </cell>
        </row>
        <row r="413">
          <cell r="A413" t="str">
            <v>BoQ_356</v>
          </cell>
          <cell r="B413">
            <v>356</v>
          </cell>
          <cell r="C413">
            <v>339</v>
          </cell>
          <cell r="D413" t="str">
            <v>For concrete (Foundation &amp; Ground Beam)
Ván khuôn móng, giằng móng</v>
          </cell>
          <cell r="E413" t="str">
            <v>Steel boxes &amp; Plywood form</v>
          </cell>
          <cell r="F413" t="str">
            <v>NHA_BAO_VE</v>
          </cell>
          <cell r="G413" t="str">
            <v>Cong_tac_van_khuon</v>
          </cell>
          <cell r="H413" t="str">
            <v>Van_khuon</v>
          </cell>
          <cell r="I413" t="str">
            <v>Móng, dầm giằng</v>
          </cell>
          <cell r="J413" t="str">
            <v>Gỗ</v>
          </cell>
          <cell r="L413" t="str">
            <v>m²</v>
          </cell>
          <cell r="M413">
            <v>0</v>
          </cell>
          <cell r="N413">
            <v>70000</v>
          </cell>
          <cell r="O413">
            <v>120000</v>
          </cell>
          <cell r="P413">
            <v>71400</v>
          </cell>
          <cell r="Q413">
            <v>0</v>
          </cell>
          <cell r="R413">
            <v>122400</v>
          </cell>
          <cell r="S413">
            <v>0</v>
          </cell>
          <cell r="T413">
            <v>193800</v>
          </cell>
          <cell r="U413">
            <v>0</v>
          </cell>
        </row>
        <row r="414">
          <cell r="A414" t="str">
            <v>BoQ_357</v>
          </cell>
          <cell r="B414">
            <v>357</v>
          </cell>
          <cell r="C414">
            <v>340</v>
          </cell>
          <cell r="D414" t="str">
            <v>For concrete (Calumn)
Ván khuôn cột</v>
          </cell>
          <cell r="E414" t="str">
            <v>Steel boxes &amp; Plywood form</v>
          </cell>
          <cell r="F414" t="str">
            <v>NHA_BAO_VE</v>
          </cell>
          <cell r="G414" t="str">
            <v>Cong_tac_van_khuon</v>
          </cell>
          <cell r="H414" t="str">
            <v>Van_khuon</v>
          </cell>
          <cell r="I414" t="str">
            <v>Cột</v>
          </cell>
          <cell r="J414" t="str">
            <v>Gỗ</v>
          </cell>
          <cell r="L414" t="str">
            <v>m²</v>
          </cell>
          <cell r="M414">
            <v>0</v>
          </cell>
          <cell r="N414">
            <v>70000</v>
          </cell>
          <cell r="O414">
            <v>120000</v>
          </cell>
          <cell r="P414">
            <v>71400</v>
          </cell>
          <cell r="Q414">
            <v>0</v>
          </cell>
          <cell r="R414">
            <v>122400</v>
          </cell>
          <cell r="S414">
            <v>0</v>
          </cell>
          <cell r="T414">
            <v>193800</v>
          </cell>
          <cell r="U414">
            <v>0</v>
          </cell>
        </row>
        <row r="415">
          <cell r="A415" t="str">
            <v>BoQ_358</v>
          </cell>
          <cell r="B415">
            <v>358</v>
          </cell>
          <cell r="C415">
            <v>341</v>
          </cell>
          <cell r="D415" t="str">
            <v>For concrete (Beam &amp; Slab)
Ván khuôn dầm, sàn</v>
          </cell>
          <cell r="E415" t="str">
            <v>Steel boxes &amp; Plywood form</v>
          </cell>
          <cell r="F415" t="str">
            <v>NHA_BAO_VE</v>
          </cell>
          <cell r="G415" t="str">
            <v>Cong_tac_van_khuon</v>
          </cell>
          <cell r="H415" t="str">
            <v>Van_khuon</v>
          </cell>
          <cell r="I415" t="str">
            <v>Dầm, sàn</v>
          </cell>
          <cell r="J415" t="str">
            <v>Gỗ</v>
          </cell>
          <cell r="L415" t="str">
            <v>m2</v>
          </cell>
          <cell r="M415">
            <v>55.8</v>
          </cell>
          <cell r="N415">
            <v>70000</v>
          </cell>
          <cell r="O415">
            <v>120000</v>
          </cell>
          <cell r="P415">
            <v>71400</v>
          </cell>
          <cell r="Q415">
            <v>3984120</v>
          </cell>
          <cell r="R415">
            <v>122400</v>
          </cell>
          <cell r="S415">
            <v>6829920</v>
          </cell>
          <cell r="T415">
            <v>193800</v>
          </cell>
          <cell r="U415">
            <v>10814040</v>
          </cell>
        </row>
        <row r="416">
          <cell r="C416">
            <v>4</v>
          </cell>
          <cell r="D416" t="str">
            <v>REBAR WORK
CÔNG TÁC THÉP</v>
          </cell>
        </row>
        <row r="417">
          <cell r="A417" t="str">
            <v>BoQ_359</v>
          </cell>
          <cell r="B417">
            <v>359</v>
          </cell>
          <cell r="C417">
            <v>342</v>
          </cell>
          <cell r="D417" t="str">
            <v>Manufacture and assemble of reinforcement for Foundation, Base Column, Ground beam , Ground slab &amp; Roof
Thép cho toàn bộ cấu kiện</v>
          </cell>
          <cell r="E417" t="str">
            <v>CB-240 &amp; CB-300V</v>
          </cell>
          <cell r="F417" t="str">
            <v>NHA_BAO_VE</v>
          </cell>
          <cell r="G417" t="str">
            <v>Cong_tac_cot_thep</v>
          </cell>
          <cell r="H417" t="str">
            <v>Cot_thep</v>
          </cell>
          <cell r="I417" t="str">
            <v>Móng</v>
          </cell>
          <cell r="L417" t="str">
            <v>ton</v>
          </cell>
          <cell r="M417">
            <v>1.89</v>
          </cell>
          <cell r="N417">
            <v>14500000</v>
          </cell>
          <cell r="O417">
            <v>2300000</v>
          </cell>
          <cell r="P417">
            <v>14790000</v>
          </cell>
          <cell r="Q417">
            <v>27953100</v>
          </cell>
          <cell r="R417">
            <v>2346000</v>
          </cell>
          <cell r="S417">
            <v>4433940</v>
          </cell>
          <cell r="T417">
            <v>17136000</v>
          </cell>
          <cell r="U417">
            <v>32387040</v>
          </cell>
        </row>
        <row r="418">
          <cell r="C418">
            <v>5</v>
          </cell>
          <cell r="D418" t="str">
            <v>BRICK WORKS &amp; TILE WORKS
CÔNG TÁC XÂY, ỐP LÁT</v>
          </cell>
        </row>
        <row r="419">
          <cell r="A419" t="str">
            <v>BoQ_360</v>
          </cell>
          <cell r="B419">
            <v>360</v>
          </cell>
          <cell r="C419">
            <v>343</v>
          </cell>
          <cell r="D419" t="str">
            <v>Brick wall 220mm thk.
Xây tường 220 mm</v>
          </cell>
          <cell r="E419" t="str">
            <v>Solid brick with motar grade M75</v>
          </cell>
          <cell r="F419" t="str">
            <v>NHA_BAO_VE</v>
          </cell>
          <cell r="G419" t="str">
            <v>Cong_tac_xay_trat</v>
          </cell>
          <cell r="H419" t="str">
            <v>Xay_tuong</v>
          </cell>
          <cell r="I419" t="str">
            <v>Tường</v>
          </cell>
          <cell r="L419" t="str">
            <v>m3</v>
          </cell>
          <cell r="M419">
            <v>0</v>
          </cell>
          <cell r="N419">
            <v>950000</v>
          </cell>
          <cell r="O419">
            <v>700000</v>
          </cell>
          <cell r="P419">
            <v>969000</v>
          </cell>
          <cell r="Q419">
            <v>0</v>
          </cell>
          <cell r="R419">
            <v>714000</v>
          </cell>
          <cell r="S419">
            <v>0</v>
          </cell>
          <cell r="T419">
            <v>1683000</v>
          </cell>
          <cell r="U419">
            <v>0</v>
          </cell>
        </row>
        <row r="420">
          <cell r="A420" t="str">
            <v>BoQ_361</v>
          </cell>
          <cell r="B420">
            <v>361</v>
          </cell>
          <cell r="C420">
            <v>344</v>
          </cell>
          <cell r="D420" t="str">
            <v>Láng vữa nền nhà
Rolling mortar floor</v>
          </cell>
          <cell r="F420" t="str">
            <v>NHA_BAO_VE</v>
          </cell>
          <cell r="G420" t="str">
            <v>Cong_tac_op_lat</v>
          </cell>
          <cell r="H420" t="str">
            <v>Can_nen</v>
          </cell>
          <cell r="I420" t="str">
            <v>Nền</v>
          </cell>
          <cell r="L420" t="str">
            <v>m²</v>
          </cell>
          <cell r="M420">
            <v>24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</row>
        <row r="421">
          <cell r="A421" t="str">
            <v>BoQ_362</v>
          </cell>
          <cell r="B421">
            <v>362</v>
          </cell>
          <cell r="C421">
            <v>345</v>
          </cell>
          <cell r="D421" t="str">
            <v>Ceramic tile 600*600
Lát nền gạch ceramic 600*600</v>
          </cell>
          <cell r="F421" t="str">
            <v>NHA_BAO_VE</v>
          </cell>
          <cell r="G421" t="str">
            <v>Cong_tac_op_lat</v>
          </cell>
          <cell r="H421" t="str">
            <v>Lat_nen</v>
          </cell>
          <cell r="I421" t="str">
            <v>Nền</v>
          </cell>
          <cell r="L421" t="str">
            <v>m²</v>
          </cell>
          <cell r="M421">
            <v>20.7</v>
          </cell>
          <cell r="N421">
            <v>165000</v>
          </cell>
          <cell r="O421">
            <v>75000</v>
          </cell>
          <cell r="P421">
            <v>168300</v>
          </cell>
          <cell r="Q421">
            <v>3483810</v>
          </cell>
          <cell r="R421">
            <v>76500</v>
          </cell>
          <cell r="S421">
            <v>1583550</v>
          </cell>
          <cell r="T421">
            <v>244800</v>
          </cell>
          <cell r="U421">
            <v>5067360</v>
          </cell>
        </row>
        <row r="422">
          <cell r="A422" t="str">
            <v>BoQ_363</v>
          </cell>
          <cell r="B422">
            <v>363</v>
          </cell>
          <cell r="C422">
            <v>345</v>
          </cell>
          <cell r="D422" t="str">
            <v>Lát nền chống trơn 300x300
Non-slip ceramic tile 300x300</v>
          </cell>
          <cell r="E422" t="str">
            <v xml:space="preserve">Toilet floor </v>
          </cell>
          <cell r="F422" t="str">
            <v>NHA_BAO_VE</v>
          </cell>
          <cell r="G422" t="str">
            <v>Cong_tac_op_lat</v>
          </cell>
          <cell r="H422" t="str">
            <v>Lat_nen</v>
          </cell>
          <cell r="I422" t="str">
            <v>Nền</v>
          </cell>
          <cell r="L422" t="str">
            <v>m²</v>
          </cell>
          <cell r="M422">
            <v>3.3000000000000003</v>
          </cell>
          <cell r="N422">
            <v>125000</v>
          </cell>
          <cell r="O422">
            <v>75000</v>
          </cell>
          <cell r="P422">
            <v>127500</v>
          </cell>
          <cell r="Q422">
            <v>420750.00000000006</v>
          </cell>
          <cell r="R422">
            <v>76500</v>
          </cell>
          <cell r="S422">
            <v>252450.00000000003</v>
          </cell>
          <cell r="T422">
            <v>204000</v>
          </cell>
          <cell r="U422">
            <v>673200</v>
          </cell>
        </row>
        <row r="423">
          <cell r="A423" t="str">
            <v>BoQ_364</v>
          </cell>
          <cell r="B423">
            <v>364</v>
          </cell>
          <cell r="C423">
            <v>346</v>
          </cell>
          <cell r="D423" t="str">
            <v>Ốp tường nhà vệ sinh 300x600
Ceramic tile 300x600</v>
          </cell>
          <cell r="E423" t="str">
            <v>Toilet wall</v>
          </cell>
          <cell r="F423" t="str">
            <v>NHA_BAO_VE</v>
          </cell>
          <cell r="G423" t="str">
            <v>Cong_tac_op_lat</v>
          </cell>
          <cell r="H423" t="str">
            <v>Op_tuong</v>
          </cell>
          <cell r="I423" t="str">
            <v>Nền</v>
          </cell>
          <cell r="L423" t="str">
            <v>m²</v>
          </cell>
          <cell r="M423">
            <v>0</v>
          </cell>
          <cell r="N423">
            <v>145000</v>
          </cell>
          <cell r="O423">
            <v>75000</v>
          </cell>
          <cell r="P423">
            <v>147900</v>
          </cell>
          <cell r="Q423">
            <v>0</v>
          </cell>
          <cell r="R423">
            <v>76500</v>
          </cell>
          <cell r="S423">
            <v>0</v>
          </cell>
          <cell r="T423">
            <v>224400</v>
          </cell>
          <cell r="U423">
            <v>0</v>
          </cell>
        </row>
        <row r="424">
          <cell r="A424" t="str">
            <v>BoQ_365</v>
          </cell>
          <cell r="B424">
            <v>365</v>
          </cell>
          <cell r="C424">
            <v>347</v>
          </cell>
          <cell r="D424" t="str">
            <v>Ốp đá Granite dày 20mm
Granite stone 20mm Thk</v>
          </cell>
          <cell r="E424" t="str">
            <v>Biển tên công ty</v>
          </cell>
          <cell r="F424" t="str">
            <v>NHA_BAO_VE</v>
          </cell>
          <cell r="G424" t="str">
            <v>Cong_tac_op_lat</v>
          </cell>
          <cell r="H424" t="str">
            <v>Op_tuong</v>
          </cell>
          <cell r="I424" t="str">
            <v>Biển tên</v>
          </cell>
          <cell r="L424" t="str">
            <v>m2</v>
          </cell>
          <cell r="M424">
            <v>12</v>
          </cell>
          <cell r="N424">
            <v>750000</v>
          </cell>
          <cell r="O424">
            <v>250000</v>
          </cell>
          <cell r="P424">
            <v>765000</v>
          </cell>
          <cell r="Q424">
            <v>9180000</v>
          </cell>
          <cell r="R424">
            <v>255000</v>
          </cell>
          <cell r="S424">
            <v>3060000</v>
          </cell>
          <cell r="T424">
            <v>1020000</v>
          </cell>
          <cell r="U424">
            <v>12240000</v>
          </cell>
        </row>
        <row r="425">
          <cell r="A425" t="str">
            <v>BoQ_366</v>
          </cell>
          <cell r="B425">
            <v>366</v>
          </cell>
          <cell r="C425">
            <v>347</v>
          </cell>
          <cell r="D425" t="str">
            <v>Water resistance Gypsum board ceiling 600x600x9mm thk
Trần thạch cao chịu nước nhà vệ sinh</v>
          </cell>
          <cell r="E425" t="str">
            <v>Vĩnh Tường, Gyproc, Boral</v>
          </cell>
          <cell r="F425" t="str">
            <v>NHA_BAO_VE</v>
          </cell>
          <cell r="G425" t="str">
            <v>Cong_tac_thach_cao</v>
          </cell>
          <cell r="H425" t="str">
            <v>Thach_cao</v>
          </cell>
          <cell r="L425" t="str">
            <v>m2</v>
          </cell>
          <cell r="M425">
            <v>3.3000000000000003</v>
          </cell>
          <cell r="N425">
            <v>140000</v>
          </cell>
          <cell r="O425">
            <v>45000</v>
          </cell>
          <cell r="P425">
            <v>142800</v>
          </cell>
          <cell r="Q425">
            <v>471240.00000000006</v>
          </cell>
          <cell r="R425">
            <v>45900</v>
          </cell>
          <cell r="S425">
            <v>151470</v>
          </cell>
          <cell r="T425">
            <v>188700</v>
          </cell>
          <cell r="U425">
            <v>622710</v>
          </cell>
        </row>
        <row r="426">
          <cell r="D426" t="str">
            <v>HOÀN THIỆN MÁI BÊ TÔNG
CONCRETE ROOF FINISHING</v>
          </cell>
        </row>
        <row r="427">
          <cell r="A427" t="str">
            <v>BoQ_367</v>
          </cell>
          <cell r="B427">
            <v>367</v>
          </cell>
          <cell r="C427">
            <v>348</v>
          </cell>
          <cell r="D427" t="str">
            <v xml:space="preserve">Chống thấm mái
Waterproofing </v>
          </cell>
          <cell r="E427" t="str">
            <v xml:space="preserve">Sika </v>
          </cell>
          <cell r="F427" t="str">
            <v>NHA_BAO_VE</v>
          </cell>
          <cell r="G427" t="str">
            <v>Cong_tac_chong_tham</v>
          </cell>
          <cell r="H427" t="str">
            <v>Chong_tham</v>
          </cell>
          <cell r="L427" t="str">
            <v>m²</v>
          </cell>
          <cell r="M427">
            <v>41.25</v>
          </cell>
          <cell r="N427">
            <v>56000</v>
          </cell>
          <cell r="O427">
            <v>45000</v>
          </cell>
          <cell r="P427">
            <v>57120</v>
          </cell>
          <cell r="Q427">
            <v>2356200</v>
          </cell>
          <cell r="R427">
            <v>45900</v>
          </cell>
          <cell r="S427">
            <v>1893375</v>
          </cell>
          <cell r="T427">
            <v>103020</v>
          </cell>
          <cell r="U427">
            <v>4249575</v>
          </cell>
        </row>
        <row r="428">
          <cell r="A428" t="str">
            <v>BoQ_368</v>
          </cell>
          <cell r="B428">
            <v>368</v>
          </cell>
          <cell r="C428">
            <v>349</v>
          </cell>
          <cell r="D428" t="str">
            <v>Lưới thép D6 @300
Steel mesh ∅6 @300</v>
          </cell>
          <cell r="F428" t="str">
            <v>NHA_BAO_VE</v>
          </cell>
          <cell r="G428" t="str">
            <v>Cong_tac_cot_thep</v>
          </cell>
          <cell r="H428" t="str">
            <v>Luoi_thep_han</v>
          </cell>
          <cell r="I428" t="str">
            <v>Mái</v>
          </cell>
          <cell r="K428" t="str">
            <v>D6@300</v>
          </cell>
          <cell r="L428" t="str">
            <v>m2</v>
          </cell>
          <cell r="M428">
            <v>35</v>
          </cell>
          <cell r="N428">
            <v>260000</v>
          </cell>
          <cell r="O428">
            <v>90000</v>
          </cell>
          <cell r="P428">
            <v>265200</v>
          </cell>
          <cell r="Q428">
            <v>9282000</v>
          </cell>
          <cell r="R428">
            <v>91800</v>
          </cell>
          <cell r="S428">
            <v>3213000</v>
          </cell>
          <cell r="T428">
            <v>357000</v>
          </cell>
          <cell r="U428">
            <v>12495000</v>
          </cell>
        </row>
        <row r="429">
          <cell r="A429" t="str">
            <v>BoQ_369</v>
          </cell>
          <cell r="B429">
            <v>369</v>
          </cell>
          <cell r="C429">
            <v>350</v>
          </cell>
          <cell r="D429" t="str">
            <v>Lớp bê tông bảo vệ mác 200
Concrete grade 200, stone 10x20, 100mm thk, make slope</v>
          </cell>
          <cell r="F429" t="str">
            <v>NHA_BAO_VE</v>
          </cell>
          <cell r="G429" t="str">
            <v>Cong_tac_be_tong</v>
          </cell>
          <cell r="H429" t="str">
            <v>Be_tong</v>
          </cell>
          <cell r="I429" t="str">
            <v>Mái</v>
          </cell>
          <cell r="J429" t="str">
            <v>M200</v>
          </cell>
          <cell r="K429" t="str">
            <v>Đá mi</v>
          </cell>
          <cell r="L429" t="str">
            <v>m3</v>
          </cell>
          <cell r="M429">
            <v>3.5</v>
          </cell>
          <cell r="N429">
            <v>865000</v>
          </cell>
          <cell r="O429">
            <v>110000</v>
          </cell>
          <cell r="P429">
            <v>882300</v>
          </cell>
          <cell r="Q429">
            <v>3088050</v>
          </cell>
          <cell r="R429">
            <v>112200</v>
          </cell>
          <cell r="S429">
            <v>392700</v>
          </cell>
          <cell r="T429">
            <v>994500</v>
          </cell>
          <cell r="U429">
            <v>3480750</v>
          </cell>
        </row>
        <row r="430">
          <cell r="A430" t="str">
            <v>BoQ_370</v>
          </cell>
          <cell r="B430">
            <v>370</v>
          </cell>
          <cell r="C430">
            <v>351</v>
          </cell>
          <cell r="D430" t="str">
            <v>UPVC Down Spout, D90
Ống thoát nước UPVC</v>
          </cell>
          <cell r="E430" t="str">
            <v>Tiền Phong, C2</v>
          </cell>
          <cell r="F430" t="str">
            <v>NHA_BAO_VE</v>
          </cell>
          <cell r="G430" t="str">
            <v>Cong_tac_mai</v>
          </cell>
          <cell r="H430" t="str">
            <v>Thoat_nuoc</v>
          </cell>
          <cell r="I430" t="str">
            <v>Mái</v>
          </cell>
          <cell r="J430" t="str">
            <v>PVC</v>
          </cell>
          <cell r="K430" t="str">
            <v>D90</v>
          </cell>
          <cell r="L430" t="str">
            <v>m</v>
          </cell>
          <cell r="M430">
            <v>20</v>
          </cell>
          <cell r="N430">
            <v>95000</v>
          </cell>
          <cell r="O430">
            <v>55000</v>
          </cell>
          <cell r="P430">
            <v>96900</v>
          </cell>
          <cell r="Q430">
            <v>1938000</v>
          </cell>
          <cell r="R430">
            <v>56100</v>
          </cell>
          <cell r="S430">
            <v>1122000</v>
          </cell>
          <cell r="T430">
            <v>153000</v>
          </cell>
          <cell r="U430">
            <v>3060000</v>
          </cell>
        </row>
        <row r="431">
          <cell r="A431" t="str">
            <v>BoQ_371</v>
          </cell>
          <cell r="B431">
            <v>371</v>
          </cell>
          <cell r="C431">
            <v>352</v>
          </cell>
          <cell r="D431" t="str">
            <v>Côn, cút ống thoát 
Down Spout Elbow</v>
          </cell>
          <cell r="F431" t="str">
            <v>NHA_BAO_VE</v>
          </cell>
          <cell r="G431" t="str">
            <v>Cong_tac_mai</v>
          </cell>
          <cell r="H431" t="str">
            <v>Phu_kien</v>
          </cell>
          <cell r="J431" t="str">
            <v>Côn</v>
          </cell>
          <cell r="L431" t="str">
            <v>ea</v>
          </cell>
          <cell r="M431">
            <v>12</v>
          </cell>
          <cell r="N431">
            <v>95000</v>
          </cell>
          <cell r="O431">
            <v>55000</v>
          </cell>
          <cell r="P431">
            <v>96900</v>
          </cell>
          <cell r="Q431">
            <v>1162800</v>
          </cell>
          <cell r="R431">
            <v>56100</v>
          </cell>
          <cell r="S431">
            <v>673200</v>
          </cell>
          <cell r="T431">
            <v>153000</v>
          </cell>
          <cell r="U431">
            <v>1836000</v>
          </cell>
        </row>
        <row r="432">
          <cell r="A432" t="str">
            <v>BoQ_372</v>
          </cell>
          <cell r="B432">
            <v>372</v>
          </cell>
          <cell r="C432">
            <v>353</v>
          </cell>
          <cell r="D432" t="str">
            <v xml:space="preserve">Quả cầu chắn rác inox
SUS304 Rubbish dome grating </v>
          </cell>
          <cell r="F432" t="str">
            <v>NHA_BAO_VE</v>
          </cell>
          <cell r="G432" t="str">
            <v>Cong_tac_mai</v>
          </cell>
          <cell r="H432" t="str">
            <v>Phu_kien</v>
          </cell>
          <cell r="J432" t="str">
            <v>Cầu chắn rác</v>
          </cell>
          <cell r="L432" t="str">
            <v>cái</v>
          </cell>
          <cell r="M432">
            <v>4</v>
          </cell>
          <cell r="N432">
            <v>105000</v>
          </cell>
          <cell r="O432">
            <v>2500</v>
          </cell>
          <cell r="P432">
            <v>107100</v>
          </cell>
          <cell r="Q432">
            <v>428400</v>
          </cell>
          <cell r="R432">
            <v>2550</v>
          </cell>
          <cell r="S432">
            <v>10200</v>
          </cell>
          <cell r="T432">
            <v>109650</v>
          </cell>
          <cell r="U432">
            <v>438600</v>
          </cell>
        </row>
        <row r="433">
          <cell r="C433">
            <v>7</v>
          </cell>
          <cell r="D433" t="str">
            <v>PLASTERING, PAINTING WORKS
CÔN TÁC TRÁT, SƠN</v>
          </cell>
        </row>
        <row r="434">
          <cell r="A434" t="str">
            <v>BoQ_373</v>
          </cell>
          <cell r="B434">
            <v>373</v>
          </cell>
          <cell r="C434">
            <v>354</v>
          </cell>
          <cell r="D434" t="str">
            <v>Plastering for wall surfaces 1.5cm.
Trát tường vữa dày 1,5 cm</v>
          </cell>
          <cell r="E434" t="str">
            <v>Mortar grade 75</v>
          </cell>
          <cell r="F434" t="str">
            <v>NHA_BAO_VE</v>
          </cell>
          <cell r="G434" t="str">
            <v>Cong_tac_xay_trat</v>
          </cell>
          <cell r="H434" t="str">
            <v>Trat_tuong</v>
          </cell>
          <cell r="L434" t="str">
            <v>m2</v>
          </cell>
          <cell r="M434">
            <v>195.84</v>
          </cell>
          <cell r="N434">
            <v>65000</v>
          </cell>
          <cell r="O434">
            <v>85000</v>
          </cell>
          <cell r="P434">
            <v>66300</v>
          </cell>
          <cell r="Q434">
            <v>12984192</v>
          </cell>
          <cell r="R434">
            <v>86700</v>
          </cell>
          <cell r="S434">
            <v>16979328</v>
          </cell>
          <cell r="T434">
            <v>153000</v>
          </cell>
          <cell r="U434">
            <v>29963520</v>
          </cell>
        </row>
        <row r="435">
          <cell r="A435" t="str">
            <v>BoQ_374</v>
          </cell>
          <cell r="B435">
            <v>374</v>
          </cell>
          <cell r="C435">
            <v>355</v>
          </cell>
          <cell r="D435" t="str">
            <v>Emulsion Paint for wall &amp; ceiling surfaces 
Sơn tường, trần</v>
          </cell>
          <cell r="F435" t="str">
            <v>NHA_BAO_VE</v>
          </cell>
          <cell r="G435" t="str">
            <v>Cong_tac_son</v>
          </cell>
          <cell r="H435" t="str">
            <v>Son_nuoc</v>
          </cell>
          <cell r="L435" t="str">
            <v>m2</v>
          </cell>
          <cell r="M435">
            <v>195.84</v>
          </cell>
          <cell r="N435">
            <v>40000</v>
          </cell>
          <cell r="O435">
            <v>45000</v>
          </cell>
          <cell r="P435">
            <v>40800</v>
          </cell>
          <cell r="Q435">
            <v>7990272</v>
          </cell>
          <cell r="R435">
            <v>45900</v>
          </cell>
          <cell r="S435">
            <v>8989056</v>
          </cell>
          <cell r="T435">
            <v>86700</v>
          </cell>
          <cell r="U435">
            <v>16979328</v>
          </cell>
        </row>
        <row r="436">
          <cell r="C436">
            <v>8</v>
          </cell>
          <cell r="D436" t="str">
            <v>CÔNG TÁC KHÁC
OTHER WORK</v>
          </cell>
        </row>
        <row r="437">
          <cell r="A437" t="str">
            <v>BoQ_375</v>
          </cell>
          <cell r="B437">
            <v>375</v>
          </cell>
          <cell r="C437">
            <v>356</v>
          </cell>
          <cell r="D437" t="str">
            <v>Aluminium glass door (indoor) 
Cửa đi nhôm kính (trong nhà)</v>
          </cell>
          <cell r="E437" t="str">
            <v>Cửa hệ Xingfa cao cấp, dày , kính an toàn 6,38mm, kính mờ.
High grade Xingfa , 6,38mm thk safety glass, opaque color.</v>
          </cell>
          <cell r="F437" t="str">
            <v>NHA_BAO_VE</v>
          </cell>
          <cell r="G437" t="str">
            <v>Cong_tac_cua_di_cua_so</v>
          </cell>
          <cell r="H437" t="str">
            <v>Cua_di</v>
          </cell>
          <cell r="I437" t="str">
            <v>Tường</v>
          </cell>
          <cell r="J437" t="str">
            <v>Xingfa</v>
          </cell>
          <cell r="K437" t="str">
            <v>6.38mm</v>
          </cell>
          <cell r="L437" t="str">
            <v>m2</v>
          </cell>
          <cell r="M437">
            <v>3.74</v>
          </cell>
          <cell r="N437">
            <v>1350000</v>
          </cell>
          <cell r="O437">
            <v>250000</v>
          </cell>
          <cell r="P437">
            <v>1377000</v>
          </cell>
          <cell r="Q437">
            <v>5149980</v>
          </cell>
          <cell r="R437">
            <v>255000</v>
          </cell>
          <cell r="S437">
            <v>953700</v>
          </cell>
          <cell r="T437">
            <v>1632000</v>
          </cell>
          <cell r="U437">
            <v>6103680</v>
          </cell>
        </row>
        <row r="438">
          <cell r="A438" t="str">
            <v>BoQ_376</v>
          </cell>
          <cell r="B438">
            <v>376</v>
          </cell>
          <cell r="C438">
            <v>357</v>
          </cell>
          <cell r="D438" t="str">
            <v>Accessories for Aluminium glass door 
Phụ kiện cửa đi</v>
          </cell>
          <cell r="E438" t="str">
            <v>Kin long</v>
          </cell>
          <cell r="F438" t="str">
            <v>NHA_BAO_VE</v>
          </cell>
          <cell r="G438" t="str">
            <v>Cong_tac_cua_di_cua_so</v>
          </cell>
          <cell r="H438" t="str">
            <v>Cua_di</v>
          </cell>
          <cell r="I438" t="str">
            <v>Phụ kiên</v>
          </cell>
          <cell r="L438" t="str">
            <v>ea</v>
          </cell>
          <cell r="M438">
            <v>1</v>
          </cell>
          <cell r="N438">
            <v>500000</v>
          </cell>
          <cell r="P438">
            <v>510000</v>
          </cell>
          <cell r="Q438">
            <v>510000</v>
          </cell>
          <cell r="R438">
            <v>0</v>
          </cell>
          <cell r="S438">
            <v>0</v>
          </cell>
          <cell r="T438">
            <v>510000</v>
          </cell>
          <cell r="U438">
            <v>510000</v>
          </cell>
        </row>
        <row r="439">
          <cell r="A439" t="str">
            <v>BoQ_377</v>
          </cell>
          <cell r="B439">
            <v>377</v>
          </cell>
          <cell r="C439">
            <v>358</v>
          </cell>
          <cell r="D439" t="str">
            <v>Aluminium glass window 
Cửa sổ nhôm kính</v>
          </cell>
          <cell r="E439" t="str">
            <v>Tận dụng</v>
          </cell>
          <cell r="F439" t="str">
            <v>NHA_BAO_VE</v>
          </cell>
          <cell r="G439" t="str">
            <v>Cong_tac_cua_di_cua_so</v>
          </cell>
          <cell r="H439" t="str">
            <v>Cua_so</v>
          </cell>
          <cell r="L439" t="str">
            <v>m2</v>
          </cell>
          <cell r="M439">
            <v>6</v>
          </cell>
          <cell r="N439">
            <v>1350000</v>
          </cell>
          <cell r="O439">
            <v>250000</v>
          </cell>
          <cell r="P439">
            <v>1377000</v>
          </cell>
          <cell r="Q439">
            <v>8262000</v>
          </cell>
          <cell r="R439">
            <v>255000</v>
          </cell>
          <cell r="S439">
            <v>1530000</v>
          </cell>
          <cell r="T439">
            <v>1632000</v>
          </cell>
          <cell r="U439">
            <v>9792000</v>
          </cell>
        </row>
        <row r="440">
          <cell r="A440" t="str">
            <v>BoQ_378</v>
          </cell>
          <cell r="B440">
            <v>378</v>
          </cell>
          <cell r="C440">
            <v>359</v>
          </cell>
          <cell r="D440" t="str">
            <v>Accessories for window 
Phụ kiện cửa sổ</v>
          </cell>
          <cell r="E440" t="str">
            <v>Tận dụng</v>
          </cell>
          <cell r="F440" t="str">
            <v>NHA_BAO_VE</v>
          </cell>
          <cell r="G440" t="str">
            <v>Cong_tac_cua_di_cua_so</v>
          </cell>
          <cell r="H440" t="str">
            <v>Phu_kien</v>
          </cell>
          <cell r="L440" t="str">
            <v>ea</v>
          </cell>
          <cell r="M440">
            <v>0</v>
          </cell>
          <cell r="N440">
            <v>500000</v>
          </cell>
          <cell r="P440">
            <v>510000</v>
          </cell>
          <cell r="Q440">
            <v>0</v>
          </cell>
          <cell r="R440">
            <v>0</v>
          </cell>
          <cell r="S440">
            <v>0</v>
          </cell>
          <cell r="T440">
            <v>510000</v>
          </cell>
          <cell r="U440">
            <v>0</v>
          </cell>
        </row>
        <row r="441">
          <cell r="A441" t="str">
            <v>BoQ_379</v>
          </cell>
          <cell r="B441">
            <v>379</v>
          </cell>
          <cell r="C441">
            <v>360</v>
          </cell>
          <cell r="D441" t="str">
            <v>Bảng hiệu công ty
Company signage board</v>
          </cell>
          <cell r="F441" t="str">
            <v>NHA_BAO_VE</v>
          </cell>
          <cell r="G441" t="str">
            <v>Cong_tac_khac</v>
          </cell>
          <cell r="H441" t="str">
            <v>Co_khi</v>
          </cell>
          <cell r="I441" t="str">
            <v>Biển tên</v>
          </cell>
          <cell r="L441" t="str">
            <v>Lot</v>
          </cell>
          <cell r="M441">
            <v>1</v>
          </cell>
          <cell r="N441">
            <v>15000000</v>
          </cell>
          <cell r="O441">
            <v>2500000</v>
          </cell>
          <cell r="P441">
            <v>15300000</v>
          </cell>
          <cell r="Q441">
            <v>15300000</v>
          </cell>
          <cell r="R441">
            <v>2550000</v>
          </cell>
          <cell r="S441">
            <v>2550000</v>
          </cell>
          <cell r="T441">
            <v>17850000</v>
          </cell>
          <cell r="U441">
            <v>17850000</v>
          </cell>
        </row>
        <row r="442">
          <cell r="A442" t="str">
            <v>BoQ_380</v>
          </cell>
          <cell r="B442">
            <v>380</v>
          </cell>
          <cell r="C442">
            <v>361</v>
          </cell>
          <cell r="D442" t="str">
            <v>Arcrylic logo , có đèn hắt bên dưới.
Tên và logo, địa chỉ công ty</v>
          </cell>
          <cell r="F442" t="str">
            <v>NHA_BAO_VE</v>
          </cell>
          <cell r="G442" t="str">
            <v>Cong_tac_khac</v>
          </cell>
          <cell r="H442" t="str">
            <v>Co_khi</v>
          </cell>
          <cell r="I442" t="str">
            <v>Tên_logo</v>
          </cell>
          <cell r="L442" t="str">
            <v>Lot</v>
          </cell>
          <cell r="M442">
            <v>1</v>
          </cell>
          <cell r="N442">
            <v>15000000</v>
          </cell>
          <cell r="O442">
            <v>2500000</v>
          </cell>
          <cell r="P442">
            <v>15300000</v>
          </cell>
          <cell r="Q442">
            <v>15300000</v>
          </cell>
          <cell r="R442">
            <v>2550000</v>
          </cell>
          <cell r="S442">
            <v>2550000</v>
          </cell>
          <cell r="T442">
            <v>17850000</v>
          </cell>
          <cell r="U442">
            <v>17850000</v>
          </cell>
        </row>
        <row r="443">
          <cell r="A443" t="str">
            <v>BoQ_381</v>
          </cell>
          <cell r="B443">
            <v>381</v>
          </cell>
          <cell r="C443">
            <v>362</v>
          </cell>
          <cell r="D443" t="str">
            <v xml:space="preserve">Flag pole, H=7.5m
Cột cờ </v>
          </cell>
          <cell r="E443" t="str">
            <v>SUS 304, included accessory</v>
          </cell>
          <cell r="F443" t="str">
            <v>NHA_BAO_VE</v>
          </cell>
          <cell r="G443" t="str">
            <v>Cong_tac_khac</v>
          </cell>
          <cell r="H443" t="str">
            <v>Co_khi</v>
          </cell>
          <cell r="I443" t="str">
            <v>Cột cờ</v>
          </cell>
          <cell r="L443" t="str">
            <v>set</v>
          </cell>
          <cell r="M443">
            <v>3</v>
          </cell>
          <cell r="N443">
            <v>2500000</v>
          </cell>
          <cell r="O443">
            <v>1000000</v>
          </cell>
          <cell r="P443">
            <v>2550000</v>
          </cell>
          <cell r="Q443">
            <v>7650000</v>
          </cell>
          <cell r="R443">
            <v>1020000</v>
          </cell>
          <cell r="S443">
            <v>3060000</v>
          </cell>
          <cell r="T443">
            <v>3570000</v>
          </cell>
          <cell r="U443">
            <v>10710000</v>
          </cell>
        </row>
        <row r="444">
          <cell r="C444">
            <v>7</v>
          </cell>
          <cell r="D444" t="str">
            <v>NHÀ XE MÁY</v>
          </cell>
        </row>
        <row r="445">
          <cell r="C445">
            <v>1</v>
          </cell>
          <cell r="D445" t="str">
            <v>EARTH WORK
CÔNG TÁC ĐẤT</v>
          </cell>
        </row>
        <row r="446">
          <cell r="A446" t="str">
            <v>BoQ_382</v>
          </cell>
          <cell r="B446">
            <v>382</v>
          </cell>
          <cell r="C446">
            <v>363</v>
          </cell>
          <cell r="D446" t="str">
            <v>Excavation 
Đào đất</v>
          </cell>
          <cell r="F446" t="str">
            <v>NHA_XE_MAY</v>
          </cell>
          <cell r="G446" t="str">
            <v>Cong_tac_dat</v>
          </cell>
          <cell r="H446" t="str">
            <v>Dao_dat</v>
          </cell>
          <cell r="L446" t="str">
            <v>m3</v>
          </cell>
          <cell r="M446">
            <v>129.285</v>
          </cell>
          <cell r="O446">
            <v>22000</v>
          </cell>
          <cell r="P446">
            <v>0</v>
          </cell>
          <cell r="Q446">
            <v>0</v>
          </cell>
          <cell r="R446">
            <v>22440</v>
          </cell>
          <cell r="S446">
            <v>2901155.4</v>
          </cell>
          <cell r="T446">
            <v>22440</v>
          </cell>
          <cell r="U446">
            <v>2901155.4</v>
          </cell>
        </row>
        <row r="447">
          <cell r="A447" t="str">
            <v>BoQ_383</v>
          </cell>
          <cell r="B447">
            <v>383</v>
          </cell>
          <cell r="C447">
            <v>364</v>
          </cell>
          <cell r="D447" t="str">
            <v>Compact foundation by hand 
Đầm nền móng bằng đầm cóc</v>
          </cell>
          <cell r="F447" t="str">
            <v>NHA_XE_MAY</v>
          </cell>
          <cell r="G447" t="str">
            <v>Cong_tac_dat</v>
          </cell>
          <cell r="H447" t="str">
            <v>Dam_dat</v>
          </cell>
          <cell r="L447" t="str">
            <v>m2</v>
          </cell>
          <cell r="M447">
            <v>66.3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</row>
        <row r="448">
          <cell r="A448" t="str">
            <v>BoQ_384</v>
          </cell>
          <cell r="B448">
            <v>384</v>
          </cell>
          <cell r="C448">
            <v>365</v>
          </cell>
          <cell r="D448" t="str">
            <v>Backfilling sand for foundation
Lấp  đất móng</v>
          </cell>
          <cell r="F448" t="str">
            <v>NHA_XE_MAY</v>
          </cell>
          <cell r="G448" t="str">
            <v>Cong_tac_dat</v>
          </cell>
          <cell r="H448" t="str">
            <v>Lap_dat</v>
          </cell>
          <cell r="L448" t="str">
            <v>m3</v>
          </cell>
          <cell r="M448">
            <v>109.89224999999999</v>
          </cell>
          <cell r="N448">
            <v>316800</v>
          </cell>
          <cell r="O448">
            <v>25000</v>
          </cell>
          <cell r="P448">
            <v>323136</v>
          </cell>
          <cell r="Q448">
            <v>35510142.095999993</v>
          </cell>
          <cell r="R448">
            <v>25500</v>
          </cell>
          <cell r="S448">
            <v>2802252.3749999995</v>
          </cell>
          <cell r="T448">
            <v>348636</v>
          </cell>
          <cell r="U448">
            <v>38312394.470999993</v>
          </cell>
        </row>
        <row r="449">
          <cell r="A449" t="str">
            <v>BoQ_385</v>
          </cell>
          <cell r="B449">
            <v>385</v>
          </cell>
          <cell r="C449">
            <v>366</v>
          </cell>
          <cell r="D449" t="str">
            <v>Remove surplus soil 
Vận chuyển đất thừa</v>
          </cell>
          <cell r="F449" t="str">
            <v>NHA_XE_MAY</v>
          </cell>
          <cell r="G449" t="str">
            <v>Cong_tac_dat</v>
          </cell>
          <cell r="H449" t="str">
            <v>Van_chuyen_dat</v>
          </cell>
          <cell r="L449" t="str">
            <v>m3</v>
          </cell>
          <cell r="M449">
            <v>0</v>
          </cell>
          <cell r="O449">
            <v>22000</v>
          </cell>
          <cell r="P449">
            <v>0</v>
          </cell>
          <cell r="Q449">
            <v>0</v>
          </cell>
          <cell r="R449">
            <v>22440</v>
          </cell>
          <cell r="S449">
            <v>0</v>
          </cell>
          <cell r="T449">
            <v>22440</v>
          </cell>
          <cell r="U449">
            <v>0</v>
          </cell>
        </row>
        <row r="450">
          <cell r="A450" t="str">
            <v>BoQ_386</v>
          </cell>
          <cell r="B450">
            <v>386</v>
          </cell>
          <cell r="C450">
            <v>367</v>
          </cell>
          <cell r="D450" t="str">
            <v>Natural soil well compacted, k = 0.95 
Đầm nền đất tự nhiên</v>
          </cell>
          <cell r="F450" t="str">
            <v>NHA_XE_MAY</v>
          </cell>
          <cell r="G450" t="str">
            <v>Cong_tac_dat</v>
          </cell>
          <cell r="H450" t="str">
            <v>Dam_nen</v>
          </cell>
          <cell r="L450" t="str">
            <v>m2</v>
          </cell>
          <cell r="M450">
            <v>658.80000000000007</v>
          </cell>
          <cell r="O450">
            <v>25000</v>
          </cell>
          <cell r="P450">
            <v>0</v>
          </cell>
          <cell r="Q450">
            <v>0</v>
          </cell>
          <cell r="R450">
            <v>25500</v>
          </cell>
          <cell r="S450">
            <v>16799400</v>
          </cell>
          <cell r="T450">
            <v>25500</v>
          </cell>
          <cell r="U450">
            <v>16799400</v>
          </cell>
        </row>
        <row r="451">
          <cell r="A451" t="str">
            <v>BoQ_387</v>
          </cell>
          <cell r="B451">
            <v>387</v>
          </cell>
          <cell r="C451">
            <v>368</v>
          </cell>
          <cell r="D451" t="str">
            <v>Crushed  base stone well compacted, K=0.98
Lớp đá base đầm chặt</v>
          </cell>
          <cell r="E451" t="str">
            <v>200mm Thk</v>
          </cell>
          <cell r="F451" t="str">
            <v>NHA_XE_MAY</v>
          </cell>
          <cell r="G451" t="str">
            <v>Cong_tac_dat</v>
          </cell>
          <cell r="H451" t="str">
            <v>Lap_da</v>
          </cell>
          <cell r="L451" t="str">
            <v>m3</v>
          </cell>
          <cell r="M451">
            <v>284.60160000000002</v>
          </cell>
          <cell r="N451">
            <v>397600</v>
          </cell>
          <cell r="O451">
            <v>45000</v>
          </cell>
          <cell r="P451">
            <v>405552</v>
          </cell>
          <cell r="Q451">
            <v>115420748.08320001</v>
          </cell>
          <cell r="R451">
            <v>45900</v>
          </cell>
          <cell r="S451">
            <v>13063213.440000001</v>
          </cell>
          <cell r="T451">
            <v>451452</v>
          </cell>
          <cell r="U451">
            <v>128483961.52320001</v>
          </cell>
        </row>
        <row r="452">
          <cell r="A452" t="str">
            <v>BoQ_388</v>
          </cell>
          <cell r="B452">
            <v>388</v>
          </cell>
          <cell r="C452">
            <v>369</v>
          </cell>
          <cell r="D452" t="str">
            <v>Black sand filling k=0.95 
Cát tôn nền đầm chặt</v>
          </cell>
          <cell r="E452" t="str">
            <v>300mm Thk</v>
          </cell>
          <cell r="F452" t="str">
            <v>NHA_XE_MAY</v>
          </cell>
          <cell r="G452" t="str">
            <v>Cong_tac_dat</v>
          </cell>
          <cell r="H452" t="str">
            <v>Lap_cat</v>
          </cell>
          <cell r="L452" t="str">
            <v>m3</v>
          </cell>
          <cell r="M452">
            <v>0</v>
          </cell>
          <cell r="N452">
            <v>316800</v>
          </cell>
          <cell r="O452">
            <v>25000</v>
          </cell>
          <cell r="P452">
            <v>323136</v>
          </cell>
          <cell r="Q452">
            <v>0</v>
          </cell>
          <cell r="R452">
            <v>25500</v>
          </cell>
          <cell r="S452">
            <v>0</v>
          </cell>
          <cell r="T452">
            <v>348636</v>
          </cell>
          <cell r="U452">
            <v>0</v>
          </cell>
        </row>
        <row r="453">
          <cell r="A453" t="str">
            <v>BoQ_389</v>
          </cell>
          <cell r="B453">
            <v>389</v>
          </cell>
          <cell r="C453">
            <v>370</v>
          </cell>
          <cell r="D453" t="str">
            <v>PVC film layer under ground slab
Lớp nylon lót nền</v>
          </cell>
          <cell r="E453" t="str">
            <v>0.3mm thk</v>
          </cell>
          <cell r="F453" t="str">
            <v>NHA_XE_MAY</v>
          </cell>
          <cell r="G453" t="str">
            <v>Cong_tac_dat</v>
          </cell>
          <cell r="H453" t="str">
            <v>Nilong</v>
          </cell>
          <cell r="L453" t="str">
            <v>m2</v>
          </cell>
          <cell r="M453">
            <v>658.80000000000007</v>
          </cell>
          <cell r="N453">
            <v>3500</v>
          </cell>
          <cell r="O453">
            <v>1000</v>
          </cell>
          <cell r="P453">
            <v>3570</v>
          </cell>
          <cell r="Q453">
            <v>2351916.0000000005</v>
          </cell>
          <cell r="R453">
            <v>1020</v>
          </cell>
          <cell r="S453">
            <v>671976.00000000012</v>
          </cell>
          <cell r="T453">
            <v>4590</v>
          </cell>
          <cell r="U453">
            <v>3023892.0000000005</v>
          </cell>
        </row>
        <row r="454">
          <cell r="C454">
            <v>2</v>
          </cell>
          <cell r="D454" t="str">
            <v>CONCRETE WORK
CÔNG TÁC BÊ TÔNG</v>
          </cell>
        </row>
        <row r="455">
          <cell r="A455" t="str">
            <v>BoQ_390</v>
          </cell>
          <cell r="B455">
            <v>390</v>
          </cell>
          <cell r="C455">
            <v>371</v>
          </cell>
          <cell r="D455" t="str">
            <v>Lean concrete grade 100, stone 10x20, 100mm thk
Bê tông lót</v>
          </cell>
          <cell r="E455" t="str">
            <v>Foundation &amp; ground beam</v>
          </cell>
          <cell r="F455" t="str">
            <v>NHA_XE_MAY</v>
          </cell>
          <cell r="G455" t="str">
            <v>Cong_tac_be_tong</v>
          </cell>
          <cell r="H455" t="str">
            <v>Be_tong</v>
          </cell>
          <cell r="J455" t="str">
            <v>M100</v>
          </cell>
          <cell r="L455" t="str">
            <v>m3</v>
          </cell>
          <cell r="M455">
            <v>8.3979999999999997</v>
          </cell>
          <cell r="N455">
            <v>720000</v>
          </cell>
          <cell r="O455">
            <v>110000</v>
          </cell>
          <cell r="P455">
            <v>734400</v>
          </cell>
          <cell r="Q455">
            <v>6167491.2000000002</v>
          </cell>
          <cell r="R455">
            <v>112200</v>
          </cell>
          <cell r="S455">
            <v>942255.6</v>
          </cell>
          <cell r="T455">
            <v>846600</v>
          </cell>
          <cell r="U455">
            <v>7109746.7999999998</v>
          </cell>
        </row>
        <row r="456">
          <cell r="A456" t="str">
            <v>BoQ_391</v>
          </cell>
          <cell r="B456">
            <v>391</v>
          </cell>
          <cell r="C456">
            <v>372</v>
          </cell>
          <cell r="D456" t="str">
            <v>Concrete grade 300, stone aggregate 10x20.
Bê tông nền</v>
          </cell>
          <cell r="E456" t="str">
            <v xml:space="preserve">Foundation &amp; Ground Beam </v>
          </cell>
          <cell r="F456" t="str">
            <v>NHA_XE_MAY</v>
          </cell>
          <cell r="G456" t="str">
            <v>Cong_tac_be_tong</v>
          </cell>
          <cell r="H456" t="str">
            <v>Be_tong</v>
          </cell>
          <cell r="J456" t="str">
            <v>M300</v>
          </cell>
          <cell r="L456" t="str">
            <v>m3</v>
          </cell>
          <cell r="M456">
            <v>88.236000000000004</v>
          </cell>
          <cell r="N456">
            <v>910000</v>
          </cell>
          <cell r="O456">
            <v>110000</v>
          </cell>
          <cell r="P456">
            <v>928200</v>
          </cell>
          <cell r="Q456">
            <v>81900655.200000003</v>
          </cell>
          <cell r="R456">
            <v>112200</v>
          </cell>
          <cell r="S456">
            <v>9900079.2000000011</v>
          </cell>
          <cell r="T456">
            <v>1040400</v>
          </cell>
          <cell r="U456">
            <v>91800734.400000006</v>
          </cell>
        </row>
        <row r="457">
          <cell r="A457" t="str">
            <v>BoQ_392</v>
          </cell>
          <cell r="B457">
            <v>392</v>
          </cell>
          <cell r="C457">
            <v>373</v>
          </cell>
          <cell r="D457" t="str">
            <v>Xoa nền bê tông</v>
          </cell>
          <cell r="F457" t="str">
            <v>NHA_XE_MAY</v>
          </cell>
          <cell r="G457" t="str">
            <v>Cong_tac_be_tong</v>
          </cell>
          <cell r="H457" t="str">
            <v>Xoa_nen</v>
          </cell>
          <cell r="L457" t="str">
            <v>m2</v>
          </cell>
          <cell r="M457">
            <v>658.80000000000007</v>
          </cell>
          <cell r="O457">
            <v>16000</v>
          </cell>
          <cell r="P457">
            <v>0</v>
          </cell>
          <cell r="Q457">
            <v>0</v>
          </cell>
          <cell r="R457">
            <v>16320</v>
          </cell>
          <cell r="S457">
            <v>10751616.000000002</v>
          </cell>
          <cell r="T457">
            <v>16320</v>
          </cell>
          <cell r="U457">
            <v>10751616.000000002</v>
          </cell>
        </row>
        <row r="458">
          <cell r="A458" t="str">
            <v>BoQ_393</v>
          </cell>
          <cell r="B458">
            <v>393</v>
          </cell>
          <cell r="C458">
            <v>374</v>
          </cell>
          <cell r="D458" t="str">
            <v>Concrete curing by pouring wate
Bảo dưỡng bê tông</v>
          </cell>
          <cell r="F458" t="str">
            <v>NHA_XE_MAY</v>
          </cell>
          <cell r="G458" t="str">
            <v>Cong_tac_be_tong</v>
          </cell>
          <cell r="H458" t="str">
            <v>Bao_duong_be_tong</v>
          </cell>
          <cell r="L458" t="str">
            <v>m3</v>
          </cell>
          <cell r="M458">
            <v>96.634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</row>
        <row r="459">
          <cell r="C459">
            <v>3</v>
          </cell>
          <cell r="D459" t="str">
            <v>FORM WORK 
CÔNG TÁC VÁN KHUÔN</v>
          </cell>
        </row>
        <row r="460">
          <cell r="A460" t="str">
            <v>BoQ_394</v>
          </cell>
          <cell r="B460">
            <v>394</v>
          </cell>
          <cell r="C460">
            <v>375</v>
          </cell>
          <cell r="D460" t="str">
            <v>For concrete (Foundation &amp; Ground Beam)
Ván khuôn móng, giằng móng</v>
          </cell>
          <cell r="E460" t="str">
            <v>Steel boxes &amp; Plywood form</v>
          </cell>
          <cell r="F460" t="str">
            <v>NHA_XE_MAY</v>
          </cell>
          <cell r="G460" t="str">
            <v>Cong_tac_van_khuon</v>
          </cell>
          <cell r="L460" t="str">
            <v>m²</v>
          </cell>
          <cell r="M460">
            <v>24.96</v>
          </cell>
          <cell r="N460">
            <v>70000</v>
          </cell>
          <cell r="O460">
            <v>120000</v>
          </cell>
          <cell r="P460">
            <v>71400</v>
          </cell>
          <cell r="Q460">
            <v>1782144</v>
          </cell>
          <cell r="R460">
            <v>122400</v>
          </cell>
          <cell r="S460">
            <v>3055104</v>
          </cell>
          <cell r="T460">
            <v>193800</v>
          </cell>
          <cell r="U460">
            <v>4837248</v>
          </cell>
        </row>
        <row r="461">
          <cell r="A461" t="str">
            <v>BoQ_395</v>
          </cell>
          <cell r="B461">
            <v>395</v>
          </cell>
          <cell r="C461">
            <v>376</v>
          </cell>
          <cell r="D461" t="str">
            <v>For concrete (Calumn)
Ván khuôn cột</v>
          </cell>
          <cell r="E461" t="str">
            <v>Steel boxes &amp; Plywood form</v>
          </cell>
          <cell r="F461" t="str">
            <v>NHA_XE_MAY</v>
          </cell>
          <cell r="G461" t="str">
            <v>Cong_tac_van_khuon</v>
          </cell>
          <cell r="L461" t="str">
            <v>m²</v>
          </cell>
          <cell r="M461">
            <v>59.176000000000002</v>
          </cell>
          <cell r="N461">
            <v>70000</v>
          </cell>
          <cell r="O461">
            <v>120000</v>
          </cell>
          <cell r="P461">
            <v>71400</v>
          </cell>
          <cell r="Q461">
            <v>4225166.4000000004</v>
          </cell>
          <cell r="R461">
            <v>122400</v>
          </cell>
          <cell r="S461">
            <v>7243142.4000000004</v>
          </cell>
          <cell r="T461">
            <v>193800</v>
          </cell>
          <cell r="U461">
            <v>11468308.800000001</v>
          </cell>
        </row>
        <row r="462">
          <cell r="C462">
            <v>4</v>
          </cell>
          <cell r="D462" t="str">
            <v>REBAR WORK
CÔNG TÁC THÉP</v>
          </cell>
        </row>
        <row r="463">
          <cell r="A463" t="str">
            <v>BoQ_396</v>
          </cell>
          <cell r="B463">
            <v>396</v>
          </cell>
          <cell r="C463">
            <v>377</v>
          </cell>
          <cell r="D463" t="str">
            <v>Manufacture and assemble of reinforcement for Foundation, Base Column, Ground beam , Ground slab &amp; Roof
Thép cho toàn bộ cấu kiện</v>
          </cell>
          <cell r="E463" t="str">
            <v>CB-240 &amp; CB-300V</v>
          </cell>
          <cell r="F463" t="str">
            <v>NHA_XE_MAY</v>
          </cell>
          <cell r="G463" t="str">
            <v>Cong_tac_cot_thep</v>
          </cell>
          <cell r="L463" t="str">
            <v>ton</v>
          </cell>
          <cell r="M463">
            <v>2.6451359999999999</v>
          </cell>
          <cell r="N463">
            <v>14500000</v>
          </cell>
          <cell r="O463">
            <v>2300000</v>
          </cell>
          <cell r="P463">
            <v>14790000</v>
          </cell>
          <cell r="Q463">
            <v>39121561.439999998</v>
          </cell>
          <cell r="R463">
            <v>2346000</v>
          </cell>
          <cell r="S463">
            <v>6205489.0559999999</v>
          </cell>
          <cell r="T463">
            <v>17136000</v>
          </cell>
          <cell r="U463">
            <v>45327050.495999999</v>
          </cell>
        </row>
        <row r="464">
          <cell r="C464">
            <v>6</v>
          </cell>
          <cell r="D464" t="str">
            <v xml:space="preserve"> CÔNG TÁC MÁI
ROOFING WORK</v>
          </cell>
        </row>
        <row r="465">
          <cell r="A465" t="str">
            <v>BoQ_397</v>
          </cell>
          <cell r="B465">
            <v>397</v>
          </cell>
          <cell r="C465">
            <v>378</v>
          </cell>
          <cell r="D465" t="str">
            <v>Tôn mái dày 0.4mm
Metal sheet roof, 0,4mm thickness</v>
          </cell>
          <cell r="F465" t="str">
            <v>NHA_XE_MAY</v>
          </cell>
          <cell r="G465" t="str">
            <v>Cong_tac_mai</v>
          </cell>
          <cell r="H465" t="str">
            <v>Lop_mai</v>
          </cell>
          <cell r="I465" t="str">
            <v>Mái</v>
          </cell>
          <cell r="J465" t="str">
            <v xml:space="preserve">Tôn </v>
          </cell>
          <cell r="K465" t="str">
            <v>0.4mm</v>
          </cell>
          <cell r="L465" t="str">
            <v>m²</v>
          </cell>
          <cell r="M465">
            <v>669.9</v>
          </cell>
          <cell r="N465">
            <v>145000</v>
          </cell>
          <cell r="O465">
            <v>65000</v>
          </cell>
          <cell r="P465">
            <v>147900</v>
          </cell>
          <cell r="Q465">
            <v>99078210</v>
          </cell>
          <cell r="R465">
            <v>66300</v>
          </cell>
          <cell r="S465">
            <v>44414370</v>
          </cell>
          <cell r="T465">
            <v>214200</v>
          </cell>
          <cell r="U465">
            <v>143492580</v>
          </cell>
        </row>
        <row r="466">
          <cell r="A466" t="str">
            <v>BoQ_398</v>
          </cell>
          <cell r="B466">
            <v>398</v>
          </cell>
          <cell r="C466">
            <v>379</v>
          </cell>
          <cell r="D466" t="str">
            <v>Pluin
Xà gồ mái</v>
          </cell>
          <cell r="F466" t="str">
            <v>NHA_XE_MAY</v>
          </cell>
          <cell r="G466" t="str">
            <v>Cong_tac_ket_cau_thep</v>
          </cell>
          <cell r="H466" t="str">
            <v>Ket_cau_thep</v>
          </cell>
          <cell r="I466" t="str">
            <v>Mái</v>
          </cell>
          <cell r="L466" t="str">
            <v>kg</v>
          </cell>
          <cell r="M466">
            <v>4421.3399999999992</v>
          </cell>
          <cell r="N466">
            <v>22500</v>
          </cell>
          <cell r="O466">
            <v>2400</v>
          </cell>
          <cell r="P466">
            <v>22950</v>
          </cell>
          <cell r="Q466">
            <v>101469752.99999999</v>
          </cell>
          <cell r="R466">
            <v>2448</v>
          </cell>
          <cell r="S466">
            <v>10823440.319999998</v>
          </cell>
          <cell r="T466">
            <v>25398</v>
          </cell>
          <cell r="U466">
            <v>112293193.31999998</v>
          </cell>
        </row>
        <row r="467">
          <cell r="A467" t="str">
            <v>BoQ_399</v>
          </cell>
          <cell r="B467">
            <v>399</v>
          </cell>
          <cell r="C467">
            <v>380</v>
          </cell>
          <cell r="D467" t="str">
            <v>Steel frame 
Kèo  mái</v>
          </cell>
          <cell r="F467" t="str">
            <v>NHA_XE_MAY</v>
          </cell>
          <cell r="G467" t="str">
            <v>Cong_tac_ket_cau_thep</v>
          </cell>
          <cell r="H467" t="str">
            <v>Ket_cau_thep</v>
          </cell>
          <cell r="I467" t="str">
            <v>Mái</v>
          </cell>
          <cell r="L467" t="str">
            <v>kg</v>
          </cell>
          <cell r="M467">
            <v>3410.8852377600001</v>
          </cell>
          <cell r="N467">
            <v>22500</v>
          </cell>
          <cell r="O467">
            <v>2400</v>
          </cell>
          <cell r="P467">
            <v>22950</v>
          </cell>
          <cell r="Q467">
            <v>78279816.206592008</v>
          </cell>
          <cell r="R467">
            <v>2448</v>
          </cell>
          <cell r="S467">
            <v>8349847.0620364798</v>
          </cell>
          <cell r="T467">
            <v>25398</v>
          </cell>
          <cell r="U467">
            <v>86629663.268628478</v>
          </cell>
        </row>
        <row r="468">
          <cell r="A468" t="str">
            <v>BoQ_400</v>
          </cell>
          <cell r="B468">
            <v>400</v>
          </cell>
          <cell r="C468">
            <v>381</v>
          </cell>
          <cell r="D468" t="str">
            <v>Bulon M16
Anchor bolt</v>
          </cell>
          <cell r="F468" t="str">
            <v>NHA_XE_MAY</v>
          </cell>
          <cell r="G468" t="str">
            <v>Cong_tac_ket_cau_thep</v>
          </cell>
          <cell r="H468" t="str">
            <v>Bulong</v>
          </cell>
          <cell r="I468" t="str">
            <v>Móng</v>
          </cell>
          <cell r="K468" t="str">
            <v>M16</v>
          </cell>
          <cell r="L468" t="str">
            <v>Bộ</v>
          </cell>
          <cell r="M468">
            <v>104</v>
          </cell>
          <cell r="N468">
            <v>144900</v>
          </cell>
          <cell r="O468">
            <v>99750</v>
          </cell>
          <cell r="P468">
            <v>147798</v>
          </cell>
          <cell r="Q468">
            <v>15370992</v>
          </cell>
          <cell r="R468">
            <v>101745</v>
          </cell>
          <cell r="S468">
            <v>10581480</v>
          </cell>
          <cell r="T468">
            <v>249543</v>
          </cell>
          <cell r="U468">
            <v>25952472</v>
          </cell>
        </row>
        <row r="469">
          <cell r="A469" t="str">
            <v>BoQ_401</v>
          </cell>
          <cell r="B469">
            <v>401</v>
          </cell>
          <cell r="C469">
            <v>382</v>
          </cell>
          <cell r="D469" t="str">
            <v>Sika grout</v>
          </cell>
          <cell r="F469" t="str">
            <v>NHA_XE_MAY</v>
          </cell>
          <cell r="G469" t="str">
            <v>Cong_tac_ket_cau_thep</v>
          </cell>
          <cell r="H469" t="str">
            <v>Sika grout</v>
          </cell>
          <cell r="I469" t="str">
            <v>Móng</v>
          </cell>
          <cell r="L469" t="str">
            <v>lot</v>
          </cell>
          <cell r="M469">
            <v>1</v>
          </cell>
          <cell r="N469">
            <v>1000000</v>
          </cell>
          <cell r="P469">
            <v>1020000</v>
          </cell>
          <cell r="Q469">
            <v>1020000</v>
          </cell>
          <cell r="R469">
            <v>0</v>
          </cell>
          <cell r="S469">
            <v>0</v>
          </cell>
          <cell r="T469">
            <v>1020000</v>
          </cell>
          <cell r="U469">
            <v>1020000</v>
          </cell>
        </row>
        <row r="470">
          <cell r="A470" t="str">
            <v>BoQ_402</v>
          </cell>
          <cell r="B470">
            <v>402</v>
          </cell>
          <cell r="C470">
            <v>383</v>
          </cell>
          <cell r="D470" t="str">
            <v>C/S Flashing ridge lower
Diềm đỉnh tường</v>
          </cell>
          <cell r="F470" t="str">
            <v>NHA_XE_MAY</v>
          </cell>
          <cell r="G470" t="str">
            <v>Cong_tac_mai</v>
          </cell>
          <cell r="H470" t="str">
            <v>Diem_mai</v>
          </cell>
          <cell r="I470" t="str">
            <v>Mái</v>
          </cell>
          <cell r="L470" t="str">
            <v>md</v>
          </cell>
          <cell r="M470">
            <v>122</v>
          </cell>
          <cell r="N470">
            <v>85000</v>
          </cell>
          <cell r="O470">
            <v>65000</v>
          </cell>
          <cell r="P470">
            <v>86700</v>
          </cell>
          <cell r="Q470">
            <v>10577400</v>
          </cell>
          <cell r="R470">
            <v>66300</v>
          </cell>
          <cell r="S470">
            <v>8088600</v>
          </cell>
          <cell r="T470">
            <v>153000</v>
          </cell>
          <cell r="U470">
            <v>18666000</v>
          </cell>
        </row>
        <row r="471">
          <cell r="A471" t="str">
            <v>BoQ_403</v>
          </cell>
          <cell r="B471">
            <v>403</v>
          </cell>
          <cell r="C471">
            <v>384</v>
          </cell>
          <cell r="D471" t="str">
            <v>Máng nước inox
SUS Gutter</v>
          </cell>
          <cell r="E471" t="str">
            <v>Thk 1mm</v>
          </cell>
          <cell r="F471" t="str">
            <v>NHA_XE_MAY</v>
          </cell>
          <cell r="G471" t="str">
            <v>Cong_tac_mai</v>
          </cell>
          <cell r="H471" t="str">
            <v>Mang_nuoc</v>
          </cell>
          <cell r="I471" t="str">
            <v>Mái</v>
          </cell>
          <cell r="J471" t="str">
            <v>Inox</v>
          </cell>
          <cell r="K471" t="str">
            <v>1mm</v>
          </cell>
          <cell r="L471" t="str">
            <v>m</v>
          </cell>
          <cell r="M471">
            <v>122</v>
          </cell>
          <cell r="N471">
            <v>550000</v>
          </cell>
          <cell r="O471">
            <v>125000</v>
          </cell>
          <cell r="P471">
            <v>561000</v>
          </cell>
          <cell r="Q471">
            <v>68442000</v>
          </cell>
          <cell r="R471">
            <v>127500</v>
          </cell>
          <cell r="S471">
            <v>15555000</v>
          </cell>
          <cell r="T471">
            <v>688500</v>
          </cell>
          <cell r="U471">
            <v>83997000</v>
          </cell>
        </row>
        <row r="472">
          <cell r="A472" t="str">
            <v>BoQ_404</v>
          </cell>
          <cell r="B472">
            <v>404</v>
          </cell>
          <cell r="C472">
            <v>385</v>
          </cell>
          <cell r="D472" t="str">
            <v>Giá đỡ máng nước
SUS Gutter Supporter</v>
          </cell>
          <cell r="E472" t="str">
            <v>By L bar</v>
          </cell>
          <cell r="F472" t="str">
            <v>NHA_XE_MAY</v>
          </cell>
          <cell r="G472" t="str">
            <v>Cong_tac_mai</v>
          </cell>
          <cell r="H472" t="str">
            <v>Phu_kien</v>
          </cell>
          <cell r="I472" t="str">
            <v>Mái</v>
          </cell>
          <cell r="L472" t="str">
            <v>ea</v>
          </cell>
          <cell r="M472">
            <v>244</v>
          </cell>
          <cell r="N472">
            <v>95000</v>
          </cell>
          <cell r="O472">
            <v>55000</v>
          </cell>
          <cell r="P472">
            <v>96900</v>
          </cell>
          <cell r="Q472">
            <v>23643600</v>
          </cell>
          <cell r="R472">
            <v>56100</v>
          </cell>
          <cell r="S472">
            <v>13688400</v>
          </cell>
          <cell r="T472">
            <v>153000</v>
          </cell>
          <cell r="U472">
            <v>37332000</v>
          </cell>
        </row>
        <row r="473">
          <cell r="A473" t="str">
            <v>BoQ_405</v>
          </cell>
          <cell r="B473">
            <v>405</v>
          </cell>
          <cell r="C473">
            <v>386</v>
          </cell>
          <cell r="D473" t="str">
            <v>Vật tư phụ
Sub-Materials</v>
          </cell>
          <cell r="F473" t="str">
            <v>NHA_XE_MAY</v>
          </cell>
          <cell r="G473" t="str">
            <v>Cong_tac_mai</v>
          </cell>
          <cell r="H473" t="str">
            <v>Vat_tu_phu</v>
          </cell>
          <cell r="I473" t="str">
            <v>Mái</v>
          </cell>
          <cell r="L473" t="str">
            <v>m2</v>
          </cell>
          <cell r="M473">
            <v>4421.3399999999992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</row>
        <row r="474">
          <cell r="A474" t="str">
            <v>BoQ_406</v>
          </cell>
          <cell r="B474">
            <v>406</v>
          </cell>
          <cell r="C474">
            <v>387</v>
          </cell>
          <cell r="D474" t="str">
            <v>UPVC Down Spout, D90
Ống thoát nước UPVC</v>
          </cell>
          <cell r="E474" t="str">
            <v>Tiền Phong, C2</v>
          </cell>
          <cell r="F474" t="str">
            <v>NHA_XE_MAY</v>
          </cell>
          <cell r="G474" t="str">
            <v>Cong_tac_mai</v>
          </cell>
          <cell r="H474" t="str">
            <v>Ong_thoat_nuoc</v>
          </cell>
          <cell r="I474" t="str">
            <v>Mái</v>
          </cell>
          <cell r="J474" t="str">
            <v>Upvc</v>
          </cell>
          <cell r="K474" t="str">
            <v>D90</v>
          </cell>
          <cell r="L474" t="str">
            <v>m</v>
          </cell>
          <cell r="M474">
            <v>104</v>
          </cell>
          <cell r="N474">
            <v>95000</v>
          </cell>
          <cell r="O474">
            <v>55000</v>
          </cell>
          <cell r="P474">
            <v>96900</v>
          </cell>
          <cell r="Q474">
            <v>10077600</v>
          </cell>
          <cell r="R474">
            <v>56100</v>
          </cell>
          <cell r="S474">
            <v>5834400</v>
          </cell>
          <cell r="T474">
            <v>153000</v>
          </cell>
          <cell r="U474">
            <v>15912000</v>
          </cell>
        </row>
        <row r="475">
          <cell r="A475" t="str">
            <v>BoQ_407</v>
          </cell>
          <cell r="B475">
            <v>407</v>
          </cell>
          <cell r="C475">
            <v>388</v>
          </cell>
          <cell r="D475" t="str">
            <v>Côn, cút ống thoát 
Down Spout Elbow</v>
          </cell>
          <cell r="F475" t="str">
            <v>NHA_XE_MAY</v>
          </cell>
          <cell r="G475" t="str">
            <v>Cong_tac_mai</v>
          </cell>
          <cell r="H475" t="str">
            <v>Phu_kien</v>
          </cell>
          <cell r="I475" t="str">
            <v>Mái</v>
          </cell>
          <cell r="L475" t="str">
            <v>ea</v>
          </cell>
          <cell r="M475">
            <v>78</v>
          </cell>
          <cell r="N475">
            <v>95000</v>
          </cell>
          <cell r="O475">
            <v>55000</v>
          </cell>
          <cell r="P475">
            <v>96900</v>
          </cell>
          <cell r="Q475">
            <v>7558200</v>
          </cell>
          <cell r="R475">
            <v>56100</v>
          </cell>
          <cell r="S475">
            <v>4375800</v>
          </cell>
          <cell r="T475">
            <v>153000</v>
          </cell>
          <cell r="U475">
            <v>11934000</v>
          </cell>
        </row>
        <row r="476">
          <cell r="A476" t="str">
            <v>BoQ_408</v>
          </cell>
          <cell r="B476">
            <v>408</v>
          </cell>
          <cell r="C476">
            <v>389</v>
          </cell>
          <cell r="D476" t="str">
            <v xml:space="preserve">Phễu tôn thu </v>
          </cell>
          <cell r="F476" t="str">
            <v>NHA_XE_MAY</v>
          </cell>
          <cell r="G476" t="str">
            <v>Cong_tac_mai</v>
          </cell>
          <cell r="H476" t="str">
            <v>Phu_kien</v>
          </cell>
          <cell r="I476" t="str">
            <v>Mái</v>
          </cell>
          <cell r="L476" t="str">
            <v>cái</v>
          </cell>
          <cell r="M476">
            <v>26</v>
          </cell>
          <cell r="N476">
            <v>95000</v>
          </cell>
          <cell r="O476">
            <v>55000</v>
          </cell>
          <cell r="P476">
            <v>96900</v>
          </cell>
          <cell r="Q476">
            <v>2519400</v>
          </cell>
          <cell r="R476">
            <v>56100</v>
          </cell>
          <cell r="S476">
            <v>1458600</v>
          </cell>
          <cell r="T476">
            <v>153000</v>
          </cell>
          <cell r="U476">
            <v>3978000</v>
          </cell>
        </row>
        <row r="477">
          <cell r="A477" t="str">
            <v>BoQ_409</v>
          </cell>
          <cell r="B477">
            <v>409</v>
          </cell>
          <cell r="C477">
            <v>390</v>
          </cell>
          <cell r="D477" t="str">
            <v xml:space="preserve">Quả cầu chắn rác inox
SUS304 Rubbish dome grating </v>
          </cell>
          <cell r="F477" t="str">
            <v>NHA_XE_MAY</v>
          </cell>
          <cell r="G477" t="str">
            <v>Cong_tac_mai</v>
          </cell>
          <cell r="H477" t="str">
            <v>Cau_chan_rac</v>
          </cell>
          <cell r="I477" t="str">
            <v>Mái</v>
          </cell>
          <cell r="L477" t="str">
            <v>cái</v>
          </cell>
          <cell r="M477">
            <v>26</v>
          </cell>
          <cell r="N477">
            <v>105000</v>
          </cell>
          <cell r="O477">
            <v>2500</v>
          </cell>
          <cell r="P477">
            <v>107100</v>
          </cell>
          <cell r="Q477">
            <v>2784600</v>
          </cell>
          <cell r="R477">
            <v>2550</v>
          </cell>
          <cell r="S477">
            <v>66300</v>
          </cell>
          <cell r="T477">
            <v>109650</v>
          </cell>
          <cell r="U477">
            <v>2850900</v>
          </cell>
        </row>
        <row r="478">
          <cell r="A478" t="str">
            <v>BoQ_410</v>
          </cell>
          <cell r="B478">
            <v>410</v>
          </cell>
          <cell r="C478">
            <v>391</v>
          </cell>
          <cell r="D478" t="str">
            <v>Sơn kẻ nền nhà xe
Painting floor</v>
          </cell>
          <cell r="F478" t="str">
            <v>NHA_XE_MAY</v>
          </cell>
          <cell r="G478" t="str">
            <v>Cong_tac_mai</v>
          </cell>
          <cell r="H478" t="str">
            <v>Son_nen</v>
          </cell>
          <cell r="I478" t="str">
            <v>Mái</v>
          </cell>
          <cell r="L478" t="str">
            <v>m2</v>
          </cell>
          <cell r="M478">
            <v>669.9</v>
          </cell>
          <cell r="N478">
            <v>15000</v>
          </cell>
          <cell r="P478">
            <v>15300</v>
          </cell>
          <cell r="Q478">
            <v>10249470</v>
          </cell>
          <cell r="R478">
            <v>0</v>
          </cell>
          <cell r="S478">
            <v>0</v>
          </cell>
          <cell r="T478">
            <v>15300</v>
          </cell>
          <cell r="U478">
            <v>10249470</v>
          </cell>
        </row>
        <row r="479">
          <cell r="A479" t="str">
            <v>BoQ_411</v>
          </cell>
          <cell r="B479">
            <v>411</v>
          </cell>
          <cell r="C479">
            <v>392</v>
          </cell>
          <cell r="D479" t="str">
            <v>Vận chuyển
Transportation</v>
          </cell>
          <cell r="F479" t="str">
            <v>NHA_XE_MAY</v>
          </cell>
          <cell r="G479" t="str">
            <v>Cong_tac_mai</v>
          </cell>
          <cell r="H479" t="str">
            <v>Van_chuyen</v>
          </cell>
          <cell r="I479" t="str">
            <v>Mái</v>
          </cell>
          <cell r="L479" t="str">
            <v>m2</v>
          </cell>
          <cell r="M479">
            <v>669.9</v>
          </cell>
          <cell r="O479">
            <v>5000</v>
          </cell>
          <cell r="P479">
            <v>0</v>
          </cell>
          <cell r="Q479">
            <v>0</v>
          </cell>
          <cell r="R479">
            <v>5100</v>
          </cell>
          <cell r="S479">
            <v>3416490</v>
          </cell>
          <cell r="T479">
            <v>5100</v>
          </cell>
          <cell r="U479">
            <v>3416490</v>
          </cell>
        </row>
        <row r="480">
          <cell r="C480">
            <v>8</v>
          </cell>
          <cell r="D480" t="str">
            <v>SAN LẤP HỒ / Backfill with soil</v>
          </cell>
        </row>
        <row r="481">
          <cell r="A481" t="str">
            <v>BoQ_412</v>
          </cell>
          <cell r="B481">
            <v>412</v>
          </cell>
          <cell r="C481">
            <v>393</v>
          </cell>
          <cell r="D481" t="str">
            <v>Excavation 
Đào  lớp đất bùn</v>
          </cell>
          <cell r="F481" t="str">
            <v>SAN_LAP</v>
          </cell>
          <cell r="G481" t="str">
            <v>Cong_tac_dat</v>
          </cell>
          <cell r="H481" t="str">
            <v>Dao_dat</v>
          </cell>
          <cell r="L481" t="str">
            <v>m3</v>
          </cell>
          <cell r="M481">
            <v>125</v>
          </cell>
          <cell r="O481">
            <v>22000</v>
          </cell>
          <cell r="P481">
            <v>0</v>
          </cell>
          <cell r="Q481">
            <v>0</v>
          </cell>
          <cell r="R481">
            <v>22440</v>
          </cell>
          <cell r="S481">
            <v>2805000</v>
          </cell>
          <cell r="T481">
            <v>22440</v>
          </cell>
          <cell r="U481">
            <v>2805000</v>
          </cell>
        </row>
        <row r="482">
          <cell r="A482" t="str">
            <v>BoQ_413</v>
          </cell>
          <cell r="B482">
            <v>413</v>
          </cell>
          <cell r="C482">
            <v>394</v>
          </cell>
          <cell r="D482" t="str">
            <v>Cọc tre gia cố nền đất dài 2,5m
Bamboo poles reinforce the ground with a length of 2.5m</v>
          </cell>
          <cell r="F482" t="str">
            <v>SAN_LAP</v>
          </cell>
          <cell r="G482" t="str">
            <v>Cong_tac_dat</v>
          </cell>
          <cell r="H482" t="str">
            <v>Coc_tre</v>
          </cell>
          <cell r="L482" t="str">
            <v>m</v>
          </cell>
          <cell r="M482">
            <v>9375</v>
          </cell>
          <cell r="N482">
            <v>7000</v>
          </cell>
          <cell r="O482">
            <v>2500</v>
          </cell>
          <cell r="P482">
            <v>7140</v>
          </cell>
          <cell r="Q482">
            <v>66937500</v>
          </cell>
          <cell r="R482">
            <v>2550</v>
          </cell>
          <cell r="S482">
            <v>23906250</v>
          </cell>
          <cell r="T482">
            <v>9690</v>
          </cell>
          <cell r="U482">
            <v>90843750</v>
          </cell>
        </row>
        <row r="483">
          <cell r="A483" t="str">
            <v>BoQ_414</v>
          </cell>
          <cell r="B483">
            <v>414</v>
          </cell>
          <cell r="C483">
            <v>395</v>
          </cell>
          <cell r="D483" t="str">
            <v>Vận chuyển cọc về công trình
Transporting piles to construction</v>
          </cell>
          <cell r="E483" t="str">
            <v>By trainer and crane</v>
          </cell>
          <cell r="F483" t="str">
            <v>SAN_LAP</v>
          </cell>
          <cell r="G483" t="str">
            <v>Cong_tac_dat</v>
          </cell>
          <cell r="H483" t="str">
            <v>Van_chuyen</v>
          </cell>
          <cell r="L483" t="str">
            <v>m</v>
          </cell>
          <cell r="M483">
            <v>9375</v>
          </cell>
          <cell r="O483">
            <v>10000</v>
          </cell>
          <cell r="P483">
            <v>0</v>
          </cell>
          <cell r="Q483">
            <v>0</v>
          </cell>
          <cell r="R483">
            <v>10200</v>
          </cell>
          <cell r="S483">
            <v>95625000</v>
          </cell>
          <cell r="T483">
            <v>10200</v>
          </cell>
          <cell r="U483">
            <v>95625000</v>
          </cell>
        </row>
        <row r="484">
          <cell r="A484" t="str">
            <v>BoQ_415</v>
          </cell>
          <cell r="B484">
            <v>415</v>
          </cell>
          <cell r="C484">
            <v>396</v>
          </cell>
          <cell r="D484" t="str">
            <v>Compact foundation by hand 
Đầm nền móng bằng đầm cóc</v>
          </cell>
          <cell r="F484" t="str">
            <v>SAN_LAP</v>
          </cell>
          <cell r="G484" t="str">
            <v>Cong_tac_dat</v>
          </cell>
          <cell r="H484" t="str">
            <v>Dam_dat</v>
          </cell>
          <cell r="L484" t="str">
            <v>m2</v>
          </cell>
          <cell r="M484">
            <v>187.5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</row>
        <row r="485">
          <cell r="A485" t="str">
            <v>BoQ_416</v>
          </cell>
          <cell r="B485">
            <v>416</v>
          </cell>
          <cell r="C485">
            <v>397</v>
          </cell>
          <cell r="D485" t="str">
            <v xml:space="preserve">Building Stone Embankment
Xây Kè đá  </v>
          </cell>
          <cell r="F485" t="str">
            <v>SAN_LAP</v>
          </cell>
          <cell r="G485" t="str">
            <v>Cong_tac_dat</v>
          </cell>
          <cell r="H485" t="str">
            <v>Xay_ke</v>
          </cell>
          <cell r="L485" t="str">
            <v>m3</v>
          </cell>
          <cell r="M485">
            <v>562.5</v>
          </cell>
          <cell r="N485">
            <v>1050000</v>
          </cell>
          <cell r="O485">
            <v>750000</v>
          </cell>
          <cell r="P485">
            <v>1071000</v>
          </cell>
          <cell r="Q485">
            <v>602437500</v>
          </cell>
          <cell r="R485">
            <v>765000</v>
          </cell>
          <cell r="S485">
            <v>430312500</v>
          </cell>
          <cell r="T485">
            <v>1836000</v>
          </cell>
          <cell r="U485">
            <v>1032750000</v>
          </cell>
        </row>
        <row r="486">
          <cell r="A486" t="str">
            <v>BoQ_417</v>
          </cell>
          <cell r="B486">
            <v>417</v>
          </cell>
          <cell r="C486">
            <v>398</v>
          </cell>
          <cell r="D486" t="str">
            <v>Embankment drainage pipe
Ống thoát nước bờ kè</v>
          </cell>
          <cell r="F486" t="str">
            <v>SAN_LAP</v>
          </cell>
          <cell r="G486" t="str">
            <v>Cong_tac_dat</v>
          </cell>
          <cell r="H486" t="str">
            <v>Ong_thoat_nuoc</v>
          </cell>
          <cell r="L486" t="str">
            <v>Lot</v>
          </cell>
          <cell r="M486">
            <v>1</v>
          </cell>
          <cell r="N486">
            <v>500000</v>
          </cell>
          <cell r="O486">
            <v>250000</v>
          </cell>
          <cell r="P486">
            <v>510000</v>
          </cell>
          <cell r="Q486">
            <v>510000</v>
          </cell>
          <cell r="R486">
            <v>255000</v>
          </cell>
          <cell r="S486">
            <v>255000</v>
          </cell>
          <cell r="T486">
            <v>765000</v>
          </cell>
          <cell r="U486">
            <v>765000</v>
          </cell>
        </row>
        <row r="487">
          <cell r="A487" t="str">
            <v>BoQ_418</v>
          </cell>
          <cell r="B487">
            <v>418</v>
          </cell>
          <cell r="C487">
            <v>399</v>
          </cell>
          <cell r="D487" t="str">
            <v xml:space="preserve">Backfill with soil
Đất San lấp hồ vị trí làm nhà xe </v>
          </cell>
          <cell r="F487" t="str">
            <v>SAN_LAP</v>
          </cell>
          <cell r="G487" t="str">
            <v>Cong_tac_dat</v>
          </cell>
          <cell r="H487" t="str">
            <v>Lap_dat</v>
          </cell>
          <cell r="L487" t="str">
            <v>m3</v>
          </cell>
          <cell r="M487">
            <v>10434.8125</v>
          </cell>
          <cell r="N487">
            <v>132000</v>
          </cell>
          <cell r="O487">
            <v>25000</v>
          </cell>
          <cell r="P487">
            <v>134640</v>
          </cell>
          <cell r="Q487">
            <v>1404943155</v>
          </cell>
          <cell r="R487">
            <v>25500</v>
          </cell>
          <cell r="S487">
            <v>266087718.75</v>
          </cell>
          <cell r="T487">
            <v>160140</v>
          </cell>
          <cell r="U487">
            <v>1671030873.75</v>
          </cell>
        </row>
        <row r="488">
          <cell r="A488" t="str">
            <v>BoQ_419</v>
          </cell>
          <cell r="B488">
            <v>419</v>
          </cell>
          <cell r="C488">
            <v>400</v>
          </cell>
          <cell r="D488" t="str">
            <v>Vận chuyển
Transport</v>
          </cell>
          <cell r="F488" t="str">
            <v>SAN_LAP</v>
          </cell>
          <cell r="G488" t="str">
            <v>Cong_tac_dat</v>
          </cell>
          <cell r="H488" t="str">
            <v>Van_chuyen</v>
          </cell>
          <cell r="L488" t="str">
            <v>m3</v>
          </cell>
          <cell r="M488">
            <v>10434.8125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</row>
        <row r="489">
          <cell r="A489" t="str">
            <v>BoQ_420</v>
          </cell>
          <cell r="B489">
            <v>420</v>
          </cell>
          <cell r="C489">
            <v>401</v>
          </cell>
          <cell r="D489" t="str">
            <v>Máy thi công đầm chặt
Compaction construction machine</v>
          </cell>
          <cell r="F489" t="str">
            <v>SAN_LAP</v>
          </cell>
          <cell r="G489" t="str">
            <v>Cong_tac_dat</v>
          </cell>
          <cell r="H489" t="str">
            <v>Dam_chat</v>
          </cell>
          <cell r="L489" t="str">
            <v>m3</v>
          </cell>
          <cell r="M489">
            <v>10434.8125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</row>
        <row r="490">
          <cell r="D490" t="str">
            <v>BỂ NƯỚC NGẦM/WATER TANK</v>
          </cell>
        </row>
        <row r="491">
          <cell r="C491">
            <v>1</v>
          </cell>
          <cell r="D491" t="str">
            <v>CÔNG TÁC CỌC/PILE WORKS</v>
          </cell>
        </row>
        <row r="492">
          <cell r="A492" t="str">
            <v>BoQ_421</v>
          </cell>
          <cell r="B492">
            <v>421</v>
          </cell>
          <cell r="C492">
            <v>1</v>
          </cell>
          <cell r="D492" t="str">
            <v>Vận chuyển máy ép cọc về công trình
Mobilization &amp; demobilization of robot equipment</v>
          </cell>
          <cell r="E492" t="str">
            <v>By trainer and crane</v>
          </cell>
          <cell r="F492" t="str">
            <v>BE_NUOC_NGAM</v>
          </cell>
          <cell r="G492" t="str">
            <v>Cong_tac_coc</v>
          </cell>
          <cell r="H492" t="str">
            <v>May_ep_coc</v>
          </cell>
          <cell r="L492">
            <v>0</v>
          </cell>
          <cell r="M492">
            <v>0</v>
          </cell>
          <cell r="O492">
            <v>20000000</v>
          </cell>
          <cell r="P492">
            <v>0</v>
          </cell>
          <cell r="Q492">
            <v>0</v>
          </cell>
          <cell r="R492">
            <v>20400000</v>
          </cell>
          <cell r="S492">
            <v>0</v>
          </cell>
          <cell r="T492">
            <v>20400000</v>
          </cell>
          <cell r="U492">
            <v>0</v>
          </cell>
        </row>
        <row r="493">
          <cell r="A493" t="str">
            <v>BoQ_422</v>
          </cell>
          <cell r="B493">
            <v>422</v>
          </cell>
          <cell r="C493">
            <v>2</v>
          </cell>
          <cell r="D493" t="str">
            <v>Cọc 200x200mm
Concrete spun pile 200x200</v>
          </cell>
          <cell r="F493" t="str">
            <v>BE_NUOC_NGAM</v>
          </cell>
          <cell r="G493" t="str">
            <v>Cong_tac_coc</v>
          </cell>
          <cell r="H493" t="str">
            <v>Ep_coc</v>
          </cell>
          <cell r="I493" t="str">
            <v>Móng</v>
          </cell>
          <cell r="J493" t="str">
            <v>Bê tông</v>
          </cell>
          <cell r="K493" t="str">
            <v>200x200</v>
          </cell>
          <cell r="L493">
            <v>0</v>
          </cell>
          <cell r="M493">
            <v>320</v>
          </cell>
          <cell r="N493">
            <v>140000</v>
          </cell>
          <cell r="O493">
            <v>45000</v>
          </cell>
          <cell r="P493">
            <v>142800</v>
          </cell>
          <cell r="Q493">
            <v>45696000</v>
          </cell>
          <cell r="R493">
            <v>45900</v>
          </cell>
          <cell r="S493">
            <v>14688000</v>
          </cell>
          <cell r="T493">
            <v>188700</v>
          </cell>
          <cell r="U493">
            <v>60384000</v>
          </cell>
        </row>
        <row r="494">
          <cell r="A494" t="str">
            <v>BoQ_423</v>
          </cell>
          <cell r="B494">
            <v>423</v>
          </cell>
          <cell r="C494">
            <v>3</v>
          </cell>
          <cell r="D494" t="str">
            <v>Định vị tim cọc
Pile positioning</v>
          </cell>
          <cell r="F494" t="str">
            <v>BE_NUOC_NGAM</v>
          </cell>
          <cell r="G494" t="str">
            <v>Cong_tac_coc</v>
          </cell>
          <cell r="H494" t="str">
            <v>Trac_dac</v>
          </cell>
          <cell r="L494">
            <v>0</v>
          </cell>
          <cell r="M494">
            <v>16</v>
          </cell>
          <cell r="O494">
            <v>3000000</v>
          </cell>
          <cell r="P494">
            <v>0</v>
          </cell>
          <cell r="Q494">
            <v>0</v>
          </cell>
          <cell r="R494">
            <v>3060000</v>
          </cell>
          <cell r="S494">
            <v>48960000</v>
          </cell>
          <cell r="T494">
            <v>3060000</v>
          </cell>
          <cell r="U494">
            <v>48960000</v>
          </cell>
        </row>
        <row r="495">
          <cell r="A495" t="str">
            <v>BoQ_424</v>
          </cell>
          <cell r="B495">
            <v>424</v>
          </cell>
          <cell r="C495">
            <v>4</v>
          </cell>
          <cell r="D495" t="str">
            <v>Đập đầu cọc
Breakdown the top of pile</v>
          </cell>
          <cell r="F495" t="str">
            <v>BE_NUOC_NGAM</v>
          </cell>
          <cell r="G495" t="str">
            <v>Cong_tac_coc</v>
          </cell>
          <cell r="H495" t="str">
            <v>Dap_dau_coc</v>
          </cell>
          <cell r="L495" t="str">
            <v>m</v>
          </cell>
          <cell r="M495">
            <v>16</v>
          </cell>
          <cell r="N495">
            <v>60000</v>
          </cell>
          <cell r="P495">
            <v>61200</v>
          </cell>
          <cell r="Q495">
            <v>979200</v>
          </cell>
          <cell r="R495">
            <v>0</v>
          </cell>
          <cell r="S495">
            <v>0</v>
          </cell>
          <cell r="T495">
            <v>61200</v>
          </cell>
          <cell r="U495">
            <v>979200</v>
          </cell>
        </row>
        <row r="496">
          <cell r="A496" t="str">
            <v>BoQ_425</v>
          </cell>
          <cell r="B496">
            <v>425</v>
          </cell>
          <cell r="C496">
            <v>5</v>
          </cell>
          <cell r="D496" t="str">
            <v>Vận chuyển cọc về công trình
Transporting piles to construction</v>
          </cell>
          <cell r="E496" t="str">
            <v>By trainer and crane</v>
          </cell>
          <cell r="F496" t="str">
            <v>BE_NUOC_NGAM</v>
          </cell>
          <cell r="G496" t="str">
            <v>Cong_tac_coc</v>
          </cell>
          <cell r="H496" t="str">
            <v>Van_chuyen_coc</v>
          </cell>
          <cell r="L496" t="str">
            <v>m</v>
          </cell>
          <cell r="M496">
            <v>320</v>
          </cell>
          <cell r="O496">
            <v>10000</v>
          </cell>
          <cell r="P496">
            <v>0</v>
          </cell>
          <cell r="Q496">
            <v>0</v>
          </cell>
          <cell r="R496">
            <v>10200</v>
          </cell>
          <cell r="S496">
            <v>3264000</v>
          </cell>
          <cell r="T496">
            <v>10200</v>
          </cell>
          <cell r="U496">
            <v>3264000</v>
          </cell>
        </row>
        <row r="497">
          <cell r="C497">
            <v>2</v>
          </cell>
          <cell r="D497" t="str">
            <v>CÔNG TÁC ĐẤT
EARTH WORKS</v>
          </cell>
        </row>
        <row r="498">
          <cell r="A498" t="str">
            <v>BoQ_426</v>
          </cell>
          <cell r="B498">
            <v>426</v>
          </cell>
          <cell r="C498">
            <v>402</v>
          </cell>
          <cell r="D498" t="str">
            <v xml:space="preserve">Thuê cừ larsen
Rental Larsen </v>
          </cell>
          <cell r="E498" t="str">
            <v>Cừ larsen IV</v>
          </cell>
          <cell r="F498" t="str">
            <v>BE_NUOC_NGAM</v>
          </cell>
          <cell r="G498" t="str">
            <v>Cong_tac_dat</v>
          </cell>
          <cell r="H498" t="str">
            <v>Cua_larsen</v>
          </cell>
          <cell r="L498" t="str">
            <v>m</v>
          </cell>
          <cell r="M498">
            <v>760</v>
          </cell>
          <cell r="O498">
            <v>1200</v>
          </cell>
          <cell r="P498">
            <v>0</v>
          </cell>
          <cell r="Q498">
            <v>0</v>
          </cell>
          <cell r="R498">
            <v>1224</v>
          </cell>
          <cell r="S498">
            <v>930240</v>
          </cell>
          <cell r="T498">
            <v>1224</v>
          </cell>
          <cell r="U498">
            <v>930240</v>
          </cell>
        </row>
        <row r="499">
          <cell r="A499" t="str">
            <v>BoQ_427</v>
          </cell>
          <cell r="B499">
            <v>427</v>
          </cell>
          <cell r="C499">
            <v>403</v>
          </cell>
          <cell r="D499" t="str">
            <v>Ép và rút cừ
Install and removal</v>
          </cell>
          <cell r="F499" t="str">
            <v>BE_NUOC_NGAM</v>
          </cell>
          <cell r="G499" t="str">
            <v>Cong_tac_dat</v>
          </cell>
          <cell r="H499" t="str">
            <v>Ep_rut_cu</v>
          </cell>
          <cell r="L499" t="str">
            <v>m</v>
          </cell>
          <cell r="M499">
            <v>760</v>
          </cell>
          <cell r="O499">
            <v>90000</v>
          </cell>
          <cell r="P499">
            <v>0</v>
          </cell>
          <cell r="Q499">
            <v>0</v>
          </cell>
          <cell r="R499">
            <v>91800</v>
          </cell>
          <cell r="S499">
            <v>69768000</v>
          </cell>
          <cell r="T499">
            <v>91800</v>
          </cell>
          <cell r="U499">
            <v>69768000</v>
          </cell>
        </row>
        <row r="500">
          <cell r="A500" t="str">
            <v>BoQ_428</v>
          </cell>
          <cell r="B500">
            <v>428</v>
          </cell>
          <cell r="C500">
            <v>404</v>
          </cell>
          <cell r="D500" t="str">
            <v>Vận chuyển cừ đi về
Transportation</v>
          </cell>
          <cell r="F500" t="str">
            <v>BE_NUOC_NGAM</v>
          </cell>
          <cell r="G500" t="str">
            <v>Cong_tac_dat</v>
          </cell>
          <cell r="H500" t="str">
            <v>Van_chuyen_cu</v>
          </cell>
          <cell r="L500" t="str">
            <v>m</v>
          </cell>
          <cell r="M500">
            <v>760</v>
          </cell>
          <cell r="O500">
            <v>20000</v>
          </cell>
          <cell r="P500">
            <v>0</v>
          </cell>
          <cell r="Q500">
            <v>0</v>
          </cell>
          <cell r="R500">
            <v>20400</v>
          </cell>
          <cell r="S500">
            <v>15504000</v>
          </cell>
          <cell r="T500">
            <v>20400</v>
          </cell>
          <cell r="U500">
            <v>15504000</v>
          </cell>
        </row>
        <row r="501">
          <cell r="A501" t="str">
            <v>BoQ_429</v>
          </cell>
          <cell r="B501">
            <v>429</v>
          </cell>
          <cell r="C501">
            <v>405</v>
          </cell>
          <cell r="D501" t="str">
            <v>Vận chuyển thiết bị robot
Transportation robot</v>
          </cell>
          <cell r="F501" t="str">
            <v>BE_NUOC_NGAM</v>
          </cell>
          <cell r="G501" t="str">
            <v>Cong_tac_dat</v>
          </cell>
          <cell r="H501" t="str">
            <v>Van_chuyen_robot</v>
          </cell>
          <cell r="L501" t="str">
            <v>chuyến</v>
          </cell>
          <cell r="M501">
            <v>2</v>
          </cell>
          <cell r="O501">
            <v>20000000</v>
          </cell>
          <cell r="P501">
            <v>0</v>
          </cell>
          <cell r="Q501">
            <v>0</v>
          </cell>
          <cell r="R501">
            <v>20400000</v>
          </cell>
          <cell r="S501">
            <v>40800000</v>
          </cell>
          <cell r="T501">
            <v>20400000</v>
          </cell>
          <cell r="U501">
            <v>40800000</v>
          </cell>
        </row>
        <row r="502">
          <cell r="A502" t="str">
            <v>BoQ_430</v>
          </cell>
          <cell r="B502">
            <v>430</v>
          </cell>
          <cell r="C502">
            <v>406</v>
          </cell>
          <cell r="D502" t="str">
            <v>Văng chống cừ
Anti-pillars</v>
          </cell>
          <cell r="F502" t="str">
            <v>BE_NUOC_NGAM</v>
          </cell>
          <cell r="G502" t="str">
            <v>Cong_tac_dat</v>
          </cell>
          <cell r="H502" t="str">
            <v>Vang_chong_cu</v>
          </cell>
          <cell r="L502" t="str">
            <v>ton</v>
          </cell>
          <cell r="M502">
            <v>1</v>
          </cell>
          <cell r="O502">
            <v>800000</v>
          </cell>
          <cell r="P502">
            <v>0</v>
          </cell>
          <cell r="Q502">
            <v>0</v>
          </cell>
          <cell r="R502">
            <v>816000</v>
          </cell>
          <cell r="S502">
            <v>816000</v>
          </cell>
          <cell r="T502">
            <v>816000</v>
          </cell>
          <cell r="U502">
            <v>816000</v>
          </cell>
        </row>
        <row r="503">
          <cell r="A503" t="str">
            <v>BoQ_431</v>
          </cell>
          <cell r="B503">
            <v>431</v>
          </cell>
          <cell r="C503">
            <v>407</v>
          </cell>
          <cell r="D503" t="str">
            <v>Phụ kiện văng chống
Accessories</v>
          </cell>
          <cell r="F503" t="str">
            <v>BE_NUOC_NGAM</v>
          </cell>
          <cell r="G503" t="str">
            <v>Cong_tac_dat</v>
          </cell>
          <cell r="H503" t="str">
            <v>Phu_kien</v>
          </cell>
          <cell r="L503" t="str">
            <v>lot</v>
          </cell>
          <cell r="M503">
            <v>1</v>
          </cell>
          <cell r="O503">
            <v>75000000</v>
          </cell>
          <cell r="P503">
            <v>0</v>
          </cell>
          <cell r="Q503">
            <v>0</v>
          </cell>
          <cell r="R503">
            <v>76500000</v>
          </cell>
          <cell r="S503">
            <v>76500000</v>
          </cell>
          <cell r="T503">
            <v>76500000</v>
          </cell>
          <cell r="U503">
            <v>76500000</v>
          </cell>
        </row>
        <row r="504">
          <cell r="A504" t="str">
            <v>BoQ_432</v>
          </cell>
          <cell r="B504">
            <v>432</v>
          </cell>
          <cell r="C504">
            <v>408</v>
          </cell>
          <cell r="D504" t="str">
            <v>Hạ mực nước ngầm
Lower the groundwater level</v>
          </cell>
          <cell r="F504" t="str">
            <v>BE_NUOC_NGAM</v>
          </cell>
          <cell r="G504" t="str">
            <v>Cong_tac_dat</v>
          </cell>
          <cell r="H504" t="str">
            <v>Ha_muc_nuoc_ngam</v>
          </cell>
          <cell r="L504" t="str">
            <v>lot</v>
          </cell>
          <cell r="M504">
            <v>1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</row>
        <row r="505">
          <cell r="A505" t="str">
            <v>BoQ_433</v>
          </cell>
          <cell r="B505">
            <v>433</v>
          </cell>
          <cell r="C505">
            <v>409</v>
          </cell>
          <cell r="D505" t="str">
            <v>Đào đất
Excavation soil</v>
          </cell>
          <cell r="F505" t="str">
            <v>BE_NUOC_NGAM</v>
          </cell>
          <cell r="G505" t="str">
            <v>Cong_tac_dat</v>
          </cell>
          <cell r="H505" t="str">
            <v>Dao_dat</v>
          </cell>
          <cell r="L505" t="str">
            <v>m3</v>
          </cell>
          <cell r="M505">
            <v>273</v>
          </cell>
          <cell r="O505">
            <v>22000</v>
          </cell>
          <cell r="P505">
            <v>0</v>
          </cell>
          <cell r="Q505">
            <v>0</v>
          </cell>
          <cell r="R505">
            <v>22440</v>
          </cell>
          <cell r="S505">
            <v>6126120</v>
          </cell>
          <cell r="T505">
            <v>22440</v>
          </cell>
          <cell r="U505">
            <v>6126120</v>
          </cell>
        </row>
        <row r="506">
          <cell r="A506" t="str">
            <v>BoQ_434</v>
          </cell>
          <cell r="B506">
            <v>434</v>
          </cell>
          <cell r="C506">
            <v>410</v>
          </cell>
          <cell r="D506" t="str">
            <v>Lấp đất (tận dụng)
Backfilling soil for foundation</v>
          </cell>
          <cell r="F506" t="str">
            <v>BE_NUOC_NGAM</v>
          </cell>
          <cell r="G506" t="str">
            <v>Cong_tac_dat</v>
          </cell>
          <cell r="H506" t="str">
            <v>Lap_dat</v>
          </cell>
          <cell r="L506" t="str">
            <v>m3</v>
          </cell>
          <cell r="M506">
            <v>119</v>
          </cell>
          <cell r="N506">
            <v>316800</v>
          </cell>
          <cell r="O506">
            <v>25000</v>
          </cell>
          <cell r="P506">
            <v>323136</v>
          </cell>
          <cell r="Q506">
            <v>38453184</v>
          </cell>
          <cell r="R506">
            <v>25500</v>
          </cell>
          <cell r="S506">
            <v>3034500</v>
          </cell>
          <cell r="T506">
            <v>348636</v>
          </cell>
          <cell r="U506">
            <v>41487684</v>
          </cell>
        </row>
        <row r="507">
          <cell r="A507" t="str">
            <v>BoQ_435</v>
          </cell>
          <cell r="B507">
            <v>435</v>
          </cell>
          <cell r="C507">
            <v>411</v>
          </cell>
          <cell r="D507" t="str">
            <v>Vận chuyển đất ra hồ
Transport surplus soil to lake</v>
          </cell>
          <cell r="E507" t="str">
            <v>trong công trường và đổ ra hồ</v>
          </cell>
          <cell r="F507" t="str">
            <v>BE_NUOC_NGAM</v>
          </cell>
          <cell r="G507" t="str">
            <v>Cong_tac_dat</v>
          </cell>
          <cell r="H507" t="str">
            <v>Van_chuyen_dat</v>
          </cell>
          <cell r="L507" t="str">
            <v>m3</v>
          </cell>
          <cell r="M507">
            <v>154</v>
          </cell>
          <cell r="O507">
            <v>22000</v>
          </cell>
          <cell r="P507">
            <v>0</v>
          </cell>
          <cell r="Q507">
            <v>0</v>
          </cell>
          <cell r="R507">
            <v>22440</v>
          </cell>
          <cell r="S507">
            <v>3455760</v>
          </cell>
          <cell r="T507">
            <v>22440</v>
          </cell>
          <cell r="U507">
            <v>3455760</v>
          </cell>
        </row>
        <row r="508">
          <cell r="A508" t="str">
            <v>BoQ_436</v>
          </cell>
          <cell r="B508">
            <v>436</v>
          </cell>
          <cell r="C508">
            <v>412</v>
          </cell>
          <cell r="D508" t="str">
            <v>Đầm chặt nền tự nhiên
Natural soil well compacted, k = 0.95</v>
          </cell>
          <cell r="F508" t="str">
            <v>BE_NUOC_NGAM</v>
          </cell>
          <cell r="G508" t="str">
            <v>Cong_tac_dat</v>
          </cell>
          <cell r="H508" t="str">
            <v>Dam_chat</v>
          </cell>
          <cell r="L508" t="str">
            <v>m2</v>
          </cell>
          <cell r="M508">
            <v>44</v>
          </cell>
          <cell r="O508">
            <v>25000</v>
          </cell>
          <cell r="P508">
            <v>0</v>
          </cell>
          <cell r="Q508">
            <v>0</v>
          </cell>
          <cell r="R508">
            <v>25500</v>
          </cell>
          <cell r="S508">
            <v>1122000</v>
          </cell>
          <cell r="T508">
            <v>25500</v>
          </cell>
          <cell r="U508">
            <v>1122000</v>
          </cell>
        </row>
        <row r="509">
          <cell r="A509" t="str">
            <v>BoQ_437</v>
          </cell>
          <cell r="B509">
            <v>437</v>
          </cell>
          <cell r="C509">
            <v>413</v>
          </cell>
          <cell r="D509" t="str">
            <v>Lớp nylon lót nền
PVC film layer under ground slab</v>
          </cell>
          <cell r="E509" t="str">
            <v>0.3mm thk</v>
          </cell>
          <cell r="F509" t="str">
            <v>BE_NUOC_NGAM</v>
          </cell>
          <cell r="G509" t="str">
            <v>Cong_tac_dat</v>
          </cell>
          <cell r="H509" t="str">
            <v>Nilong</v>
          </cell>
          <cell r="L509" t="str">
            <v>m2</v>
          </cell>
          <cell r="M509">
            <v>44</v>
          </cell>
          <cell r="N509">
            <v>3500</v>
          </cell>
          <cell r="O509">
            <v>1000</v>
          </cell>
          <cell r="P509">
            <v>3570</v>
          </cell>
          <cell r="Q509">
            <v>157080</v>
          </cell>
          <cell r="R509">
            <v>1020</v>
          </cell>
          <cell r="S509">
            <v>44880</v>
          </cell>
          <cell r="T509">
            <v>4590</v>
          </cell>
          <cell r="U509">
            <v>201960</v>
          </cell>
        </row>
        <row r="510">
          <cell r="C510">
            <v>3</v>
          </cell>
          <cell r="D510" t="str">
            <v>CÔNG TÁC BÊ TÔNG
CONCRETE WORK</v>
          </cell>
        </row>
        <row r="511">
          <cell r="A511" t="str">
            <v>BoQ_438</v>
          </cell>
          <cell r="B511">
            <v>438</v>
          </cell>
          <cell r="C511">
            <v>414</v>
          </cell>
          <cell r="D511" t="str">
            <v xml:space="preserve">Lean concrete grade 100, stone 10x20, 100mm thk 
Bê tông lót </v>
          </cell>
          <cell r="E511" t="str">
            <v>Foundation &amp; ground slab</v>
          </cell>
          <cell r="F511" t="str">
            <v>BE_NUOC_NGAM</v>
          </cell>
          <cell r="G511" t="str">
            <v>Cong_tac_be_tong</v>
          </cell>
          <cell r="H511" t="str">
            <v>Be_tong</v>
          </cell>
          <cell r="I511" t="str">
            <v>Móng</v>
          </cell>
          <cell r="J511" t="str">
            <v>M100</v>
          </cell>
          <cell r="K511" t="str">
            <v>Đá 1x2</v>
          </cell>
          <cell r="L511" t="str">
            <v>m3</v>
          </cell>
          <cell r="M511">
            <v>5.2799999999999994</v>
          </cell>
          <cell r="N511">
            <v>720000</v>
          </cell>
          <cell r="O511">
            <v>110000</v>
          </cell>
          <cell r="P511">
            <v>734400</v>
          </cell>
          <cell r="Q511">
            <v>3877631.9999999995</v>
          </cell>
          <cell r="R511">
            <v>112200</v>
          </cell>
          <cell r="S511">
            <v>592415.99999999988</v>
          </cell>
          <cell r="T511">
            <v>846600</v>
          </cell>
          <cell r="U511">
            <v>4470047.9999999991</v>
          </cell>
        </row>
        <row r="512">
          <cell r="A512" t="str">
            <v>BoQ_439</v>
          </cell>
          <cell r="B512">
            <v>439</v>
          </cell>
          <cell r="C512">
            <v>415</v>
          </cell>
          <cell r="D512" t="str">
            <v>Concrete grade 300, stone aggregate 10x20.
Bê tông móng, dầm bể nước</v>
          </cell>
          <cell r="E512" t="str">
            <v>Foundation &amp; ground beam</v>
          </cell>
          <cell r="F512" t="str">
            <v>BE_NUOC_NGAM</v>
          </cell>
          <cell r="G512" t="str">
            <v>Cong_tac_be_tong</v>
          </cell>
          <cell r="H512" t="str">
            <v>Be_tong</v>
          </cell>
          <cell r="I512" t="str">
            <v>Móng</v>
          </cell>
          <cell r="J512" t="str">
            <v>M300</v>
          </cell>
          <cell r="K512" t="str">
            <v>Đá 1x2</v>
          </cell>
          <cell r="L512" t="str">
            <v>m3</v>
          </cell>
          <cell r="M512">
            <v>15.724999999999998</v>
          </cell>
          <cell r="N512">
            <v>910000</v>
          </cell>
          <cell r="O512">
            <v>110000</v>
          </cell>
          <cell r="P512">
            <v>928200</v>
          </cell>
          <cell r="Q512">
            <v>14595944.999999998</v>
          </cell>
          <cell r="R512">
            <v>112200</v>
          </cell>
          <cell r="S512">
            <v>1764344.9999999998</v>
          </cell>
          <cell r="T512">
            <v>1040400</v>
          </cell>
          <cell r="U512">
            <v>16360289.999999998</v>
          </cell>
        </row>
        <row r="513">
          <cell r="A513" t="str">
            <v>BoQ_440</v>
          </cell>
          <cell r="B513">
            <v>440</v>
          </cell>
          <cell r="C513">
            <v>416</v>
          </cell>
          <cell r="D513" t="str">
            <v>Concrete grade 300, stone aggregate 10x20.
Bê tông cột vách bể nước</v>
          </cell>
          <cell r="E513" t="str">
            <v>Calumn &amp; wall</v>
          </cell>
          <cell r="F513" t="str">
            <v>BE_NUOC_NGAM</v>
          </cell>
          <cell r="G513" t="str">
            <v>Cong_tac_be_tong</v>
          </cell>
          <cell r="H513" t="str">
            <v>Be_tong</v>
          </cell>
          <cell r="I513" t="str">
            <v>Cột, vách</v>
          </cell>
          <cell r="J513" t="str">
            <v>M300</v>
          </cell>
          <cell r="K513" t="str">
            <v>Đá 1x2</v>
          </cell>
          <cell r="L513" t="str">
            <v>m3</v>
          </cell>
          <cell r="M513">
            <v>21</v>
          </cell>
          <cell r="N513">
            <v>910000</v>
          </cell>
          <cell r="O513">
            <v>110000</v>
          </cell>
          <cell r="P513">
            <v>928200</v>
          </cell>
          <cell r="Q513">
            <v>19492200</v>
          </cell>
          <cell r="R513">
            <v>112200</v>
          </cell>
          <cell r="S513">
            <v>2356200</v>
          </cell>
          <cell r="T513">
            <v>1040400</v>
          </cell>
          <cell r="U513">
            <v>21848400</v>
          </cell>
        </row>
        <row r="514">
          <cell r="A514" t="str">
            <v>BoQ_441</v>
          </cell>
          <cell r="B514">
            <v>441</v>
          </cell>
          <cell r="C514">
            <v>417</v>
          </cell>
          <cell r="D514" t="str">
            <v>Concrete grade 300, stone aggregate 10x20.
Bê tông dầm, nắp bể</v>
          </cell>
          <cell r="E514" t="str">
            <v>Beam &amp; Slab</v>
          </cell>
          <cell r="F514" t="str">
            <v>BE_NUOC_NGAM</v>
          </cell>
          <cell r="G514" t="str">
            <v>Cong_tac_be_tong</v>
          </cell>
          <cell r="H514" t="str">
            <v>Be_tong</v>
          </cell>
          <cell r="I514" t="str">
            <v>Dầm, nắp</v>
          </cell>
          <cell r="J514" t="str">
            <v>M300</v>
          </cell>
          <cell r="K514" t="str">
            <v>Đá 1x2</v>
          </cell>
          <cell r="L514" t="str">
            <v>m3</v>
          </cell>
          <cell r="M514">
            <v>10.320000000000002</v>
          </cell>
          <cell r="N514">
            <v>910000</v>
          </cell>
          <cell r="O514">
            <v>110000</v>
          </cell>
          <cell r="P514">
            <v>928200</v>
          </cell>
          <cell r="Q514">
            <v>9579024.0000000019</v>
          </cell>
          <cell r="R514">
            <v>112200</v>
          </cell>
          <cell r="S514">
            <v>1157904.0000000002</v>
          </cell>
          <cell r="T514">
            <v>1040400</v>
          </cell>
          <cell r="U514">
            <v>10736928.000000002</v>
          </cell>
        </row>
        <row r="515">
          <cell r="A515" t="str">
            <v>BoQ_442</v>
          </cell>
          <cell r="B515">
            <v>442</v>
          </cell>
          <cell r="C515">
            <v>418</v>
          </cell>
          <cell r="D515" t="str">
            <v>Bơm bê tông
Concrete pump</v>
          </cell>
          <cell r="F515" t="str">
            <v>BE_NUOC_NGAM</v>
          </cell>
          <cell r="G515" t="str">
            <v>Cong_tac_be_tong</v>
          </cell>
          <cell r="H515" t="str">
            <v>Bom_be_tong</v>
          </cell>
          <cell r="L515" t="str">
            <v>m3</v>
          </cell>
          <cell r="M515">
            <v>52.324999999999996</v>
          </cell>
          <cell r="O515">
            <v>70000</v>
          </cell>
          <cell r="P515">
            <v>0</v>
          </cell>
          <cell r="Q515">
            <v>0</v>
          </cell>
          <cell r="R515">
            <v>71400</v>
          </cell>
          <cell r="S515">
            <v>3736004.9999999995</v>
          </cell>
          <cell r="T515">
            <v>71400</v>
          </cell>
          <cell r="U515">
            <v>3736004.9999999995</v>
          </cell>
        </row>
        <row r="516">
          <cell r="C516">
            <v>4</v>
          </cell>
          <cell r="D516" t="str">
            <v>CÔNG TÁC VÁN KHUÔN/FORM WORK</v>
          </cell>
        </row>
        <row r="517">
          <cell r="A517" t="str">
            <v>BoQ_443</v>
          </cell>
          <cell r="B517">
            <v>443</v>
          </cell>
          <cell r="C517">
            <v>419</v>
          </cell>
          <cell r="D517" t="str">
            <v>Ván khuôn bê tông lót móng, giằng móng
For Lean concrete (Foundation &amp; Ground Beam)</v>
          </cell>
          <cell r="E517" t="str">
            <v>Thép hộp và ván phủ phim
Steel boxes &amp; Plywood form</v>
          </cell>
          <cell r="F517" t="str">
            <v>BE_NUOC_NGAM</v>
          </cell>
          <cell r="G517" t="str">
            <v>Cong_tac_van_khuon</v>
          </cell>
          <cell r="H517" t="str">
            <v>Van_khuon_lot</v>
          </cell>
          <cell r="I517" t="str">
            <v>Móng</v>
          </cell>
          <cell r="L517" t="str">
            <v>m2</v>
          </cell>
          <cell r="M517">
            <v>5.96</v>
          </cell>
          <cell r="N517">
            <v>70000</v>
          </cell>
          <cell r="O517">
            <v>120000</v>
          </cell>
          <cell r="P517">
            <v>71400</v>
          </cell>
          <cell r="Q517">
            <v>425544</v>
          </cell>
          <cell r="R517">
            <v>122400</v>
          </cell>
          <cell r="S517">
            <v>729504</v>
          </cell>
          <cell r="T517">
            <v>193800</v>
          </cell>
          <cell r="U517">
            <v>1155048</v>
          </cell>
        </row>
        <row r="518">
          <cell r="A518" t="str">
            <v>BoQ_444</v>
          </cell>
          <cell r="B518">
            <v>444</v>
          </cell>
          <cell r="C518">
            <v>420</v>
          </cell>
          <cell r="D518" t="str">
            <v xml:space="preserve">Ván khuôn móng, giằng móng
Foundation &amp; ground beam </v>
          </cell>
          <cell r="E518" t="str">
            <v>Thép hộp và ván phủ phim
Steel boxes &amp; Plywood form</v>
          </cell>
          <cell r="F518" t="str">
            <v>BE_NUOC_NGAM</v>
          </cell>
          <cell r="G518" t="str">
            <v>Cong_tac_van_khuon</v>
          </cell>
          <cell r="H518" t="str">
            <v>Van_khuon_mong</v>
          </cell>
          <cell r="I518" t="str">
            <v>Móng</v>
          </cell>
          <cell r="L518" t="str">
            <v>m2</v>
          </cell>
          <cell r="M518">
            <v>39.659999999999997</v>
          </cell>
          <cell r="N518">
            <v>70000</v>
          </cell>
          <cell r="O518">
            <v>120000</v>
          </cell>
          <cell r="P518">
            <v>71400</v>
          </cell>
          <cell r="Q518">
            <v>2831723.9999999995</v>
          </cell>
          <cell r="R518">
            <v>122400</v>
          </cell>
          <cell r="S518">
            <v>4854384</v>
          </cell>
          <cell r="T518">
            <v>193800</v>
          </cell>
          <cell r="U518">
            <v>7686107.9999999991</v>
          </cell>
        </row>
        <row r="519">
          <cell r="A519" t="str">
            <v>BoQ_445</v>
          </cell>
          <cell r="B519">
            <v>445</v>
          </cell>
          <cell r="C519">
            <v>421</v>
          </cell>
          <cell r="D519" t="str">
            <v>Ván khuôn cột vách
For column &amp; Wall</v>
          </cell>
          <cell r="E519" t="str">
            <v>Thép hộp và ván phủ phim
Steel boxes &amp; Plywood form</v>
          </cell>
          <cell r="F519" t="str">
            <v>BE_NUOC_NGAM</v>
          </cell>
          <cell r="G519" t="str">
            <v>Cong_tac_van_khuon</v>
          </cell>
          <cell r="H519" t="str">
            <v>Van_khuon_mong</v>
          </cell>
          <cell r="I519" t="str">
            <v>Cột, vách</v>
          </cell>
          <cell r="L519" t="str">
            <v>m2</v>
          </cell>
          <cell r="M519">
            <v>240</v>
          </cell>
          <cell r="N519">
            <v>70000</v>
          </cell>
          <cell r="O519">
            <v>120000</v>
          </cell>
          <cell r="P519">
            <v>71400</v>
          </cell>
          <cell r="Q519">
            <v>17136000</v>
          </cell>
          <cell r="R519">
            <v>122400</v>
          </cell>
          <cell r="S519">
            <v>29376000</v>
          </cell>
          <cell r="T519">
            <v>193800</v>
          </cell>
          <cell r="U519">
            <v>46512000</v>
          </cell>
        </row>
        <row r="520">
          <cell r="A520" t="str">
            <v>BoQ_446</v>
          </cell>
          <cell r="B520">
            <v>446</v>
          </cell>
          <cell r="C520">
            <v>422</v>
          </cell>
          <cell r="D520" t="str">
            <v>Ván khuôn dầm sàn
For beam &amp; Slab</v>
          </cell>
          <cell r="E520" t="str">
            <v>Thép hộp và ván phủ phim
Steel boxes &amp; Plywood form</v>
          </cell>
          <cell r="F520" t="str">
            <v>BE_NUOC_NGAM</v>
          </cell>
          <cell r="G520" t="str">
            <v>Cong_tac_van_khuon</v>
          </cell>
          <cell r="H520" t="str">
            <v>Van_khuon_mong</v>
          </cell>
          <cell r="I520" t="str">
            <v>Dầm, sàn</v>
          </cell>
          <cell r="L520" t="str">
            <v>m2</v>
          </cell>
          <cell r="M520">
            <v>89.2</v>
          </cell>
          <cell r="N520">
            <v>70000</v>
          </cell>
          <cell r="O520">
            <v>120000</v>
          </cell>
          <cell r="P520">
            <v>71400</v>
          </cell>
          <cell r="Q520">
            <v>6368880</v>
          </cell>
          <cell r="R520">
            <v>122400</v>
          </cell>
          <cell r="S520">
            <v>10918080</v>
          </cell>
          <cell r="T520">
            <v>193800</v>
          </cell>
          <cell r="U520">
            <v>17286960</v>
          </cell>
        </row>
        <row r="521">
          <cell r="A521" t="str">
            <v>BoQ_447</v>
          </cell>
          <cell r="B521">
            <v>447</v>
          </cell>
          <cell r="C521">
            <v>423</v>
          </cell>
          <cell r="D521" t="str">
            <v>Ty thép xuyên vách
Steel tube through the wall</v>
          </cell>
          <cell r="F521" t="str">
            <v>BE_NUOC_NGAM</v>
          </cell>
          <cell r="G521" t="str">
            <v>Cong_tac_van_khuon</v>
          </cell>
          <cell r="H521" t="str">
            <v>Ty_thep</v>
          </cell>
          <cell r="I521" t="str">
            <v>Vách</v>
          </cell>
          <cell r="L521" t="str">
            <v>m2</v>
          </cell>
          <cell r="M521">
            <v>240</v>
          </cell>
          <cell r="N521">
            <v>70000</v>
          </cell>
          <cell r="O521">
            <v>120000</v>
          </cell>
          <cell r="P521">
            <v>71400</v>
          </cell>
          <cell r="Q521">
            <v>17136000</v>
          </cell>
          <cell r="R521">
            <v>122400</v>
          </cell>
          <cell r="S521">
            <v>29376000</v>
          </cell>
          <cell r="T521">
            <v>193800</v>
          </cell>
          <cell r="U521">
            <v>46512000</v>
          </cell>
        </row>
        <row r="522">
          <cell r="A522" t="str">
            <v>BoQ_448</v>
          </cell>
          <cell r="B522">
            <v>448</v>
          </cell>
          <cell r="C522">
            <v>424</v>
          </cell>
          <cell r="D522" t="str">
            <v>Cắt trám đầu ty vách bằng vữa chuyên dụng
Cut and fill the wall with a specialized mortar</v>
          </cell>
          <cell r="F522" t="str">
            <v>BE_NUOC_NGAM</v>
          </cell>
          <cell r="G522" t="str">
            <v>Cong_tac_van_khuon</v>
          </cell>
          <cell r="H522" t="str">
            <v>Tram_va</v>
          </cell>
          <cell r="L522" t="str">
            <v>m2</v>
          </cell>
          <cell r="M522">
            <v>240</v>
          </cell>
          <cell r="N522">
            <v>70000</v>
          </cell>
          <cell r="O522">
            <v>120000</v>
          </cell>
          <cell r="P522">
            <v>71400</v>
          </cell>
          <cell r="Q522">
            <v>17136000</v>
          </cell>
          <cell r="R522">
            <v>122400</v>
          </cell>
          <cell r="S522">
            <v>29376000</v>
          </cell>
          <cell r="T522">
            <v>193800</v>
          </cell>
          <cell r="U522">
            <v>46512000</v>
          </cell>
        </row>
        <row r="523">
          <cell r="C523">
            <v>5</v>
          </cell>
          <cell r="D523" t="str">
            <v>CÔNG TÁC THÉP
REBAR WORK</v>
          </cell>
        </row>
        <row r="524">
          <cell r="A524" t="str">
            <v>BoQ_449</v>
          </cell>
          <cell r="B524">
            <v>449</v>
          </cell>
          <cell r="C524">
            <v>425</v>
          </cell>
          <cell r="D524" t="str">
            <v>Cốt thép móng, giằng móng
Manufacture and assemble of reinforcement for Foundation, Ground Beam</v>
          </cell>
          <cell r="E524" t="str">
            <v>CB-240T &amp; CB-500V</v>
          </cell>
          <cell r="F524" t="str">
            <v>BE_NUOC_NGAM</v>
          </cell>
          <cell r="G524" t="str">
            <v>Cong_tac_cot_thep</v>
          </cell>
          <cell r="H524" t="str">
            <v>Cot_thep</v>
          </cell>
          <cell r="L524" t="str">
            <v>Ton</v>
          </cell>
          <cell r="M524">
            <v>2.9493187999999999</v>
          </cell>
          <cell r="N524">
            <v>14500000</v>
          </cell>
          <cell r="O524">
            <v>2300000</v>
          </cell>
          <cell r="P524">
            <v>14790000</v>
          </cell>
          <cell r="Q524">
            <v>43620425.052000001</v>
          </cell>
          <cell r="R524">
            <v>2346000</v>
          </cell>
          <cell r="S524">
            <v>6919101.9047999997</v>
          </cell>
          <cell r="T524">
            <v>17136000</v>
          </cell>
          <cell r="U524">
            <v>50539526.956799999</v>
          </cell>
        </row>
        <row r="525">
          <cell r="A525" t="str">
            <v>BoQ_450</v>
          </cell>
          <cell r="B525">
            <v>450</v>
          </cell>
          <cell r="C525">
            <v>426</v>
          </cell>
          <cell r="D525" t="str">
            <v>Cốt thép cột, vách bể
Manufacture and assemble of reinforcement for Calumn &amp; Wall</v>
          </cell>
          <cell r="E525" t="str">
            <v>CB-240T &amp; CB-500V</v>
          </cell>
          <cell r="F525" t="str">
            <v>BE_NUOC_NGAM</v>
          </cell>
          <cell r="G525" t="str">
            <v>Cong_tac_cot_thep</v>
          </cell>
          <cell r="H525" t="str">
            <v>Cot_thep</v>
          </cell>
          <cell r="L525" t="str">
            <v>Ton</v>
          </cell>
          <cell r="M525">
            <v>5.4</v>
          </cell>
          <cell r="N525">
            <v>14500000</v>
          </cell>
          <cell r="O525">
            <v>2300000</v>
          </cell>
          <cell r="P525">
            <v>14790000</v>
          </cell>
          <cell r="Q525">
            <v>79866000</v>
          </cell>
          <cell r="R525">
            <v>2346000</v>
          </cell>
          <cell r="S525">
            <v>12668400</v>
          </cell>
          <cell r="T525">
            <v>17136000</v>
          </cell>
          <cell r="U525">
            <v>92534400</v>
          </cell>
        </row>
        <row r="526">
          <cell r="A526" t="str">
            <v>BoQ_451</v>
          </cell>
          <cell r="B526">
            <v>451</v>
          </cell>
          <cell r="C526">
            <v>427</v>
          </cell>
          <cell r="D526" t="str">
            <v>Cốt thép dầm, nắp bể
Manufacture and assemble of reinforcement for Beam &amp; Slab</v>
          </cell>
          <cell r="E526" t="str">
            <v>CB-240T &amp; CB-500V</v>
          </cell>
          <cell r="F526" t="str">
            <v>BE_NUOC_NGAM</v>
          </cell>
          <cell r="G526" t="str">
            <v>Cong_tac_cot_thep</v>
          </cell>
          <cell r="H526" t="str">
            <v>Cot_thep</v>
          </cell>
          <cell r="L526" t="str">
            <v>Ton</v>
          </cell>
          <cell r="M526">
            <v>2.6808792000000001</v>
          </cell>
          <cell r="N526">
            <v>14500000</v>
          </cell>
          <cell r="O526">
            <v>2300000</v>
          </cell>
          <cell r="P526">
            <v>14790000</v>
          </cell>
          <cell r="Q526">
            <v>39650203.368000001</v>
          </cell>
          <cell r="R526">
            <v>2346000</v>
          </cell>
          <cell r="S526">
            <v>6289342.6032000007</v>
          </cell>
          <cell r="T526">
            <v>17136000</v>
          </cell>
          <cell r="U526">
            <v>45939545.971200004</v>
          </cell>
        </row>
        <row r="527">
          <cell r="C527">
            <v>5</v>
          </cell>
          <cell r="D527" t="str">
            <v xml:space="preserve">HOÀN THIỆN BỂ NƯỚC/FINISHING </v>
          </cell>
        </row>
        <row r="528">
          <cell r="A528" t="str">
            <v>BoQ_452</v>
          </cell>
          <cell r="B528">
            <v>452</v>
          </cell>
          <cell r="C528">
            <v>428</v>
          </cell>
          <cell r="D528" t="str">
            <v>Chống thấm trong bể nước
Waterproofing inside tank</v>
          </cell>
          <cell r="E528" t="str">
            <v>Sika</v>
          </cell>
          <cell r="F528" t="str">
            <v>BE_NUOC_NGAM</v>
          </cell>
          <cell r="G528" t="str">
            <v>Cong_tac_chong_tham</v>
          </cell>
          <cell r="H528" t="str">
            <v>Chong_tham</v>
          </cell>
          <cell r="I528" t="str">
            <v>Bể nước nước</v>
          </cell>
          <cell r="J528" t="str">
            <v>Sika</v>
          </cell>
          <cell r="L528" t="str">
            <v>m2</v>
          </cell>
          <cell r="M528">
            <v>154.4</v>
          </cell>
          <cell r="N528">
            <v>56000</v>
          </cell>
          <cell r="O528">
            <v>45000</v>
          </cell>
          <cell r="P528">
            <v>57120</v>
          </cell>
          <cell r="Q528">
            <v>8819328</v>
          </cell>
          <cell r="R528">
            <v>45900</v>
          </cell>
          <cell r="S528">
            <v>7086960</v>
          </cell>
          <cell r="T528">
            <v>103020</v>
          </cell>
          <cell r="U528">
            <v>15906288</v>
          </cell>
        </row>
        <row r="529">
          <cell r="A529" t="str">
            <v>BoQ_453</v>
          </cell>
          <cell r="B529">
            <v>453</v>
          </cell>
          <cell r="C529">
            <v>429</v>
          </cell>
          <cell r="D529" t="str">
            <v>Trát trong bể nước
Plastering for wall surfaces 2cm</v>
          </cell>
          <cell r="F529" t="str">
            <v>BE_NUOC_NGAM</v>
          </cell>
          <cell r="G529" t="str">
            <v>Cong_tac_xay_trat</v>
          </cell>
          <cell r="H529" t="str">
            <v>Trat_tuong</v>
          </cell>
          <cell r="I529" t="str">
            <v>Bể nước nước</v>
          </cell>
          <cell r="J529" t="str">
            <v>Vữa</v>
          </cell>
          <cell r="K529" t="str">
            <v>M75</v>
          </cell>
          <cell r="L529" t="str">
            <v>m2</v>
          </cell>
          <cell r="M529">
            <v>154.4</v>
          </cell>
          <cell r="N529">
            <v>65000</v>
          </cell>
          <cell r="O529">
            <v>85000</v>
          </cell>
          <cell r="P529">
            <v>66300</v>
          </cell>
          <cell r="Q529">
            <v>10236720</v>
          </cell>
          <cell r="R529">
            <v>86700</v>
          </cell>
          <cell r="S529">
            <v>13386480</v>
          </cell>
          <cell r="T529">
            <v>153000</v>
          </cell>
          <cell r="U529">
            <v>23623200</v>
          </cell>
        </row>
        <row r="530">
          <cell r="A530" t="str">
            <v>BoQ_454</v>
          </cell>
          <cell r="B530">
            <v>454</v>
          </cell>
          <cell r="C530">
            <v>430</v>
          </cell>
          <cell r="D530" t="str">
            <v>Ốp gạch 250x400 ngăn bể nước sinh hoạt
Ceramic tile 250x400 for Fresh water tank</v>
          </cell>
          <cell r="E530" t="str">
            <v>Calumn &amp; wall</v>
          </cell>
          <cell r="F530" t="str">
            <v>BE_NUOC_NGAM</v>
          </cell>
          <cell r="G530" t="str">
            <v>Cong_tac_op_lat</v>
          </cell>
          <cell r="H530" t="str">
            <v>Op_tuong</v>
          </cell>
          <cell r="I530" t="str">
            <v>Bể nước nước</v>
          </cell>
          <cell r="J530" t="str">
            <v>Gạch</v>
          </cell>
          <cell r="K530" t="str">
            <v>250X400</v>
          </cell>
          <cell r="L530" t="str">
            <v>m2</v>
          </cell>
          <cell r="M530">
            <v>0</v>
          </cell>
          <cell r="N530">
            <v>125000</v>
          </cell>
          <cell r="O530">
            <v>75000</v>
          </cell>
          <cell r="P530">
            <v>127500</v>
          </cell>
          <cell r="Q530">
            <v>0</v>
          </cell>
          <cell r="R530">
            <v>76500</v>
          </cell>
          <cell r="S530">
            <v>0</v>
          </cell>
          <cell r="T530">
            <v>204000</v>
          </cell>
          <cell r="U530">
            <v>0</v>
          </cell>
        </row>
        <row r="531">
          <cell r="A531" t="str">
            <v>BoQ_455</v>
          </cell>
          <cell r="B531">
            <v>455</v>
          </cell>
          <cell r="C531">
            <v>431</v>
          </cell>
          <cell r="D531" t="str">
            <v>Ốp gạch 40x400 ngăn bể nước sinh hoạt
Ceramic tile 400x400 for Fresh water tank</v>
          </cell>
          <cell r="E531" t="str">
            <v>Foundation</v>
          </cell>
          <cell r="F531" t="str">
            <v>BE_NUOC_NGAM</v>
          </cell>
          <cell r="G531" t="str">
            <v>Cong_tac_op_lat</v>
          </cell>
          <cell r="H531" t="str">
            <v>Op_tuong</v>
          </cell>
          <cell r="I531" t="str">
            <v>Bể nước nước</v>
          </cell>
          <cell r="J531" t="str">
            <v>Gạch</v>
          </cell>
          <cell r="K531" t="str">
            <v>250X400</v>
          </cell>
          <cell r="L531" t="str">
            <v>m2</v>
          </cell>
          <cell r="M531">
            <v>0</v>
          </cell>
          <cell r="N531">
            <v>125000</v>
          </cell>
          <cell r="O531">
            <v>75000</v>
          </cell>
          <cell r="P531">
            <v>127500</v>
          </cell>
          <cell r="Q531">
            <v>0</v>
          </cell>
          <cell r="R531">
            <v>76500</v>
          </cell>
          <cell r="S531">
            <v>0</v>
          </cell>
          <cell r="T531">
            <v>204000</v>
          </cell>
          <cell r="U531">
            <v>0</v>
          </cell>
        </row>
        <row r="532">
          <cell r="A532" t="str">
            <v>BoQ_456</v>
          </cell>
          <cell r="B532">
            <v>456</v>
          </cell>
          <cell r="C532">
            <v>431</v>
          </cell>
          <cell r="D532" t="str">
            <v>Băng cản nước
Water stop</v>
          </cell>
          <cell r="F532" t="str">
            <v>BE_NUOC_NGAM</v>
          </cell>
          <cell r="G532" t="str">
            <v>Cong_tac_chong_tham</v>
          </cell>
          <cell r="H532" t="str">
            <v>Bang_can_nuoc</v>
          </cell>
          <cell r="I532" t="str">
            <v>Bể nước nước</v>
          </cell>
          <cell r="L532" t="str">
            <v>md</v>
          </cell>
          <cell r="M532">
            <v>65</v>
          </cell>
          <cell r="N532">
            <v>178000</v>
          </cell>
          <cell r="O532">
            <v>112000</v>
          </cell>
          <cell r="P532">
            <v>181560</v>
          </cell>
          <cell r="Q532">
            <v>11801400</v>
          </cell>
          <cell r="R532">
            <v>114240</v>
          </cell>
          <cell r="S532">
            <v>7425600</v>
          </cell>
          <cell r="T532">
            <v>295800</v>
          </cell>
          <cell r="U532">
            <v>19227000</v>
          </cell>
        </row>
        <row r="533">
          <cell r="C533">
            <v>6</v>
          </cell>
          <cell r="D533" t="str">
            <v>CÔNG TÁC KHÁC
OTHER WORK</v>
          </cell>
        </row>
        <row r="534">
          <cell r="A534" t="str">
            <v>BoQ_457</v>
          </cell>
          <cell r="B534">
            <v>457</v>
          </cell>
          <cell r="C534">
            <v>432</v>
          </cell>
          <cell r="D534" t="str">
            <v>Nắp inox 600x600 
Stainless steel lid 600x600</v>
          </cell>
          <cell r="F534" t="str">
            <v>BE_NUOC_NGAM</v>
          </cell>
          <cell r="G534" t="str">
            <v>Cong_tac_co_khi</v>
          </cell>
          <cell r="H534" t="str">
            <v>Co_khi</v>
          </cell>
          <cell r="I534" t="str">
            <v>Bể nước</v>
          </cell>
          <cell r="J534" t="str">
            <v>Inox</v>
          </cell>
          <cell r="L534" t="str">
            <v>ea</v>
          </cell>
          <cell r="M534">
            <v>1</v>
          </cell>
          <cell r="N534">
            <v>650000</v>
          </cell>
          <cell r="O534">
            <v>150000</v>
          </cell>
          <cell r="P534">
            <v>663000</v>
          </cell>
          <cell r="Q534">
            <v>663000</v>
          </cell>
          <cell r="R534">
            <v>153000</v>
          </cell>
          <cell r="S534">
            <v>153000</v>
          </cell>
          <cell r="T534">
            <v>816000</v>
          </cell>
          <cell r="U534">
            <v>816000</v>
          </cell>
        </row>
        <row r="535">
          <cell r="A535" t="str">
            <v>BoQ_458</v>
          </cell>
          <cell r="B535">
            <v>458</v>
          </cell>
          <cell r="C535">
            <v>433</v>
          </cell>
          <cell r="D535" t="str">
            <v>Nẹp V50x50</v>
          </cell>
          <cell r="F535" t="str">
            <v>BE_NUOC_NGAM</v>
          </cell>
          <cell r="G535" t="str">
            <v>Cong_tac_co_khi</v>
          </cell>
          <cell r="H535" t="str">
            <v>Co_khi</v>
          </cell>
          <cell r="I535" t="str">
            <v>Bể nước</v>
          </cell>
          <cell r="J535" t="str">
            <v>V50x50</v>
          </cell>
          <cell r="L535" t="str">
            <v>lot</v>
          </cell>
          <cell r="M535">
            <v>1</v>
          </cell>
          <cell r="N535">
            <v>150000</v>
          </cell>
          <cell r="O535">
            <v>150000</v>
          </cell>
          <cell r="P535">
            <v>153000</v>
          </cell>
          <cell r="Q535">
            <v>153000</v>
          </cell>
          <cell r="R535">
            <v>153000</v>
          </cell>
          <cell r="S535">
            <v>153000</v>
          </cell>
          <cell r="T535">
            <v>306000</v>
          </cell>
          <cell r="U535">
            <v>306000</v>
          </cell>
        </row>
        <row r="536">
          <cell r="A536" t="str">
            <v>BoQ_459</v>
          </cell>
          <cell r="B536">
            <v>459</v>
          </cell>
          <cell r="C536">
            <v>434</v>
          </cell>
          <cell r="D536" t="str">
            <v>Thang lên/xuống bể nước inox
Stainless steel ladder to the water tank</v>
          </cell>
          <cell r="F536" t="str">
            <v>BE_NUOC_NGAM</v>
          </cell>
          <cell r="G536" t="str">
            <v>Cong_tac_co_khi</v>
          </cell>
          <cell r="H536" t="str">
            <v>Co_khi</v>
          </cell>
          <cell r="I536" t="str">
            <v>Bể nước</v>
          </cell>
          <cell r="J536" t="str">
            <v>Inox</v>
          </cell>
          <cell r="L536" t="str">
            <v>ea</v>
          </cell>
          <cell r="M536">
            <v>1</v>
          </cell>
          <cell r="N536">
            <v>2450000</v>
          </cell>
          <cell r="O536">
            <v>150000</v>
          </cell>
          <cell r="P536">
            <v>2499000</v>
          </cell>
          <cell r="Q536">
            <v>2499000</v>
          </cell>
          <cell r="R536">
            <v>153000</v>
          </cell>
          <cell r="S536">
            <v>153000</v>
          </cell>
          <cell r="T536">
            <v>2652000</v>
          </cell>
          <cell r="U536">
            <v>2652000</v>
          </cell>
        </row>
        <row r="537">
          <cell r="D537" t="str">
            <v>PRODUCTION WASTEWATER TANK
BỂ CHỨA NƯỚC THẢI SẢN XUẤT 50M3</v>
          </cell>
          <cell r="U537">
            <v>0</v>
          </cell>
          <cell r="V537">
            <v>0</v>
          </cell>
        </row>
        <row r="538">
          <cell r="D538" t="str">
            <v>PRODUCTION WASTEWATER TANK 50M3</v>
          </cell>
          <cell r="U538">
            <v>0</v>
          </cell>
          <cell r="V538">
            <v>0</v>
          </cell>
        </row>
        <row r="539">
          <cell r="C539">
            <v>1</v>
          </cell>
          <cell r="D539" t="str">
            <v>CÔNG TÁC CỌC/PILE WORKS</v>
          </cell>
        </row>
        <row r="540">
          <cell r="A540" t="str">
            <v>BoQ_460</v>
          </cell>
          <cell r="B540">
            <v>460</v>
          </cell>
          <cell r="C540">
            <v>1</v>
          </cell>
          <cell r="D540" t="str">
            <v>Vận chuyển máy ép cọc về công trình
Mobilization &amp; demobilization of robot equipment</v>
          </cell>
          <cell r="E540" t="str">
            <v>By trainer and crane</v>
          </cell>
          <cell r="F540" t="str">
            <v>BE_XU_LY_NUOC_THAI_SX</v>
          </cell>
          <cell r="G540" t="str">
            <v>Cong_tac_coc</v>
          </cell>
          <cell r="H540" t="str">
            <v>May_ep_coc</v>
          </cell>
          <cell r="I540" t="str">
            <v>Móng</v>
          </cell>
          <cell r="L540">
            <v>0</v>
          </cell>
          <cell r="O540">
            <v>20000000</v>
          </cell>
          <cell r="P540">
            <v>0</v>
          </cell>
          <cell r="Q540">
            <v>0</v>
          </cell>
          <cell r="R540">
            <v>20400000</v>
          </cell>
          <cell r="S540">
            <v>0</v>
          </cell>
          <cell r="T540">
            <v>20400000</v>
          </cell>
          <cell r="U540">
            <v>0</v>
          </cell>
        </row>
        <row r="541">
          <cell r="A541" t="str">
            <v>BoQ_461</v>
          </cell>
          <cell r="B541">
            <v>461</v>
          </cell>
          <cell r="C541">
            <v>2</v>
          </cell>
          <cell r="D541" t="str">
            <v>Cọc 200x200mm
Concrete spun pile 200x200</v>
          </cell>
          <cell r="E541" t="str">
            <v>L=25 m/ea</v>
          </cell>
          <cell r="F541" t="str">
            <v>BE_XU_LY_NUOC_THAI_SX</v>
          </cell>
          <cell r="G541" t="str">
            <v>Cong_tac_coc</v>
          </cell>
          <cell r="H541" t="str">
            <v>Ep_coc</v>
          </cell>
          <cell r="I541" t="str">
            <v>Móng</v>
          </cell>
          <cell r="L541">
            <v>0</v>
          </cell>
          <cell r="N541">
            <v>140000</v>
          </cell>
          <cell r="O541">
            <v>45000</v>
          </cell>
          <cell r="P541">
            <v>142800</v>
          </cell>
          <cell r="Q541">
            <v>0</v>
          </cell>
          <cell r="R541">
            <v>45900</v>
          </cell>
          <cell r="S541">
            <v>0</v>
          </cell>
          <cell r="T541">
            <v>188700</v>
          </cell>
          <cell r="U541">
            <v>0</v>
          </cell>
        </row>
        <row r="542">
          <cell r="A542" t="str">
            <v>BoQ_462</v>
          </cell>
          <cell r="B542">
            <v>462</v>
          </cell>
          <cell r="C542">
            <v>3</v>
          </cell>
          <cell r="D542" t="str">
            <v>Định vị tim cọc
Pile positioning</v>
          </cell>
          <cell r="F542" t="str">
            <v>BE_XU_LY_NUOC_THAI_SX</v>
          </cell>
          <cell r="G542" t="str">
            <v>Cong_tac_coc</v>
          </cell>
          <cell r="H542" t="str">
            <v>Trac_dac</v>
          </cell>
          <cell r="I542" t="str">
            <v>Móng</v>
          </cell>
          <cell r="L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</row>
        <row r="543">
          <cell r="A543" t="str">
            <v>BoQ_463</v>
          </cell>
          <cell r="B543">
            <v>463</v>
          </cell>
          <cell r="C543">
            <v>435</v>
          </cell>
          <cell r="D543" t="str">
            <v>Đập đầu cọc
Breakdown the top of pile</v>
          </cell>
          <cell r="F543" t="str">
            <v>BE_XU_LY_NUOC_THAI_SX</v>
          </cell>
          <cell r="G543" t="str">
            <v>Cong_tac_coc</v>
          </cell>
          <cell r="H543" t="str">
            <v>Dap_dau_coc</v>
          </cell>
          <cell r="I543" t="str">
            <v>Móng</v>
          </cell>
          <cell r="L543" t="str">
            <v>ea</v>
          </cell>
          <cell r="N543">
            <v>60000</v>
          </cell>
          <cell r="P543">
            <v>61200</v>
          </cell>
          <cell r="Q543">
            <v>0</v>
          </cell>
          <cell r="R543">
            <v>0</v>
          </cell>
          <cell r="S543">
            <v>0</v>
          </cell>
          <cell r="T543">
            <v>61200</v>
          </cell>
          <cell r="U543">
            <v>0</v>
          </cell>
        </row>
        <row r="544">
          <cell r="A544" t="str">
            <v>BoQ_464</v>
          </cell>
          <cell r="B544">
            <v>464</v>
          </cell>
          <cell r="C544">
            <v>436</v>
          </cell>
          <cell r="D544" t="str">
            <v>Vận chuyển cọc về công trình
Transporting piles to construction</v>
          </cell>
          <cell r="E544" t="str">
            <v>By trainer and crane</v>
          </cell>
          <cell r="F544" t="str">
            <v>BE_XU_LY_NUOC_THAI_SX</v>
          </cell>
          <cell r="G544" t="str">
            <v>Cong_tac_coc</v>
          </cell>
          <cell r="H544" t="str">
            <v>Van_chuyen_coc</v>
          </cell>
          <cell r="I544" t="str">
            <v>Móng</v>
          </cell>
          <cell r="L544" t="str">
            <v>m</v>
          </cell>
          <cell r="O544">
            <v>10000</v>
          </cell>
          <cell r="P544">
            <v>0</v>
          </cell>
          <cell r="Q544">
            <v>0</v>
          </cell>
          <cell r="R544">
            <v>10200</v>
          </cell>
          <cell r="S544">
            <v>0</v>
          </cell>
          <cell r="T544">
            <v>10200</v>
          </cell>
          <cell r="U544">
            <v>0</v>
          </cell>
        </row>
        <row r="545">
          <cell r="C545">
            <v>2</v>
          </cell>
          <cell r="D545" t="str">
            <v>CÔNG TÁC ĐẤT
EARTH WORKS</v>
          </cell>
        </row>
        <row r="546">
          <cell r="A546" t="str">
            <v>BoQ_465</v>
          </cell>
          <cell r="B546">
            <v>465</v>
          </cell>
          <cell r="C546">
            <v>437</v>
          </cell>
          <cell r="D546" t="str">
            <v xml:space="preserve">Thuê cừ larsen
Rental Larsen </v>
          </cell>
          <cell r="F546" t="str">
            <v>BE_XU_LY_NUOC_THAI_SX</v>
          </cell>
          <cell r="G546" t="str">
            <v>Cong_tac_dat</v>
          </cell>
          <cell r="H546" t="str">
            <v>Cua_larsen</v>
          </cell>
          <cell r="I546" t="str">
            <v>Móng</v>
          </cell>
          <cell r="L546" t="str">
            <v>m</v>
          </cell>
          <cell r="O546">
            <v>1200</v>
          </cell>
          <cell r="P546">
            <v>0</v>
          </cell>
          <cell r="Q546">
            <v>0</v>
          </cell>
          <cell r="R546">
            <v>1224</v>
          </cell>
          <cell r="S546">
            <v>0</v>
          </cell>
          <cell r="T546">
            <v>1224</v>
          </cell>
          <cell r="U546">
            <v>0</v>
          </cell>
        </row>
        <row r="547">
          <cell r="A547" t="str">
            <v>BoQ_466</v>
          </cell>
          <cell r="B547">
            <v>466</v>
          </cell>
          <cell r="C547">
            <v>438</v>
          </cell>
          <cell r="D547" t="str">
            <v>Ép và rút cừ
Install and removal</v>
          </cell>
          <cell r="F547" t="str">
            <v>BE_XU_LY_NUOC_THAI_SX</v>
          </cell>
          <cell r="G547" t="str">
            <v>Cong_tac_dat</v>
          </cell>
          <cell r="H547" t="str">
            <v>Ep_rut_cu</v>
          </cell>
          <cell r="I547" t="str">
            <v>Móng</v>
          </cell>
          <cell r="L547" t="str">
            <v>m</v>
          </cell>
          <cell r="O547">
            <v>90000</v>
          </cell>
          <cell r="P547">
            <v>0</v>
          </cell>
          <cell r="Q547">
            <v>0</v>
          </cell>
          <cell r="R547">
            <v>91800</v>
          </cell>
          <cell r="S547">
            <v>0</v>
          </cell>
          <cell r="T547">
            <v>91800</v>
          </cell>
          <cell r="U547">
            <v>0</v>
          </cell>
        </row>
        <row r="548">
          <cell r="A548" t="str">
            <v>BoQ_467</v>
          </cell>
          <cell r="B548">
            <v>467</v>
          </cell>
          <cell r="C548">
            <v>439</v>
          </cell>
          <cell r="D548" t="str">
            <v>Vận chuyển cừ đi về
Transportation</v>
          </cell>
          <cell r="F548" t="str">
            <v>BE_XU_LY_NUOC_THAI_SX</v>
          </cell>
          <cell r="G548" t="str">
            <v>Cong_tac_dat</v>
          </cell>
          <cell r="H548" t="str">
            <v>Van_chuyen_cu</v>
          </cell>
          <cell r="I548" t="str">
            <v>Móng</v>
          </cell>
          <cell r="L548" t="str">
            <v>m</v>
          </cell>
          <cell r="O548">
            <v>20000</v>
          </cell>
          <cell r="P548">
            <v>0</v>
          </cell>
          <cell r="Q548">
            <v>0</v>
          </cell>
          <cell r="R548">
            <v>20400</v>
          </cell>
          <cell r="S548">
            <v>0</v>
          </cell>
          <cell r="T548">
            <v>20400</v>
          </cell>
          <cell r="U548">
            <v>0</v>
          </cell>
        </row>
        <row r="549">
          <cell r="A549" t="str">
            <v>BoQ_468</v>
          </cell>
          <cell r="B549">
            <v>468</v>
          </cell>
          <cell r="C549">
            <v>440</v>
          </cell>
          <cell r="D549" t="str">
            <v>Vận chuyển thiết bị robot
Transportation</v>
          </cell>
          <cell r="F549" t="str">
            <v>BE_XU_LY_NUOC_THAI_SX</v>
          </cell>
          <cell r="G549" t="str">
            <v>Cong_tac_dat</v>
          </cell>
          <cell r="H549" t="str">
            <v>Van_chuyen_robot</v>
          </cell>
          <cell r="I549" t="str">
            <v>Móng</v>
          </cell>
          <cell r="L549" t="str">
            <v>chuyến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</row>
        <row r="550">
          <cell r="A550" t="str">
            <v>BoQ_469</v>
          </cell>
          <cell r="B550">
            <v>469</v>
          </cell>
          <cell r="C550">
            <v>441</v>
          </cell>
          <cell r="D550" t="str">
            <v>Văng chống cừ 
Anti-pillars</v>
          </cell>
          <cell r="F550" t="str">
            <v>BE_XU_LY_NUOC_THAI_SX</v>
          </cell>
          <cell r="G550" t="str">
            <v>Cong_tac_dat</v>
          </cell>
          <cell r="H550" t="str">
            <v>Vang_chong_cu</v>
          </cell>
          <cell r="I550" t="str">
            <v>Móng</v>
          </cell>
          <cell r="L550" t="str">
            <v>lot</v>
          </cell>
          <cell r="O550">
            <v>8000000</v>
          </cell>
          <cell r="P550">
            <v>0</v>
          </cell>
          <cell r="Q550">
            <v>0</v>
          </cell>
          <cell r="R550">
            <v>8160000</v>
          </cell>
          <cell r="S550">
            <v>0</v>
          </cell>
          <cell r="T550">
            <v>8160000</v>
          </cell>
          <cell r="U550">
            <v>0</v>
          </cell>
        </row>
        <row r="551">
          <cell r="A551" t="str">
            <v>BoQ_470</v>
          </cell>
          <cell r="B551">
            <v>470</v>
          </cell>
          <cell r="C551">
            <v>442</v>
          </cell>
          <cell r="D551" t="str">
            <v>Phụ kiện văng chống
Accessories</v>
          </cell>
          <cell r="F551" t="str">
            <v>BE_XU_LY_NUOC_THAI_SX</v>
          </cell>
          <cell r="G551" t="str">
            <v>Cong_tac_dat</v>
          </cell>
          <cell r="H551" t="str">
            <v>Phu_kien</v>
          </cell>
          <cell r="I551" t="str">
            <v>Móng</v>
          </cell>
          <cell r="L551" t="str">
            <v>lot</v>
          </cell>
          <cell r="O551">
            <v>10000000</v>
          </cell>
          <cell r="P551">
            <v>0</v>
          </cell>
          <cell r="Q551">
            <v>0</v>
          </cell>
          <cell r="R551">
            <v>10200000</v>
          </cell>
          <cell r="S551">
            <v>0</v>
          </cell>
          <cell r="T551">
            <v>10200000</v>
          </cell>
          <cell r="U551">
            <v>0</v>
          </cell>
        </row>
        <row r="552">
          <cell r="A552" t="str">
            <v>BoQ_471</v>
          </cell>
          <cell r="B552">
            <v>471</v>
          </cell>
          <cell r="C552">
            <v>443</v>
          </cell>
          <cell r="D552" t="str">
            <v>Hạ mực nước ngầm 
Lower the groundwater level</v>
          </cell>
          <cell r="F552" t="str">
            <v>BE_XU_LY_NUOC_THAI_SX</v>
          </cell>
          <cell r="G552" t="str">
            <v>Cong_tac_dat</v>
          </cell>
          <cell r="H552" t="str">
            <v>Ha_muc_nuoc_ngam</v>
          </cell>
          <cell r="I552" t="str">
            <v>Móng</v>
          </cell>
          <cell r="L552" t="str">
            <v>lot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</row>
        <row r="553">
          <cell r="A553" t="str">
            <v>BoQ_472</v>
          </cell>
          <cell r="B553">
            <v>472</v>
          </cell>
          <cell r="C553">
            <v>444</v>
          </cell>
          <cell r="D553" t="str">
            <v>Đào đất
Excavation soil</v>
          </cell>
          <cell r="F553" t="str">
            <v>BE_XU_LY_NUOC_THAI_SX</v>
          </cell>
          <cell r="G553" t="str">
            <v>Cong_tac_dat</v>
          </cell>
          <cell r="H553" t="str">
            <v>Dao_dat</v>
          </cell>
          <cell r="I553" t="str">
            <v>Móng</v>
          </cell>
          <cell r="L553" t="str">
            <v>m3</v>
          </cell>
          <cell r="O553">
            <v>22000</v>
          </cell>
          <cell r="P553">
            <v>0</v>
          </cell>
          <cell r="Q553">
            <v>0</v>
          </cell>
          <cell r="R553">
            <v>22440</v>
          </cell>
          <cell r="S553">
            <v>0</v>
          </cell>
          <cell r="T553">
            <v>22440</v>
          </cell>
          <cell r="U553">
            <v>0</v>
          </cell>
        </row>
        <row r="554">
          <cell r="A554" t="str">
            <v>BoQ_473</v>
          </cell>
          <cell r="B554">
            <v>473</v>
          </cell>
          <cell r="C554">
            <v>445</v>
          </cell>
          <cell r="D554" t="str">
            <v>Lấp đất 
Backfilling soil for foundation</v>
          </cell>
          <cell r="F554" t="str">
            <v>BE_XU_LY_NUOC_THAI_SX</v>
          </cell>
          <cell r="G554" t="str">
            <v>Cong_tac_dat</v>
          </cell>
          <cell r="H554" t="str">
            <v>Lap_dat</v>
          </cell>
          <cell r="I554" t="str">
            <v>Móng</v>
          </cell>
          <cell r="L554" t="str">
            <v>m3</v>
          </cell>
          <cell r="N554">
            <v>316800</v>
          </cell>
          <cell r="O554">
            <v>25000</v>
          </cell>
          <cell r="P554">
            <v>323136</v>
          </cell>
          <cell r="Q554">
            <v>0</v>
          </cell>
          <cell r="R554">
            <v>25500</v>
          </cell>
          <cell r="S554">
            <v>0</v>
          </cell>
          <cell r="T554">
            <v>348636</v>
          </cell>
          <cell r="U554">
            <v>0</v>
          </cell>
        </row>
        <row r="555">
          <cell r="A555" t="str">
            <v>BoQ_474</v>
          </cell>
          <cell r="B555">
            <v>474</v>
          </cell>
          <cell r="C555">
            <v>446</v>
          </cell>
          <cell r="D555" t="str">
            <v>Vận chuyển đất
Remove surplus soil</v>
          </cell>
          <cell r="E555" t="str">
            <v>trong công trường và đổ ra hồ</v>
          </cell>
          <cell r="F555" t="str">
            <v>BE_XU_LY_NUOC_THAI_SX</v>
          </cell>
          <cell r="G555" t="str">
            <v>Cong_tac_dat</v>
          </cell>
          <cell r="H555" t="str">
            <v>Van_chuyen_dat</v>
          </cell>
          <cell r="I555" t="str">
            <v>Móng</v>
          </cell>
          <cell r="L555" t="str">
            <v>m3</v>
          </cell>
          <cell r="O555">
            <v>22000</v>
          </cell>
          <cell r="P555">
            <v>0</v>
          </cell>
          <cell r="Q555">
            <v>0</v>
          </cell>
          <cell r="R555">
            <v>22440</v>
          </cell>
          <cell r="S555">
            <v>0</v>
          </cell>
          <cell r="T555">
            <v>22440</v>
          </cell>
          <cell r="U555">
            <v>0</v>
          </cell>
        </row>
        <row r="556">
          <cell r="A556" t="str">
            <v>BoQ_475</v>
          </cell>
          <cell r="B556">
            <v>475</v>
          </cell>
          <cell r="C556">
            <v>447</v>
          </cell>
          <cell r="D556" t="str">
            <v>Đầm chặt nền tự nhiên
Natural soil well compacted, k = 0.95</v>
          </cell>
          <cell r="F556" t="str">
            <v>BE_XU_LY_NUOC_THAI_SX</v>
          </cell>
          <cell r="G556" t="str">
            <v>Cong_tac_dat</v>
          </cell>
          <cell r="H556" t="str">
            <v>Dam_chat</v>
          </cell>
          <cell r="I556" t="str">
            <v>Móng</v>
          </cell>
          <cell r="L556" t="str">
            <v>m2</v>
          </cell>
          <cell r="O556">
            <v>25000</v>
          </cell>
          <cell r="P556">
            <v>0</v>
          </cell>
          <cell r="Q556">
            <v>0</v>
          </cell>
          <cell r="R556">
            <v>25500</v>
          </cell>
          <cell r="S556">
            <v>0</v>
          </cell>
          <cell r="T556">
            <v>25500</v>
          </cell>
          <cell r="U556">
            <v>0</v>
          </cell>
        </row>
        <row r="557">
          <cell r="A557" t="str">
            <v>BoQ_476</v>
          </cell>
          <cell r="B557">
            <v>476</v>
          </cell>
          <cell r="C557">
            <v>448</v>
          </cell>
          <cell r="D557" t="str">
            <v>Lớp nylon lót nền
PVC film layer under ground slab</v>
          </cell>
          <cell r="E557" t="str">
            <v>0.3mm thk</v>
          </cell>
          <cell r="F557" t="str">
            <v>BE_XU_LY_NUOC_THAI_SX</v>
          </cell>
          <cell r="G557" t="str">
            <v>Cong_tac_dat</v>
          </cell>
          <cell r="H557" t="str">
            <v>Nilong</v>
          </cell>
          <cell r="I557" t="str">
            <v>Móng</v>
          </cell>
          <cell r="L557" t="str">
            <v>m2</v>
          </cell>
          <cell r="N557">
            <v>3500</v>
          </cell>
          <cell r="O557">
            <v>1000</v>
          </cell>
          <cell r="P557">
            <v>3570</v>
          </cell>
          <cell r="Q557">
            <v>0</v>
          </cell>
          <cell r="R557">
            <v>1020</v>
          </cell>
          <cell r="S557">
            <v>0</v>
          </cell>
          <cell r="T557">
            <v>4590</v>
          </cell>
          <cell r="U557">
            <v>0</v>
          </cell>
        </row>
        <row r="558">
          <cell r="C558">
            <v>3</v>
          </cell>
          <cell r="D558" t="str">
            <v>CÔNG TÁC BÊ TÔNG
CONCRETE WORK</v>
          </cell>
        </row>
        <row r="559">
          <cell r="A559" t="str">
            <v>BoQ_477</v>
          </cell>
          <cell r="B559">
            <v>477</v>
          </cell>
          <cell r="C559">
            <v>449</v>
          </cell>
          <cell r="D559" t="str">
            <v xml:space="preserve">Lean concrete grade 100, stone 10x20, 100mm thk 
Bê tông lót </v>
          </cell>
          <cell r="E559" t="str">
            <v>Foundation &amp; ground slab</v>
          </cell>
          <cell r="F559" t="str">
            <v>BE_XU_LY_NUOC_THAI_SX</v>
          </cell>
          <cell r="G559" t="str">
            <v>Cong_tac_be_tong</v>
          </cell>
          <cell r="H559" t="str">
            <v>Be_tong</v>
          </cell>
          <cell r="I559" t="str">
            <v>Móng</v>
          </cell>
          <cell r="L559" t="str">
            <v>m3</v>
          </cell>
          <cell r="N559">
            <v>720000</v>
          </cell>
          <cell r="O559">
            <v>110000</v>
          </cell>
          <cell r="P559">
            <v>734400</v>
          </cell>
          <cell r="Q559">
            <v>0</v>
          </cell>
          <cell r="R559">
            <v>112200</v>
          </cell>
          <cell r="S559">
            <v>0</v>
          </cell>
          <cell r="T559">
            <v>846600</v>
          </cell>
          <cell r="U559">
            <v>0</v>
          </cell>
        </row>
        <row r="560">
          <cell r="A560" t="str">
            <v>BoQ_478</v>
          </cell>
          <cell r="B560">
            <v>478</v>
          </cell>
          <cell r="C560">
            <v>450</v>
          </cell>
          <cell r="D560" t="str">
            <v>Concrete grade 300, stone aggregate 10x20.
Bê tông móng, dầm bể nước</v>
          </cell>
          <cell r="E560" t="str">
            <v>Foundation &amp; ground beam</v>
          </cell>
          <cell r="F560" t="str">
            <v>BE_XU_LY_NUOC_THAI_SX</v>
          </cell>
          <cell r="G560" t="str">
            <v>Cong_tac_be_tong</v>
          </cell>
          <cell r="H560" t="str">
            <v>Be_tong</v>
          </cell>
          <cell r="I560" t="str">
            <v>Móng</v>
          </cell>
          <cell r="L560" t="str">
            <v>m3</v>
          </cell>
          <cell r="N560">
            <v>910000</v>
          </cell>
          <cell r="O560">
            <v>110000</v>
          </cell>
          <cell r="P560">
            <v>928200</v>
          </cell>
          <cell r="Q560">
            <v>0</v>
          </cell>
          <cell r="R560">
            <v>112200</v>
          </cell>
          <cell r="S560">
            <v>0</v>
          </cell>
          <cell r="T560">
            <v>1040400</v>
          </cell>
          <cell r="U560">
            <v>0</v>
          </cell>
        </row>
        <row r="561">
          <cell r="A561" t="str">
            <v>BoQ_479</v>
          </cell>
          <cell r="B561">
            <v>479</v>
          </cell>
          <cell r="C561">
            <v>451</v>
          </cell>
          <cell r="D561" t="str">
            <v>Concrete grade 300, stone aggregate 10x20.
Bê tông cột vách bể nước</v>
          </cell>
          <cell r="E561" t="str">
            <v>Calumn &amp; wall</v>
          </cell>
          <cell r="F561" t="str">
            <v>BE_XU_LY_NUOC_THAI_SX</v>
          </cell>
          <cell r="G561" t="str">
            <v>Cong_tac_be_tong</v>
          </cell>
          <cell r="H561" t="str">
            <v>Be_tong</v>
          </cell>
          <cell r="I561" t="str">
            <v>Móng</v>
          </cell>
          <cell r="L561" t="str">
            <v>m3</v>
          </cell>
          <cell r="N561">
            <v>910000</v>
          </cell>
          <cell r="O561">
            <v>110000</v>
          </cell>
          <cell r="P561">
            <v>928200</v>
          </cell>
          <cell r="Q561">
            <v>0</v>
          </cell>
          <cell r="R561">
            <v>112200</v>
          </cell>
          <cell r="S561">
            <v>0</v>
          </cell>
          <cell r="T561">
            <v>1040400</v>
          </cell>
          <cell r="U561">
            <v>0</v>
          </cell>
        </row>
        <row r="562">
          <cell r="A562" t="str">
            <v>BoQ_480</v>
          </cell>
          <cell r="B562">
            <v>480</v>
          </cell>
          <cell r="C562">
            <v>452</v>
          </cell>
          <cell r="D562" t="str">
            <v>Concrete grade 300, stone aggregate 10x20.
Bê tông dầm, nắp bể</v>
          </cell>
          <cell r="E562" t="str">
            <v>Beam &amp; Slab</v>
          </cell>
          <cell r="F562" t="str">
            <v>BE_XU_LY_NUOC_THAI_SX</v>
          </cell>
          <cell r="G562" t="str">
            <v>Cong_tac_be_tong</v>
          </cell>
          <cell r="H562" t="str">
            <v>Be_tong</v>
          </cell>
          <cell r="L562" t="str">
            <v>m3</v>
          </cell>
          <cell r="N562">
            <v>910000</v>
          </cell>
          <cell r="O562">
            <v>110000</v>
          </cell>
          <cell r="P562">
            <v>928200</v>
          </cell>
          <cell r="Q562">
            <v>0</v>
          </cell>
          <cell r="R562">
            <v>112200</v>
          </cell>
          <cell r="S562">
            <v>0</v>
          </cell>
          <cell r="T562">
            <v>1040400</v>
          </cell>
          <cell r="U562">
            <v>0</v>
          </cell>
        </row>
        <row r="563">
          <cell r="A563" t="str">
            <v>BoQ_481</v>
          </cell>
          <cell r="B563">
            <v>481</v>
          </cell>
          <cell r="C563">
            <v>453</v>
          </cell>
          <cell r="D563" t="str">
            <v>Bơm bê tông
Concrete pump</v>
          </cell>
          <cell r="F563" t="str">
            <v>BE_XU_LY_NUOC_THAI_SX</v>
          </cell>
          <cell r="G563" t="str">
            <v>Cong_tac_be_tong</v>
          </cell>
          <cell r="H563" t="str">
            <v>Bom_be_tong</v>
          </cell>
          <cell r="L563" t="str">
            <v>m3</v>
          </cell>
          <cell r="O563">
            <v>70000</v>
          </cell>
          <cell r="P563">
            <v>0</v>
          </cell>
          <cell r="Q563">
            <v>0</v>
          </cell>
          <cell r="R563">
            <v>71400</v>
          </cell>
          <cell r="S563">
            <v>0</v>
          </cell>
          <cell r="T563">
            <v>71400</v>
          </cell>
          <cell r="U563">
            <v>0</v>
          </cell>
        </row>
        <row r="564">
          <cell r="C564">
            <v>4</v>
          </cell>
          <cell r="D564" t="str">
            <v>CÔNG TÁC VÁN KHUÔN
FORM WORK</v>
          </cell>
        </row>
        <row r="565">
          <cell r="A565" t="str">
            <v>BoQ_482</v>
          </cell>
          <cell r="B565">
            <v>482</v>
          </cell>
          <cell r="C565">
            <v>454</v>
          </cell>
          <cell r="D565" t="str">
            <v>Ván khuôn lót móng, giằng móng
For Lean concrete (Foundation &amp; Ground Beam)</v>
          </cell>
          <cell r="E565" t="str">
            <v>Thép hộp và ván phủ phim
Steel boxes &amp; Plywood form</v>
          </cell>
          <cell r="F565" t="str">
            <v>BE_XU_LY_NUOC_THAI_SX</v>
          </cell>
          <cell r="G565" t="str">
            <v>Cong_tac_van_khuon</v>
          </cell>
          <cell r="H565" t="str">
            <v>Van_khuon</v>
          </cell>
          <cell r="L565" t="str">
            <v>m</v>
          </cell>
          <cell r="N565">
            <v>70000</v>
          </cell>
          <cell r="O565">
            <v>120000</v>
          </cell>
          <cell r="P565">
            <v>71400</v>
          </cell>
          <cell r="Q565">
            <v>0</v>
          </cell>
          <cell r="R565">
            <v>122400</v>
          </cell>
          <cell r="S565">
            <v>0</v>
          </cell>
          <cell r="T565">
            <v>193800</v>
          </cell>
          <cell r="U565">
            <v>0</v>
          </cell>
        </row>
        <row r="566">
          <cell r="A566" t="str">
            <v>BoQ_483</v>
          </cell>
          <cell r="B566">
            <v>483</v>
          </cell>
          <cell r="C566">
            <v>455</v>
          </cell>
          <cell r="D566" t="str">
            <v xml:space="preserve">Ván khuôn móng, giằng móng
Foundation &amp; ground beam </v>
          </cell>
          <cell r="E566" t="str">
            <v>Thép hộp và ván phủ phim
Steel boxes &amp; Plywood form</v>
          </cell>
          <cell r="F566" t="str">
            <v>BE_XU_LY_NUOC_THAI_SX</v>
          </cell>
          <cell r="G566" t="str">
            <v>Cong_tac_van_khuon</v>
          </cell>
          <cell r="H566" t="str">
            <v>Van_khuon</v>
          </cell>
          <cell r="L566" t="str">
            <v>m2</v>
          </cell>
          <cell r="N566">
            <v>70000</v>
          </cell>
          <cell r="O566">
            <v>120000</v>
          </cell>
          <cell r="P566">
            <v>71400</v>
          </cell>
          <cell r="Q566">
            <v>0</v>
          </cell>
          <cell r="R566">
            <v>122400</v>
          </cell>
          <cell r="S566">
            <v>0</v>
          </cell>
          <cell r="T566">
            <v>193800</v>
          </cell>
          <cell r="U566">
            <v>0</v>
          </cell>
        </row>
        <row r="567">
          <cell r="A567" t="str">
            <v>BoQ_484</v>
          </cell>
          <cell r="B567">
            <v>484</v>
          </cell>
          <cell r="C567">
            <v>456</v>
          </cell>
          <cell r="D567" t="str">
            <v>Ván khuôn cột, vách
For column &amp; Wall</v>
          </cell>
          <cell r="E567" t="str">
            <v>Thép hộp và ván phủ phim
Steel boxes &amp; Plywood form</v>
          </cell>
          <cell r="F567" t="str">
            <v>BE_XU_LY_NUOC_THAI_SX</v>
          </cell>
          <cell r="G567" t="str">
            <v>Cong_tac_van_khuon</v>
          </cell>
          <cell r="H567" t="str">
            <v>Van_khuon</v>
          </cell>
          <cell r="L567" t="str">
            <v>m2</v>
          </cell>
          <cell r="N567">
            <v>70000</v>
          </cell>
          <cell r="O567">
            <v>120000</v>
          </cell>
          <cell r="P567">
            <v>71400</v>
          </cell>
          <cell r="Q567">
            <v>0</v>
          </cell>
          <cell r="R567">
            <v>122400</v>
          </cell>
          <cell r="S567">
            <v>0</v>
          </cell>
          <cell r="T567">
            <v>193800</v>
          </cell>
          <cell r="U567">
            <v>0</v>
          </cell>
        </row>
        <row r="568">
          <cell r="A568" t="str">
            <v>BoQ_485</v>
          </cell>
          <cell r="B568">
            <v>485</v>
          </cell>
          <cell r="C568">
            <v>457</v>
          </cell>
          <cell r="D568" t="str">
            <v>Ván khuôn dầm, nắp bể 
For beam &amp; Slab</v>
          </cell>
          <cell r="E568" t="str">
            <v>Thép hộp và ván phủ phim
Steel boxes &amp; Plywood form</v>
          </cell>
          <cell r="F568" t="str">
            <v>BE_XU_LY_NUOC_THAI_SX</v>
          </cell>
          <cell r="G568" t="str">
            <v>Cong_tac_van_khuon</v>
          </cell>
          <cell r="H568" t="str">
            <v>Van_khuon</v>
          </cell>
          <cell r="L568" t="str">
            <v>m2</v>
          </cell>
          <cell r="N568">
            <v>70000</v>
          </cell>
          <cell r="O568">
            <v>120000</v>
          </cell>
          <cell r="P568">
            <v>71400</v>
          </cell>
          <cell r="Q568">
            <v>0</v>
          </cell>
          <cell r="R568">
            <v>122400</v>
          </cell>
          <cell r="S568">
            <v>0</v>
          </cell>
          <cell r="T568">
            <v>193800</v>
          </cell>
          <cell r="U568">
            <v>0</v>
          </cell>
        </row>
        <row r="569">
          <cell r="A569" t="str">
            <v>BoQ_486</v>
          </cell>
          <cell r="B569">
            <v>486</v>
          </cell>
          <cell r="C569">
            <v>458</v>
          </cell>
          <cell r="D569" t="str">
            <v>Ty thép xuyên vách
Steel tube through the wall</v>
          </cell>
          <cell r="F569" t="str">
            <v>BE_XU_LY_NUOC_THAI_SX</v>
          </cell>
          <cell r="G569" t="str">
            <v>Cong_tac_van_khuon</v>
          </cell>
          <cell r="H569" t="str">
            <v>Van_khuon</v>
          </cell>
          <cell r="L569" t="str">
            <v>m2</v>
          </cell>
          <cell r="N569">
            <v>70000</v>
          </cell>
          <cell r="O569">
            <v>120000</v>
          </cell>
          <cell r="P569">
            <v>71400</v>
          </cell>
          <cell r="Q569">
            <v>0</v>
          </cell>
          <cell r="R569">
            <v>122400</v>
          </cell>
          <cell r="S569">
            <v>0</v>
          </cell>
          <cell r="T569">
            <v>193800</v>
          </cell>
          <cell r="U569">
            <v>0</v>
          </cell>
        </row>
        <row r="570">
          <cell r="A570" t="str">
            <v>BoQ_487</v>
          </cell>
          <cell r="B570">
            <v>487</v>
          </cell>
          <cell r="C570">
            <v>459</v>
          </cell>
          <cell r="D570" t="str">
            <v>Cắt trám đầu ty vách bằng vữa chuyên dụng
Cut and fill the wall with a specialized mortar</v>
          </cell>
          <cell r="F570" t="str">
            <v>BE_XU_LY_NUOC_THAI_SX</v>
          </cell>
          <cell r="G570" t="str">
            <v>Cong_tac_van_khuon</v>
          </cell>
          <cell r="H570" t="str">
            <v>Van_khuon</v>
          </cell>
          <cell r="L570" t="str">
            <v>m2</v>
          </cell>
          <cell r="N570">
            <v>70000</v>
          </cell>
          <cell r="O570">
            <v>120000</v>
          </cell>
          <cell r="P570">
            <v>71400</v>
          </cell>
          <cell r="Q570">
            <v>0</v>
          </cell>
          <cell r="R570">
            <v>122400</v>
          </cell>
          <cell r="S570">
            <v>0</v>
          </cell>
          <cell r="T570">
            <v>193800</v>
          </cell>
          <cell r="U570">
            <v>0</v>
          </cell>
        </row>
        <row r="571">
          <cell r="C571">
            <v>5</v>
          </cell>
          <cell r="D571" t="str">
            <v>CÔNG TÁC THÉP
REBAR WORK</v>
          </cell>
        </row>
        <row r="572">
          <cell r="A572" t="str">
            <v>BoQ_488</v>
          </cell>
          <cell r="B572">
            <v>488</v>
          </cell>
          <cell r="C572">
            <v>460</v>
          </cell>
          <cell r="D572" t="str">
            <v>Cốt thép móng,giằng móng
Manufacture and assemble of reinforcement for Foundation, Ground Beam</v>
          </cell>
          <cell r="E572" t="str">
            <v>CB-240T &amp; CB-500V</v>
          </cell>
          <cell r="F572" t="str">
            <v>BE_XU_LY_NUOC_THAI_SX</v>
          </cell>
          <cell r="G572" t="str">
            <v>Cong_tac_cot_thep</v>
          </cell>
          <cell r="H572" t="str">
            <v>Cot_thep</v>
          </cell>
          <cell r="I572" t="str">
            <v>Móng</v>
          </cell>
          <cell r="L572" t="str">
            <v>Ton</v>
          </cell>
          <cell r="N572">
            <v>14500000</v>
          </cell>
          <cell r="O572">
            <v>2300000</v>
          </cell>
          <cell r="P572">
            <v>14790000</v>
          </cell>
          <cell r="Q572">
            <v>0</v>
          </cell>
          <cell r="R572">
            <v>2346000</v>
          </cell>
          <cell r="S572">
            <v>0</v>
          </cell>
          <cell r="T572">
            <v>17136000</v>
          </cell>
          <cell r="U572">
            <v>0</v>
          </cell>
        </row>
        <row r="573">
          <cell r="A573" t="str">
            <v>BoQ_489</v>
          </cell>
          <cell r="B573">
            <v>489</v>
          </cell>
          <cell r="C573">
            <v>461</v>
          </cell>
          <cell r="D573" t="str">
            <v>Cốt thép cột, vách bể
Manufacture and assemble of reinforcement for Calumn &amp; Wall</v>
          </cell>
          <cell r="E573" t="str">
            <v>CB-240T &amp; CB-500V</v>
          </cell>
          <cell r="F573" t="str">
            <v>BE_XU_LY_NUOC_THAI_SX</v>
          </cell>
          <cell r="G573" t="str">
            <v>Cong_tac_cot_thep</v>
          </cell>
          <cell r="H573" t="str">
            <v>Cot_thep</v>
          </cell>
          <cell r="I573" t="str">
            <v>Cột</v>
          </cell>
          <cell r="L573" t="str">
            <v>Ton</v>
          </cell>
          <cell r="N573">
            <v>14500000</v>
          </cell>
          <cell r="O573">
            <v>2300000</v>
          </cell>
          <cell r="P573">
            <v>14790000</v>
          </cell>
          <cell r="Q573">
            <v>0</v>
          </cell>
          <cell r="R573">
            <v>2346000</v>
          </cell>
          <cell r="S573">
            <v>0</v>
          </cell>
          <cell r="T573">
            <v>17136000</v>
          </cell>
          <cell r="U573">
            <v>0</v>
          </cell>
        </row>
        <row r="574">
          <cell r="A574" t="str">
            <v>BoQ_490</v>
          </cell>
          <cell r="B574">
            <v>490</v>
          </cell>
          <cell r="C574">
            <v>462</v>
          </cell>
          <cell r="D574" t="str">
            <v>Cốt thép dầm, nắp bể
Manufacture and assemble of reinforcement for Beam &amp; Slab</v>
          </cell>
          <cell r="E574" t="str">
            <v>CB-240T &amp; CB-500V</v>
          </cell>
          <cell r="F574" t="str">
            <v>BE_XU_LY_NUOC_THAI_SX</v>
          </cell>
          <cell r="G574" t="str">
            <v>Cong_tac_cot_thep</v>
          </cell>
          <cell r="H574" t="str">
            <v>Cot_thep</v>
          </cell>
          <cell r="I574" t="str">
            <v>Dầm</v>
          </cell>
          <cell r="L574" t="str">
            <v>Ton</v>
          </cell>
          <cell r="N574">
            <v>14500000</v>
          </cell>
          <cell r="O574">
            <v>2300000</v>
          </cell>
          <cell r="P574">
            <v>14790000</v>
          </cell>
          <cell r="Q574">
            <v>0</v>
          </cell>
          <cell r="R574">
            <v>2346000</v>
          </cell>
          <cell r="S574">
            <v>0</v>
          </cell>
          <cell r="T574">
            <v>17136000</v>
          </cell>
          <cell r="U574">
            <v>0</v>
          </cell>
        </row>
        <row r="575">
          <cell r="C575">
            <v>6</v>
          </cell>
          <cell r="D575" t="str">
            <v xml:space="preserve">HOÀN THIỆN BỂ NƯỚC/FINISHING </v>
          </cell>
        </row>
        <row r="576">
          <cell r="A576" t="str">
            <v>BoQ_491</v>
          </cell>
          <cell r="B576">
            <v>491</v>
          </cell>
          <cell r="C576">
            <v>463</v>
          </cell>
          <cell r="D576" t="str">
            <v>Chống thấm trong bể nước
Waterproofing inside tank</v>
          </cell>
          <cell r="F576" t="str">
            <v>BE_XU_LY_NUOC_THAI_SX</v>
          </cell>
          <cell r="G576" t="str">
            <v>Cong_tac_chong_tham</v>
          </cell>
          <cell r="H576" t="str">
            <v>Chong_tham</v>
          </cell>
          <cell r="I576" t="str">
            <v>Tường</v>
          </cell>
          <cell r="J576" t="str">
            <v>Sika</v>
          </cell>
          <cell r="L576" t="str">
            <v>m2</v>
          </cell>
          <cell r="N576">
            <v>56000</v>
          </cell>
          <cell r="O576">
            <v>45000</v>
          </cell>
          <cell r="P576">
            <v>57120</v>
          </cell>
          <cell r="Q576">
            <v>0</v>
          </cell>
          <cell r="R576">
            <v>45900</v>
          </cell>
          <cell r="S576">
            <v>0</v>
          </cell>
          <cell r="T576">
            <v>103020</v>
          </cell>
          <cell r="U576">
            <v>0</v>
          </cell>
        </row>
        <row r="577">
          <cell r="A577" t="str">
            <v>BoQ_492</v>
          </cell>
          <cell r="B577">
            <v>492</v>
          </cell>
          <cell r="C577">
            <v>464</v>
          </cell>
          <cell r="D577" t="str">
            <v>Trát trong bể nước
Plastering for wall surfaces 2cm</v>
          </cell>
          <cell r="F577" t="str">
            <v>BE_XU_LY_NUOC_THAI_SX</v>
          </cell>
          <cell r="G577" t="str">
            <v>Cong_tac_xay_trat</v>
          </cell>
          <cell r="H577" t="str">
            <v>Xay_trat</v>
          </cell>
          <cell r="I577" t="str">
            <v>Tường</v>
          </cell>
          <cell r="J577" t="str">
            <v>M75</v>
          </cell>
          <cell r="K577" t="str">
            <v>2CM</v>
          </cell>
          <cell r="L577" t="str">
            <v>m2</v>
          </cell>
          <cell r="N577">
            <v>65000</v>
          </cell>
          <cell r="O577">
            <v>85000</v>
          </cell>
          <cell r="P577">
            <v>66300</v>
          </cell>
          <cell r="Q577">
            <v>0</v>
          </cell>
          <cell r="R577">
            <v>86700</v>
          </cell>
          <cell r="S577">
            <v>0</v>
          </cell>
          <cell r="T577">
            <v>153000</v>
          </cell>
          <cell r="U577">
            <v>0</v>
          </cell>
        </row>
        <row r="578">
          <cell r="A578" t="str">
            <v>BoQ_493</v>
          </cell>
          <cell r="B578">
            <v>493</v>
          </cell>
          <cell r="C578">
            <v>465</v>
          </cell>
          <cell r="D578" t="str">
            <v>Băng cản nước
Water stop</v>
          </cell>
          <cell r="F578" t="str">
            <v>BE_XU_LY_NUOC_THAI_SX</v>
          </cell>
          <cell r="G578" t="str">
            <v>Cong_tac_chong_tham</v>
          </cell>
          <cell r="H578" t="str">
            <v>Bong_chong_tham</v>
          </cell>
          <cell r="I578" t="str">
            <v>Tường</v>
          </cell>
          <cell r="J578" t="str">
            <v>Băng cản nước</v>
          </cell>
          <cell r="L578" t="str">
            <v>md</v>
          </cell>
          <cell r="N578">
            <v>178000</v>
          </cell>
          <cell r="O578">
            <v>112000</v>
          </cell>
          <cell r="P578">
            <v>181560</v>
          </cell>
          <cell r="Q578">
            <v>0</v>
          </cell>
          <cell r="R578">
            <v>114240</v>
          </cell>
          <cell r="S578">
            <v>0</v>
          </cell>
          <cell r="T578">
            <v>295800</v>
          </cell>
          <cell r="U578">
            <v>0</v>
          </cell>
        </row>
        <row r="579">
          <cell r="C579">
            <v>7</v>
          </cell>
          <cell r="D579" t="str">
            <v>CÔNG TÁC KHÁC
OTHER WORK</v>
          </cell>
        </row>
        <row r="580">
          <cell r="A580" t="str">
            <v>BoQ_494</v>
          </cell>
          <cell r="B580">
            <v>494</v>
          </cell>
          <cell r="C580">
            <v>466</v>
          </cell>
          <cell r="D580" t="str">
            <v>Nắp inox 600x600 
Stainless steel lid 600x600</v>
          </cell>
          <cell r="F580" t="str">
            <v>BE_XU_LY_NUOC_THAI_SX</v>
          </cell>
          <cell r="G580" t="str">
            <v>Cong_tac_co_khi</v>
          </cell>
          <cell r="H580" t="str">
            <v>Co_khi</v>
          </cell>
          <cell r="I580" t="str">
            <v>Nắp bể</v>
          </cell>
          <cell r="J580" t="str">
            <v>Mã kẽm</v>
          </cell>
          <cell r="K580" t="str">
            <v>600x600</v>
          </cell>
          <cell r="L580" t="str">
            <v>ea</v>
          </cell>
          <cell r="N580">
            <v>650000</v>
          </cell>
          <cell r="O580">
            <v>150000</v>
          </cell>
          <cell r="P580">
            <v>663000</v>
          </cell>
          <cell r="Q580">
            <v>0</v>
          </cell>
          <cell r="R580">
            <v>153000</v>
          </cell>
          <cell r="S580">
            <v>0</v>
          </cell>
          <cell r="T580">
            <v>816000</v>
          </cell>
          <cell r="U580">
            <v>0</v>
          </cell>
        </row>
        <row r="581">
          <cell r="A581" t="str">
            <v>BoQ_495</v>
          </cell>
          <cell r="B581">
            <v>495</v>
          </cell>
          <cell r="C581">
            <v>467</v>
          </cell>
          <cell r="D581" t="str">
            <v>Nẹp V50x50
Splint V50x50</v>
          </cell>
          <cell r="F581" t="str">
            <v>BE_XU_LY_NUOC_THAI_SX</v>
          </cell>
          <cell r="G581" t="str">
            <v>Cong_tac_co_khi</v>
          </cell>
          <cell r="H581" t="str">
            <v>Co_khi</v>
          </cell>
          <cell r="I581" t="str">
            <v>Nắp bể</v>
          </cell>
          <cell r="J581" t="str">
            <v>V50x50</v>
          </cell>
          <cell r="L581" t="str">
            <v>lot</v>
          </cell>
          <cell r="N581">
            <v>150000</v>
          </cell>
          <cell r="O581">
            <v>150000</v>
          </cell>
          <cell r="P581">
            <v>153000</v>
          </cell>
          <cell r="Q581">
            <v>0</v>
          </cell>
          <cell r="R581">
            <v>153000</v>
          </cell>
          <cell r="S581">
            <v>0</v>
          </cell>
          <cell r="T581">
            <v>306000</v>
          </cell>
          <cell r="U581">
            <v>0</v>
          </cell>
        </row>
        <row r="582">
          <cell r="A582" t="str">
            <v>BoQ_496</v>
          </cell>
          <cell r="B582">
            <v>496</v>
          </cell>
          <cell r="C582">
            <v>468</v>
          </cell>
          <cell r="D582" t="str">
            <v>Thang lên xuống bể nước
Stainless steel ladder to the water tank</v>
          </cell>
          <cell r="F582" t="str">
            <v>BE_XU_LY_NUOC_THAI_SX</v>
          </cell>
          <cell r="G582" t="str">
            <v>Cong_tac_co_khi</v>
          </cell>
          <cell r="H582" t="str">
            <v>Co_khi</v>
          </cell>
          <cell r="I582" t="str">
            <v>Thang lên</v>
          </cell>
          <cell r="J582" t="str">
            <v>Inox</v>
          </cell>
          <cell r="L582" t="str">
            <v>lot</v>
          </cell>
          <cell r="N582">
            <v>750000</v>
          </cell>
          <cell r="O582">
            <v>150000</v>
          </cell>
          <cell r="P582">
            <v>765000</v>
          </cell>
          <cell r="Q582">
            <v>0</v>
          </cell>
          <cell r="R582">
            <v>153000</v>
          </cell>
          <cell r="S582">
            <v>0</v>
          </cell>
          <cell r="T582">
            <v>918000</v>
          </cell>
          <cell r="U582">
            <v>0</v>
          </cell>
        </row>
        <row r="583">
          <cell r="D583" t="str">
            <v>DOMESTIC WASTEWATER TREATMENT SYSTEM / HỆ THỐNG XỬ LÝ NƯỚC THẢI SINH HOẠT 50M3/NGÀY</v>
          </cell>
          <cell r="E583" t="str">
            <v>BỞI VINATECH / BY VINATECH</v>
          </cell>
          <cell r="U583">
            <v>0</v>
          </cell>
          <cell r="V583">
            <v>0</v>
          </cell>
        </row>
        <row r="584">
          <cell r="A584" t="str">
            <v>BoQ_497</v>
          </cell>
          <cell r="B584">
            <v>497</v>
          </cell>
        </row>
        <row r="585">
          <cell r="A585" t="str">
            <v>BoQ_498</v>
          </cell>
          <cell r="B585">
            <v>498</v>
          </cell>
        </row>
        <row r="586">
          <cell r="A586" t="str">
            <v>BoQ_499</v>
          </cell>
          <cell r="B586">
            <v>499</v>
          </cell>
        </row>
        <row r="587">
          <cell r="D587" t="str">
            <v>ROAD , LANSCAPE &amp; FOOTBALL FIELD</v>
          </cell>
          <cell r="U587">
            <v>0</v>
          </cell>
          <cell r="V587">
            <v>0</v>
          </cell>
        </row>
        <row r="588">
          <cell r="D588" t="str">
            <v>ROAD &amp; LANSCAPE WORKS</v>
          </cell>
        </row>
        <row r="589">
          <cell r="D589" t="str">
            <v>ROAD &amp; LANSCAPE WORKS
ĐƯỜNG VÀ SAN LẤP</v>
          </cell>
        </row>
        <row r="590">
          <cell r="C590">
            <v>1</v>
          </cell>
          <cell r="D590" t="str">
            <v>INTERNAL ROAD
ĐƯỜNG NỘI BỘ</v>
          </cell>
        </row>
        <row r="591">
          <cell r="A591" t="str">
            <v>BoQ_500</v>
          </cell>
          <cell r="B591">
            <v>500</v>
          </cell>
          <cell r="C591">
            <v>1</v>
          </cell>
          <cell r="D591" t="str">
            <v>Tôn nền đầm chặt đến cốt thiết kế
Backfill to design level, compaction</v>
          </cell>
          <cell r="F591" t="str">
            <v>CONG_TAC_DUONG</v>
          </cell>
          <cell r="G591" t="str">
            <v>Cong_tac_dat</v>
          </cell>
          <cell r="L591" t="str">
            <v>m3</v>
          </cell>
          <cell r="M591">
            <v>1220.18</v>
          </cell>
          <cell r="N591">
            <v>316800</v>
          </cell>
          <cell r="O591">
            <v>25000</v>
          </cell>
          <cell r="P591">
            <v>323136</v>
          </cell>
          <cell r="Q591">
            <v>394284084.48000002</v>
          </cell>
          <cell r="R591">
            <v>25500</v>
          </cell>
          <cell r="S591">
            <v>31114590</v>
          </cell>
          <cell r="T591">
            <v>348636</v>
          </cell>
          <cell r="U591">
            <v>425398674.48000002</v>
          </cell>
        </row>
        <row r="592">
          <cell r="A592" t="str">
            <v>BoQ_501</v>
          </cell>
          <cell r="B592">
            <v>501</v>
          </cell>
          <cell r="C592">
            <v>2</v>
          </cell>
          <cell r="D592" t="str">
            <v>Crushed stone Type I well compacted, K=0.98
Lắp base loại 1 đầm chặt</v>
          </cell>
          <cell r="F592" t="str">
            <v>CONG_TAC_DUONG</v>
          </cell>
          <cell r="G592" t="str">
            <v>Cong_tac_dat</v>
          </cell>
          <cell r="L592" t="str">
            <v>m3</v>
          </cell>
          <cell r="M592">
            <v>1136.6599999999999</v>
          </cell>
          <cell r="N592">
            <v>316800</v>
          </cell>
          <cell r="O592">
            <v>25000</v>
          </cell>
          <cell r="P592">
            <v>323136</v>
          </cell>
          <cell r="Q592">
            <v>367295765.75999993</v>
          </cell>
          <cell r="R592">
            <v>25500</v>
          </cell>
          <cell r="S592">
            <v>28984829.999999996</v>
          </cell>
          <cell r="T592">
            <v>348636</v>
          </cell>
          <cell r="U592">
            <v>396280595.75999993</v>
          </cell>
        </row>
        <row r="593">
          <cell r="A593" t="str">
            <v>BoQ_502</v>
          </cell>
          <cell r="B593">
            <v>502</v>
          </cell>
          <cell r="C593">
            <v>3</v>
          </cell>
          <cell r="D593" t="str">
            <v>PVC film layer under ground slab
Lớp nylong móng</v>
          </cell>
          <cell r="F593" t="str">
            <v>CONG_TAC_DUONG</v>
          </cell>
          <cell r="G593" t="str">
            <v>Cong_tac_dat</v>
          </cell>
          <cell r="L593" t="str">
            <v>m2</v>
          </cell>
          <cell r="M593">
            <v>4059.4999999999995</v>
          </cell>
          <cell r="N593">
            <v>3500</v>
          </cell>
          <cell r="O593">
            <v>1000</v>
          </cell>
          <cell r="P593">
            <v>3570</v>
          </cell>
          <cell r="Q593">
            <v>14492414.999999998</v>
          </cell>
          <cell r="R593">
            <v>1020</v>
          </cell>
          <cell r="S593">
            <v>4140689.9999999995</v>
          </cell>
          <cell r="T593">
            <v>4590</v>
          </cell>
          <cell r="U593">
            <v>18633104.999999996</v>
          </cell>
        </row>
        <row r="594">
          <cell r="A594" t="str">
            <v>BoQ_503</v>
          </cell>
          <cell r="B594">
            <v>503</v>
          </cell>
          <cell r="C594">
            <v>4</v>
          </cell>
          <cell r="D594" t="str">
            <v>Concrete grade 300, stone aggregate 10x20.
Bê tông nền đường mác 300</v>
          </cell>
          <cell r="E594" t="str">
            <v>Road</v>
          </cell>
          <cell r="F594" t="str">
            <v>CONG_TAC_DUONG</v>
          </cell>
          <cell r="G594" t="str">
            <v>Cong_tac_be_tong</v>
          </cell>
          <cell r="L594" t="str">
            <v>m3</v>
          </cell>
          <cell r="M594">
            <v>811.9</v>
          </cell>
          <cell r="N594">
            <v>910000</v>
          </cell>
          <cell r="O594">
            <v>110000</v>
          </cell>
          <cell r="P594">
            <v>928200</v>
          </cell>
          <cell r="Q594">
            <v>753605580</v>
          </cell>
          <cell r="R594">
            <v>112200</v>
          </cell>
          <cell r="S594">
            <v>91095180</v>
          </cell>
          <cell r="T594">
            <v>1040400</v>
          </cell>
          <cell r="U594">
            <v>844700760</v>
          </cell>
        </row>
        <row r="595">
          <cell r="A595" t="str">
            <v>BoQ_504</v>
          </cell>
          <cell r="B595">
            <v>504</v>
          </cell>
          <cell r="C595">
            <v>5</v>
          </cell>
          <cell r="D595" t="str">
            <v>Manufacture and assemble of reinforcement for road
Thép nền đường</v>
          </cell>
          <cell r="E595" t="str">
            <v>CB-240T &amp; CB-500V</v>
          </cell>
          <cell r="F595" t="str">
            <v>CONG_TAC_DUONG</v>
          </cell>
          <cell r="G595" t="str">
            <v>Cong_tac_cot_thep</v>
          </cell>
          <cell r="L595" t="str">
            <v>Ton</v>
          </cell>
          <cell r="M595">
            <v>26.864999999999998</v>
          </cell>
          <cell r="N595">
            <v>14500000</v>
          </cell>
          <cell r="O595">
            <v>2300000</v>
          </cell>
          <cell r="P595">
            <v>14790000</v>
          </cell>
          <cell r="Q595">
            <v>397333350</v>
          </cell>
          <cell r="R595">
            <v>2346000</v>
          </cell>
          <cell r="S595">
            <v>63025290</v>
          </cell>
          <cell r="T595">
            <v>17136000</v>
          </cell>
          <cell r="U595">
            <v>460358640</v>
          </cell>
        </row>
        <row r="596">
          <cell r="A596" t="str">
            <v>BoQ_505</v>
          </cell>
          <cell r="B596">
            <v>505</v>
          </cell>
          <cell r="C596">
            <v>6</v>
          </cell>
          <cell r="D596" t="str">
            <v>Make slab surface smooth by concrete
Làm mặt bê tông</v>
          </cell>
          <cell r="F596" t="str">
            <v>CONG_TAC_DUONG</v>
          </cell>
          <cell r="G596" t="str">
            <v>Cong_tac_be_tong</v>
          </cell>
          <cell r="L596" t="str">
            <v>m2</v>
          </cell>
          <cell r="M596">
            <v>4059.4999999999995</v>
          </cell>
          <cell r="O596">
            <v>18000</v>
          </cell>
          <cell r="P596">
            <v>0</v>
          </cell>
          <cell r="Q596">
            <v>0</v>
          </cell>
          <cell r="R596">
            <v>18360</v>
          </cell>
          <cell r="S596">
            <v>74532419.999999985</v>
          </cell>
          <cell r="T596">
            <v>18360</v>
          </cell>
          <cell r="U596">
            <v>74532419.999999985</v>
          </cell>
        </row>
        <row r="597">
          <cell r="A597" t="str">
            <v>BoQ_506</v>
          </cell>
          <cell r="B597">
            <v>506</v>
          </cell>
          <cell r="C597">
            <v>7</v>
          </cell>
          <cell r="D597" t="str">
            <v>Construction joint
Khe co giãn</v>
          </cell>
          <cell r="F597" t="str">
            <v>CONG_TAC_DUONG</v>
          </cell>
          <cell r="G597" t="str">
            <v>Cong_tac_be_tong</v>
          </cell>
          <cell r="L597" t="str">
            <v>m</v>
          </cell>
          <cell r="M597">
            <v>480</v>
          </cell>
          <cell r="N597">
            <v>350000</v>
          </cell>
          <cell r="P597">
            <v>357000</v>
          </cell>
          <cell r="Q597">
            <v>171360000</v>
          </cell>
          <cell r="R597">
            <v>0</v>
          </cell>
          <cell r="S597">
            <v>0</v>
          </cell>
          <cell r="T597">
            <v>357000</v>
          </cell>
          <cell r="U597">
            <v>171360000</v>
          </cell>
        </row>
        <row r="598">
          <cell r="A598" t="str">
            <v>BoQ_507</v>
          </cell>
          <cell r="B598">
            <v>507</v>
          </cell>
          <cell r="C598">
            <v>8</v>
          </cell>
          <cell r="D598" t="str">
            <v>Sơn lại hàng rào mặt trước VP
Repaint front fence of Office</v>
          </cell>
          <cell r="F598" t="str">
            <v>CONG_TAC_DUONG</v>
          </cell>
          <cell r="G598" t="str">
            <v>Cong_tac_son</v>
          </cell>
          <cell r="L598" t="str">
            <v>gói</v>
          </cell>
          <cell r="M598">
            <v>1</v>
          </cell>
          <cell r="N598">
            <v>25000000</v>
          </cell>
          <cell r="P598">
            <v>25500000</v>
          </cell>
          <cell r="Q598">
            <v>25500000</v>
          </cell>
          <cell r="R598">
            <v>0</v>
          </cell>
          <cell r="S598">
            <v>0</v>
          </cell>
          <cell r="T598">
            <v>25500000</v>
          </cell>
          <cell r="U598">
            <v>25500000</v>
          </cell>
        </row>
        <row r="599">
          <cell r="A599" t="str">
            <v>BoQ_508</v>
          </cell>
          <cell r="B599">
            <v>508</v>
          </cell>
          <cell r="C599">
            <v>9</v>
          </cell>
          <cell r="D599" t="str">
            <v>Bảng hiệu công ty
Company signage</v>
          </cell>
          <cell r="F599" t="str">
            <v>CONG_TAC_DUONG</v>
          </cell>
          <cell r="L599" t="str">
            <v>gói</v>
          </cell>
          <cell r="M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</row>
        <row r="600">
          <cell r="A600" t="str">
            <v>BoQ_509</v>
          </cell>
          <cell r="B600">
            <v>509</v>
          </cell>
          <cell r="C600">
            <v>10</v>
          </cell>
          <cell r="D600" t="str">
            <v>Logo, tên công ty</v>
          </cell>
          <cell r="F600" t="str">
            <v>CONG_TAC_DUONG</v>
          </cell>
          <cell r="L600" t="str">
            <v>gói</v>
          </cell>
          <cell r="M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</row>
        <row r="601">
          <cell r="C601">
            <v>2</v>
          </cell>
          <cell r="D601" t="str">
            <v>CONCRETE CURB 
BÓ VỈA</v>
          </cell>
        </row>
        <row r="602">
          <cell r="A602" t="str">
            <v>BoQ_510</v>
          </cell>
          <cell r="B602">
            <v>510</v>
          </cell>
          <cell r="C602">
            <v>469</v>
          </cell>
          <cell r="D602" t="str">
            <v xml:space="preserve">Lean concrete, for curb stone
Bê tông lót </v>
          </cell>
          <cell r="F602" t="str">
            <v>CONG_TAC_BO_VIA</v>
          </cell>
          <cell r="G602" t="str">
            <v>Cong_tac_be_tong</v>
          </cell>
          <cell r="L602" t="str">
            <v>m3</v>
          </cell>
          <cell r="M602">
            <v>17.5</v>
          </cell>
          <cell r="N602">
            <v>720000</v>
          </cell>
          <cell r="O602">
            <v>110000</v>
          </cell>
          <cell r="P602">
            <v>734400</v>
          </cell>
          <cell r="Q602">
            <v>12852000</v>
          </cell>
          <cell r="R602">
            <v>112200</v>
          </cell>
          <cell r="S602">
            <v>1963500</v>
          </cell>
          <cell r="T602">
            <v>846600</v>
          </cell>
          <cell r="U602">
            <v>14815500</v>
          </cell>
        </row>
        <row r="603">
          <cell r="A603" t="str">
            <v>BoQ_511</v>
          </cell>
          <cell r="B603">
            <v>511</v>
          </cell>
          <cell r="C603">
            <v>470</v>
          </cell>
          <cell r="D603" t="str">
            <v>Formwork for lean concrete
Ván khuôn bê tông lót</v>
          </cell>
          <cell r="F603" t="str">
            <v>CONG_TAC_BO_VIA</v>
          </cell>
          <cell r="G603" t="str">
            <v>Cong_tac_van_khuon</v>
          </cell>
          <cell r="L603" t="str">
            <v>m2</v>
          </cell>
          <cell r="M603">
            <v>98</v>
          </cell>
          <cell r="N603">
            <v>70000</v>
          </cell>
          <cell r="O603">
            <v>120000</v>
          </cell>
        </row>
        <row r="604">
          <cell r="A604" t="str">
            <v>BoQ_512</v>
          </cell>
          <cell r="B604">
            <v>512</v>
          </cell>
          <cell r="C604">
            <v>471</v>
          </cell>
          <cell r="D604" t="str">
            <v>Curb stone
Lắp bó vỉa</v>
          </cell>
          <cell r="F604" t="str">
            <v>CONG_TAC_BO_VIA</v>
          </cell>
          <cell r="G604" t="str">
            <v>Cong_tac_bo_via</v>
          </cell>
          <cell r="L604" t="str">
            <v>m</v>
          </cell>
          <cell r="M604">
            <v>350</v>
          </cell>
          <cell r="N604">
            <v>350000</v>
          </cell>
          <cell r="O604">
            <v>115000</v>
          </cell>
          <cell r="P604">
            <v>357000</v>
          </cell>
          <cell r="Q604">
            <v>124950000</v>
          </cell>
          <cell r="R604">
            <v>117300</v>
          </cell>
          <cell r="S604">
            <v>41055000</v>
          </cell>
          <cell r="T604">
            <v>474300</v>
          </cell>
          <cell r="U604">
            <v>166005000</v>
          </cell>
        </row>
        <row r="605">
          <cell r="D605" t="str">
            <v>CIVIL WORKS</v>
          </cell>
          <cell r="U605">
            <v>1308572689.13832</v>
          </cell>
          <cell r="V605">
            <v>55683.944218651915</v>
          </cell>
        </row>
        <row r="606">
          <cell r="C606">
            <v>1</v>
          </cell>
          <cell r="D606" t="str">
            <v>STORM WATER SYSTEM
HỆ THỐNG THOÁT NƯỚC MƯA</v>
          </cell>
          <cell r="U606">
            <v>490199964</v>
          </cell>
        </row>
        <row r="607">
          <cell r="A607" t="str">
            <v>BoQ_513</v>
          </cell>
          <cell r="B607">
            <v>513</v>
          </cell>
          <cell r="C607">
            <v>1</v>
          </cell>
          <cell r="D607" t="str">
            <v>Excavation
Đào đất</v>
          </cell>
          <cell r="F607" t="str">
            <v>CONG_TAC_THOAT_NUOC_MUA</v>
          </cell>
          <cell r="G607" t="str">
            <v>Cong_tac_dat</v>
          </cell>
          <cell r="H607" t="str">
            <v>Dao_dat</v>
          </cell>
          <cell r="L607" t="str">
            <v>m3</v>
          </cell>
          <cell r="M607">
            <v>1137.2</v>
          </cell>
          <cell r="O607">
            <v>22000</v>
          </cell>
          <cell r="P607">
            <v>0</v>
          </cell>
          <cell r="Q607">
            <v>0</v>
          </cell>
          <cell r="R607">
            <v>22440</v>
          </cell>
          <cell r="S607">
            <v>25518768</v>
          </cell>
          <cell r="T607">
            <v>22440</v>
          </cell>
          <cell r="U607">
            <v>25518768</v>
          </cell>
        </row>
        <row r="608">
          <cell r="A608" t="str">
            <v>BoQ_514</v>
          </cell>
          <cell r="B608">
            <v>514</v>
          </cell>
          <cell r="C608">
            <v>472</v>
          </cell>
          <cell r="D608" t="str">
            <v>Transport surplus soil to the lake
Vận chuyển đất ra hồ</v>
          </cell>
          <cell r="F608" t="str">
            <v>CONG_TAC_THOAT_NUOC_MUA</v>
          </cell>
          <cell r="G608" t="str">
            <v>Cong_tac_dat</v>
          </cell>
          <cell r="H608" t="str">
            <v>Van_chuyen_dat</v>
          </cell>
          <cell r="L608" t="str">
            <v>m3</v>
          </cell>
          <cell r="M608">
            <v>326.39999999999998</v>
          </cell>
          <cell r="O608">
            <v>22000</v>
          </cell>
          <cell r="P608">
            <v>0</v>
          </cell>
          <cell r="Q608">
            <v>0</v>
          </cell>
          <cell r="R608">
            <v>22440</v>
          </cell>
          <cell r="S608">
            <v>7324415.9999999991</v>
          </cell>
          <cell r="T608">
            <v>22440</v>
          </cell>
          <cell r="U608">
            <v>7324415.9999999991</v>
          </cell>
        </row>
        <row r="609">
          <cell r="A609" t="str">
            <v>BoQ_515</v>
          </cell>
          <cell r="B609">
            <v>515</v>
          </cell>
          <cell r="C609">
            <v>473</v>
          </cell>
          <cell r="D609" t="str">
            <v>Compaction
Đầm đất</v>
          </cell>
          <cell r="F609" t="str">
            <v>CONG_TAC_THOAT_NUOC_MUA</v>
          </cell>
          <cell r="G609" t="str">
            <v>Cong_tac_dat</v>
          </cell>
          <cell r="H609" t="str">
            <v>Dam_dat</v>
          </cell>
          <cell r="L609" t="str">
            <v>lot</v>
          </cell>
          <cell r="M609">
            <v>1</v>
          </cell>
          <cell r="O609">
            <v>15000</v>
          </cell>
          <cell r="P609">
            <v>0</v>
          </cell>
          <cell r="Q609">
            <v>0</v>
          </cell>
          <cell r="R609">
            <v>15300</v>
          </cell>
          <cell r="S609">
            <v>15300</v>
          </cell>
          <cell r="T609">
            <v>15300</v>
          </cell>
          <cell r="U609">
            <v>15300</v>
          </cell>
        </row>
        <row r="610">
          <cell r="A610" t="str">
            <v>BoQ_516</v>
          </cell>
          <cell r="B610">
            <v>516</v>
          </cell>
          <cell r="C610">
            <v>474</v>
          </cell>
          <cell r="D610" t="str">
            <v>Black sand backfilling
Đắp cát đen</v>
          </cell>
          <cell r="F610" t="str">
            <v>CONG_TAC_THOAT_NUOC_MUA</v>
          </cell>
          <cell r="G610" t="str">
            <v>Cong_tac_dat</v>
          </cell>
          <cell r="H610" t="str">
            <v>Lap_cat</v>
          </cell>
          <cell r="L610" t="str">
            <v>m3</v>
          </cell>
          <cell r="M610">
            <v>65</v>
          </cell>
          <cell r="N610">
            <v>316800</v>
          </cell>
          <cell r="O610">
            <v>25000</v>
          </cell>
          <cell r="P610">
            <v>323136</v>
          </cell>
          <cell r="Q610">
            <v>21003840</v>
          </cell>
          <cell r="R610">
            <v>25500</v>
          </cell>
          <cell r="S610">
            <v>1657500</v>
          </cell>
          <cell r="T610">
            <v>348636</v>
          </cell>
          <cell r="U610">
            <v>22661340</v>
          </cell>
        </row>
        <row r="611">
          <cell r="A611" t="str">
            <v>BoQ_517</v>
          </cell>
          <cell r="B611">
            <v>517</v>
          </cell>
          <cell r="C611">
            <v>475</v>
          </cell>
          <cell r="D611" t="str">
            <v>Concrete pipe D400
Cống bê tông D400</v>
          </cell>
          <cell r="F611" t="str">
            <v>CONG_TAC_THOAT_NUOC_MUA</v>
          </cell>
          <cell r="G611" t="str">
            <v>Cong_tac_cong_BT</v>
          </cell>
          <cell r="H611" t="str">
            <v>Cong_be_tong</v>
          </cell>
          <cell r="L611" t="str">
            <v>m</v>
          </cell>
          <cell r="M611">
            <v>430</v>
          </cell>
          <cell r="N611">
            <v>294000</v>
          </cell>
          <cell r="O611">
            <v>67200</v>
          </cell>
          <cell r="P611">
            <v>299880</v>
          </cell>
          <cell r="Q611">
            <v>128948400</v>
          </cell>
          <cell r="R611">
            <v>68544</v>
          </cell>
          <cell r="S611">
            <v>29473920</v>
          </cell>
          <cell r="T611">
            <v>368424</v>
          </cell>
          <cell r="U611">
            <v>158422320</v>
          </cell>
        </row>
        <row r="612">
          <cell r="A612" t="str">
            <v>BoQ_518</v>
          </cell>
          <cell r="B612">
            <v>518</v>
          </cell>
          <cell r="C612">
            <v>476</v>
          </cell>
          <cell r="D612" t="str">
            <v>Concrete pipe D500
Cống bê tông D500</v>
          </cell>
          <cell r="F612" t="str">
            <v>CONG_TAC_THOAT_NUOC_MUA</v>
          </cell>
          <cell r="G612" t="str">
            <v>Cong_tac_cong_BT</v>
          </cell>
          <cell r="H612" t="str">
            <v>Cong_be_tong</v>
          </cell>
          <cell r="L612" t="str">
            <v>m</v>
          </cell>
          <cell r="M612">
            <v>0</v>
          </cell>
          <cell r="N612">
            <v>441000</v>
          </cell>
          <cell r="O612">
            <v>99300</v>
          </cell>
          <cell r="P612">
            <v>449820</v>
          </cell>
          <cell r="Q612">
            <v>0</v>
          </cell>
          <cell r="R612">
            <v>101286</v>
          </cell>
          <cell r="S612">
            <v>0</v>
          </cell>
          <cell r="T612">
            <v>551106</v>
          </cell>
          <cell r="U612">
            <v>0</v>
          </cell>
        </row>
        <row r="613">
          <cell r="A613" t="str">
            <v>BoQ_519</v>
          </cell>
          <cell r="B613">
            <v>519</v>
          </cell>
          <cell r="C613">
            <v>477</v>
          </cell>
          <cell r="D613" t="str">
            <v>Concrete pipe D800
Cống bê tông D800</v>
          </cell>
          <cell r="F613" t="str">
            <v>CONG_TAC_THOAT_NUOC_MUA</v>
          </cell>
          <cell r="G613" t="str">
            <v>Cong_tac_cong_BT</v>
          </cell>
          <cell r="H613" t="str">
            <v>Cong_be_tong</v>
          </cell>
          <cell r="L613" t="str">
            <v>m</v>
          </cell>
          <cell r="M613">
            <v>20</v>
          </cell>
          <cell r="N613">
            <v>595000</v>
          </cell>
          <cell r="O613">
            <v>121250</v>
          </cell>
          <cell r="P613">
            <v>606900</v>
          </cell>
          <cell r="Q613">
            <v>12138000</v>
          </cell>
          <cell r="R613">
            <v>123675</v>
          </cell>
          <cell r="S613">
            <v>2473500</v>
          </cell>
          <cell r="T613">
            <v>730575</v>
          </cell>
          <cell r="U613">
            <v>14611500</v>
          </cell>
        </row>
        <row r="614">
          <cell r="A614" t="str">
            <v>BoQ_520</v>
          </cell>
          <cell r="B614">
            <v>520</v>
          </cell>
          <cell r="C614">
            <v>478</v>
          </cell>
          <cell r="D614" t="str">
            <v>Pad concrete pipe D400
Gối đỡ cống D400</v>
          </cell>
          <cell r="F614" t="str">
            <v>CONG_TAC_THOAT_NUOC_MUA</v>
          </cell>
          <cell r="G614" t="str">
            <v>Cong_tac_cong_BT</v>
          </cell>
          <cell r="H614" t="str">
            <v>Cong_be_tong</v>
          </cell>
          <cell r="L614" t="str">
            <v>ea</v>
          </cell>
          <cell r="M614">
            <v>174</v>
          </cell>
          <cell r="N614">
            <v>120000</v>
          </cell>
          <cell r="O614">
            <v>24000</v>
          </cell>
          <cell r="P614">
            <v>122400</v>
          </cell>
          <cell r="Q614">
            <v>21297600</v>
          </cell>
          <cell r="R614">
            <v>24480</v>
          </cell>
          <cell r="S614">
            <v>4259520</v>
          </cell>
          <cell r="T614">
            <v>146880</v>
          </cell>
          <cell r="U614">
            <v>25557120</v>
          </cell>
        </row>
        <row r="615">
          <cell r="A615" t="str">
            <v>BoQ_521</v>
          </cell>
          <cell r="B615">
            <v>521</v>
          </cell>
          <cell r="C615">
            <v>479</v>
          </cell>
          <cell r="D615" t="str">
            <v>Pad concrete pipe D500
Gối đỡ cống D500</v>
          </cell>
          <cell r="F615" t="str">
            <v>CONG_TAC_THOAT_NUOC_MUA</v>
          </cell>
          <cell r="G615" t="str">
            <v>Cong_tac_cong_BT</v>
          </cell>
          <cell r="H615" t="str">
            <v>Cong_be_tong</v>
          </cell>
          <cell r="L615" t="str">
            <v>ea</v>
          </cell>
          <cell r="M615">
            <v>0</v>
          </cell>
          <cell r="N615">
            <v>160000</v>
          </cell>
          <cell r="O615">
            <v>32000</v>
          </cell>
          <cell r="P615">
            <v>163200</v>
          </cell>
          <cell r="Q615">
            <v>0</v>
          </cell>
          <cell r="R615">
            <v>32640</v>
          </cell>
          <cell r="S615">
            <v>0</v>
          </cell>
          <cell r="T615">
            <v>195840</v>
          </cell>
          <cell r="U615">
            <v>0</v>
          </cell>
        </row>
        <row r="616">
          <cell r="A616" t="str">
            <v>BoQ_522</v>
          </cell>
          <cell r="B616">
            <v>522</v>
          </cell>
          <cell r="C616">
            <v>480</v>
          </cell>
          <cell r="D616" t="str">
            <v>Pad concrete pipe D800
Gối đỡ cống D800</v>
          </cell>
          <cell r="F616" t="str">
            <v>CONG_TAC_THOAT_NUOC_MUA</v>
          </cell>
          <cell r="G616" t="str">
            <v>Cong_tac_cong_BT</v>
          </cell>
          <cell r="H616" t="str">
            <v>Cong_be_tong</v>
          </cell>
          <cell r="L616" t="str">
            <v>ea</v>
          </cell>
          <cell r="M616">
            <v>10</v>
          </cell>
          <cell r="N616">
            <v>170000</v>
          </cell>
          <cell r="O616">
            <v>34000</v>
          </cell>
          <cell r="P616">
            <v>173400</v>
          </cell>
          <cell r="Q616">
            <v>1734000</v>
          </cell>
          <cell r="R616">
            <v>34680</v>
          </cell>
          <cell r="S616">
            <v>346800</v>
          </cell>
          <cell r="T616">
            <v>208080</v>
          </cell>
          <cell r="U616">
            <v>2080800</v>
          </cell>
        </row>
        <row r="617">
          <cell r="A617" t="str">
            <v>BoQ_523</v>
          </cell>
          <cell r="B617">
            <v>523</v>
          </cell>
          <cell r="C617">
            <v>481</v>
          </cell>
          <cell r="D617" t="str">
            <v>Plastering for connection part
Trát phần nối cống</v>
          </cell>
          <cell r="F617" t="str">
            <v>CONG_TAC_THOAT_NUOC_MUA</v>
          </cell>
          <cell r="G617" t="str">
            <v>Cong_tac_cong_BT</v>
          </cell>
          <cell r="H617" t="str">
            <v>Trat_phan_noi</v>
          </cell>
          <cell r="L617" t="str">
            <v>ea</v>
          </cell>
          <cell r="M617">
            <v>184</v>
          </cell>
          <cell r="N617">
            <v>150000</v>
          </cell>
          <cell r="O617">
            <v>55000</v>
          </cell>
          <cell r="P617">
            <v>153000</v>
          </cell>
          <cell r="Q617">
            <v>28152000</v>
          </cell>
          <cell r="R617">
            <v>56100</v>
          </cell>
          <cell r="S617">
            <v>10322400</v>
          </cell>
          <cell r="T617">
            <v>209100</v>
          </cell>
          <cell r="U617">
            <v>38474400</v>
          </cell>
        </row>
        <row r="618">
          <cell r="A618" t="str">
            <v>BoQ_524</v>
          </cell>
          <cell r="B618">
            <v>524</v>
          </cell>
          <cell r="C618">
            <v>482</v>
          </cell>
          <cell r="D618" t="str">
            <v>Transport Concrete pile
Vận chuyển cống</v>
          </cell>
          <cell r="F618" t="str">
            <v>CONG_TAC_THOAT_NUOC_MUA</v>
          </cell>
          <cell r="G618" t="str">
            <v>Cong_tac_cong_BT</v>
          </cell>
          <cell r="H618" t="str">
            <v>Van_chuyen_cong</v>
          </cell>
          <cell r="L618" t="str">
            <v>lot</v>
          </cell>
          <cell r="M618">
            <v>1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</row>
        <row r="619">
          <cell r="A619" t="str">
            <v>BoQ_525</v>
          </cell>
          <cell r="B619">
            <v>525</v>
          </cell>
          <cell r="C619">
            <v>483</v>
          </cell>
          <cell r="D619" t="str">
            <v>Manhole 
Hố ga thoát nước</v>
          </cell>
          <cell r="F619" t="str">
            <v>CONG_TAC_THOAT_NUOC_MUA</v>
          </cell>
          <cell r="G619" t="str">
            <v>Ho_ga</v>
          </cell>
          <cell r="H619" t="str">
            <v>Ho_ga</v>
          </cell>
          <cell r="L619" t="str">
            <v>ea</v>
          </cell>
          <cell r="M619">
            <v>18</v>
          </cell>
          <cell r="N619">
            <v>6500000</v>
          </cell>
          <cell r="O619">
            <v>1500000</v>
          </cell>
          <cell r="P619">
            <v>6630000</v>
          </cell>
          <cell r="Q619">
            <v>119340000</v>
          </cell>
          <cell r="R619">
            <v>1530000</v>
          </cell>
          <cell r="S619">
            <v>27540000</v>
          </cell>
          <cell r="T619">
            <v>8160000</v>
          </cell>
          <cell r="U619">
            <v>146880000</v>
          </cell>
        </row>
        <row r="620">
          <cell r="A620" t="str">
            <v>BoQ_526</v>
          </cell>
          <cell r="B620">
            <v>526</v>
          </cell>
          <cell r="C620">
            <v>484</v>
          </cell>
          <cell r="D620" t="str">
            <v>Lắp gang hố ga
Metal cover for manhole</v>
          </cell>
          <cell r="F620" t="str">
            <v>CONG_TAC_THOAT_NUOC_MUA</v>
          </cell>
          <cell r="G620" t="str">
            <v>Nap_gang</v>
          </cell>
          <cell r="H620" t="str">
            <v>Nap_gang</v>
          </cell>
          <cell r="L620" t="str">
            <v>ea</v>
          </cell>
          <cell r="M620">
            <v>18</v>
          </cell>
          <cell r="N620">
            <v>2500000</v>
          </cell>
          <cell r="O620">
            <v>150000</v>
          </cell>
          <cell r="P620">
            <v>2550000</v>
          </cell>
          <cell r="Q620">
            <v>45900000</v>
          </cell>
          <cell r="R620">
            <v>153000</v>
          </cell>
          <cell r="S620">
            <v>2754000</v>
          </cell>
          <cell r="T620">
            <v>2703000</v>
          </cell>
          <cell r="U620">
            <v>48654000</v>
          </cell>
        </row>
        <row r="621">
          <cell r="C621">
            <v>2</v>
          </cell>
          <cell r="D621" t="str">
            <v>SEWAGE SYSTEM
 HỆ THỐNG THOÁT NƯỚC THẢI</v>
          </cell>
        </row>
        <row r="622">
          <cell r="C622">
            <v>1</v>
          </cell>
          <cell r="D622" t="str">
            <v xml:space="preserve"> PIPE SYSTEM </v>
          </cell>
        </row>
        <row r="623">
          <cell r="A623" t="str">
            <v>BoQ_527</v>
          </cell>
          <cell r="B623">
            <v>527</v>
          </cell>
          <cell r="C623">
            <v>485</v>
          </cell>
          <cell r="D623" t="str">
            <v>Excavation
Đào đất</v>
          </cell>
          <cell r="F623" t="str">
            <v>CONG_TAC_THOAT_NUOC_THAI</v>
          </cell>
          <cell r="G623" t="str">
            <v>Cong_tac_dat</v>
          </cell>
          <cell r="H623" t="str">
            <v>Dao_dat</v>
          </cell>
          <cell r="I623" t="str">
            <v>Thoat_nuoc_thai</v>
          </cell>
          <cell r="J623" t="str">
            <v>Dat</v>
          </cell>
          <cell r="L623" t="str">
            <v>m3</v>
          </cell>
          <cell r="M623">
            <v>185</v>
          </cell>
          <cell r="O623">
            <v>22000</v>
          </cell>
          <cell r="P623">
            <v>0</v>
          </cell>
          <cell r="Q623">
            <v>0</v>
          </cell>
          <cell r="R623">
            <v>22440</v>
          </cell>
          <cell r="S623">
            <v>4151400</v>
          </cell>
          <cell r="T623">
            <v>22440</v>
          </cell>
          <cell r="U623">
            <v>4151400</v>
          </cell>
        </row>
        <row r="624">
          <cell r="A624" t="str">
            <v>BoQ_528</v>
          </cell>
          <cell r="B624">
            <v>528</v>
          </cell>
          <cell r="C624">
            <v>486</v>
          </cell>
          <cell r="D624" t="str">
            <v>Transport surplus soil
Vận chuyển đất thừa</v>
          </cell>
          <cell r="F624" t="str">
            <v>CONG_TAC_THOAT_NUOC_THAI</v>
          </cell>
          <cell r="G624" t="str">
            <v>Cong_tac_dat</v>
          </cell>
          <cell r="H624" t="str">
            <v>Van_chuyen_dat</v>
          </cell>
          <cell r="I624" t="str">
            <v>Thoat_nuoc_thai</v>
          </cell>
          <cell r="L624" t="str">
            <v>m3</v>
          </cell>
          <cell r="M624">
            <v>35</v>
          </cell>
          <cell r="O624">
            <v>22000</v>
          </cell>
          <cell r="P624">
            <v>0</v>
          </cell>
          <cell r="Q624">
            <v>0</v>
          </cell>
          <cell r="R624">
            <v>22440</v>
          </cell>
          <cell r="S624">
            <v>785400</v>
          </cell>
          <cell r="T624">
            <v>22440</v>
          </cell>
          <cell r="U624">
            <v>785400</v>
          </cell>
        </row>
        <row r="625">
          <cell r="A625" t="str">
            <v>BoQ_529</v>
          </cell>
          <cell r="B625">
            <v>529</v>
          </cell>
          <cell r="C625">
            <v>487</v>
          </cell>
          <cell r="D625" t="str">
            <v>Compaction
Đầm đất</v>
          </cell>
          <cell r="F625" t="str">
            <v>CONG_TAC_THOAT_NUOC_THAI</v>
          </cell>
          <cell r="G625" t="str">
            <v>Cong_tac_dat</v>
          </cell>
          <cell r="H625" t="str">
            <v>Dam_dat</v>
          </cell>
          <cell r="I625" t="str">
            <v>Thoat_nuoc_thai</v>
          </cell>
          <cell r="L625" t="str">
            <v>Lot</v>
          </cell>
          <cell r="M625">
            <v>1</v>
          </cell>
          <cell r="O625">
            <v>15000000</v>
          </cell>
          <cell r="P625">
            <v>0</v>
          </cell>
          <cell r="Q625">
            <v>0</v>
          </cell>
          <cell r="R625">
            <v>15300000</v>
          </cell>
          <cell r="S625">
            <v>15300000</v>
          </cell>
          <cell r="T625">
            <v>15300000</v>
          </cell>
          <cell r="U625">
            <v>15300000</v>
          </cell>
        </row>
        <row r="626">
          <cell r="A626" t="str">
            <v>BoQ_530</v>
          </cell>
          <cell r="B626">
            <v>530</v>
          </cell>
          <cell r="C626">
            <v>488</v>
          </cell>
          <cell r="D626" t="str">
            <v>Black sand backfilling
Đắp cát đen</v>
          </cell>
          <cell r="F626" t="str">
            <v>CONG_TAC_THOAT_NUOC_THAI</v>
          </cell>
          <cell r="G626" t="str">
            <v>Cong_tac_dat</v>
          </cell>
          <cell r="H626" t="str">
            <v>Lap_cat</v>
          </cell>
          <cell r="I626" t="str">
            <v>Thoat_nuoc_thai</v>
          </cell>
          <cell r="J626" t="str">
            <v>CÁT</v>
          </cell>
          <cell r="L626" t="str">
            <v>m3</v>
          </cell>
          <cell r="M626">
            <v>12</v>
          </cell>
          <cell r="N626">
            <v>316800</v>
          </cell>
          <cell r="O626">
            <v>25000</v>
          </cell>
          <cell r="P626">
            <v>323136</v>
          </cell>
          <cell r="Q626">
            <v>3877632</v>
          </cell>
          <cell r="R626">
            <v>25500</v>
          </cell>
          <cell r="S626">
            <v>306000</v>
          </cell>
          <cell r="T626">
            <v>348636</v>
          </cell>
          <cell r="U626">
            <v>4183632</v>
          </cell>
        </row>
        <row r="627">
          <cell r="A627" t="str">
            <v>BoQ_531</v>
          </cell>
          <cell r="B627">
            <v>531</v>
          </cell>
          <cell r="C627">
            <v>489</v>
          </cell>
          <cell r="D627" t="str">
            <v>UPVC - D90
Ống UPVC D90</v>
          </cell>
          <cell r="F627" t="str">
            <v>CONG_TAC_THOAT_NUOC_THAI</v>
          </cell>
          <cell r="G627" t="str">
            <v>Cong_tac_ong_thoat_nuoc</v>
          </cell>
          <cell r="H627" t="str">
            <v>Ong_thoat_nuoc</v>
          </cell>
          <cell r="I627" t="str">
            <v>Thoat_nuoc_thai</v>
          </cell>
          <cell r="J627" t="str">
            <v>UPVC</v>
          </cell>
          <cell r="K627" t="str">
            <v>D90</v>
          </cell>
          <cell r="L627" t="str">
            <v>m</v>
          </cell>
          <cell r="M627">
            <v>208</v>
          </cell>
          <cell r="N627">
            <v>95000</v>
          </cell>
          <cell r="O627">
            <v>55000</v>
          </cell>
          <cell r="P627">
            <v>96900</v>
          </cell>
          <cell r="Q627">
            <v>20155200</v>
          </cell>
          <cell r="R627">
            <v>56100</v>
          </cell>
          <cell r="S627">
            <v>11668800</v>
          </cell>
          <cell r="T627">
            <v>153000</v>
          </cell>
          <cell r="U627">
            <v>31824000</v>
          </cell>
        </row>
        <row r="628">
          <cell r="A628" t="str">
            <v>BoQ_532</v>
          </cell>
          <cell r="B628">
            <v>532</v>
          </cell>
          <cell r="C628">
            <v>490</v>
          </cell>
          <cell r="D628" t="str">
            <v>UPVC - D160
Ống UPVC D160</v>
          </cell>
          <cell r="F628" t="str">
            <v>CONG_TAC_THOAT_NUOC_THAI</v>
          </cell>
          <cell r="G628" t="str">
            <v>Cong_tac_ong_thoat_nuoc</v>
          </cell>
          <cell r="H628" t="str">
            <v>Ong_thoat_nuoc</v>
          </cell>
          <cell r="I628" t="str">
            <v>Thoat_nuoc_thai</v>
          </cell>
          <cell r="J628" t="str">
            <v>UPVC</v>
          </cell>
          <cell r="K628" t="str">
            <v>D90</v>
          </cell>
          <cell r="L628" t="str">
            <v>m</v>
          </cell>
          <cell r="M628">
            <v>65</v>
          </cell>
          <cell r="N628">
            <v>125000</v>
          </cell>
          <cell r="O628">
            <v>55000</v>
          </cell>
          <cell r="P628">
            <v>127500</v>
          </cell>
          <cell r="Q628">
            <v>8287500</v>
          </cell>
          <cell r="R628">
            <v>56100</v>
          </cell>
          <cell r="S628">
            <v>3646500</v>
          </cell>
          <cell r="T628">
            <v>183600</v>
          </cell>
          <cell r="U628">
            <v>11934000</v>
          </cell>
        </row>
        <row r="629">
          <cell r="A629" t="str">
            <v>BoQ_533</v>
          </cell>
          <cell r="B629">
            <v>533</v>
          </cell>
          <cell r="C629">
            <v>491</v>
          </cell>
          <cell r="D629" t="str">
            <v>UPVC - D200
Ống UPVC D200</v>
          </cell>
          <cell r="F629" t="str">
            <v>CONG_TAC_THOAT_NUOC_THAI</v>
          </cell>
          <cell r="G629" t="str">
            <v>Cong_tac_ong_thoat_nuoc</v>
          </cell>
          <cell r="H629" t="str">
            <v>Ong_thoat_nuoc</v>
          </cell>
          <cell r="I629" t="str">
            <v>Thoat_nuoc_thai</v>
          </cell>
          <cell r="J629" t="str">
            <v>UPVC</v>
          </cell>
          <cell r="K629" t="str">
            <v>D90</v>
          </cell>
          <cell r="L629" t="str">
            <v>m</v>
          </cell>
          <cell r="M629">
            <v>364</v>
          </cell>
          <cell r="N629">
            <v>198000</v>
          </cell>
          <cell r="O629">
            <v>55000</v>
          </cell>
          <cell r="P629">
            <v>201960</v>
          </cell>
          <cell r="Q629">
            <v>73513440</v>
          </cell>
          <cell r="R629">
            <v>56100</v>
          </cell>
          <cell r="S629">
            <v>20420400</v>
          </cell>
          <cell r="T629">
            <v>258060</v>
          </cell>
          <cell r="U629">
            <v>93933840</v>
          </cell>
        </row>
        <row r="630">
          <cell r="A630" t="str">
            <v>BoQ_534</v>
          </cell>
          <cell r="B630">
            <v>534</v>
          </cell>
          <cell r="C630">
            <v>492</v>
          </cell>
          <cell r="D630" t="str">
            <v>UPVC - D250
Ống UPVC D250</v>
          </cell>
          <cell r="F630" t="str">
            <v>CONG_TAC_THOAT_NUOC_THAI</v>
          </cell>
          <cell r="G630" t="str">
            <v>Cong_tac_ong_thoat_nuoc</v>
          </cell>
          <cell r="H630" t="str">
            <v>Ong_thoat_nuoc</v>
          </cell>
          <cell r="I630" t="str">
            <v>Thoat_nuoc_thai</v>
          </cell>
          <cell r="J630" t="str">
            <v>UPVC</v>
          </cell>
          <cell r="K630" t="str">
            <v>D90</v>
          </cell>
          <cell r="L630" t="str">
            <v>m</v>
          </cell>
          <cell r="M630">
            <v>19.5</v>
          </cell>
          <cell r="N630">
            <v>250000</v>
          </cell>
          <cell r="O630">
            <v>55000</v>
          </cell>
          <cell r="P630">
            <v>255000</v>
          </cell>
          <cell r="Q630">
            <v>4972500</v>
          </cell>
          <cell r="R630">
            <v>56100</v>
          </cell>
          <cell r="S630">
            <v>1093950</v>
          </cell>
          <cell r="T630">
            <v>311100</v>
          </cell>
          <cell r="U630">
            <v>6066450</v>
          </cell>
        </row>
        <row r="631">
          <cell r="A631" t="str">
            <v>BoQ_535</v>
          </cell>
          <cell r="B631">
            <v>535</v>
          </cell>
          <cell r="C631">
            <v>493</v>
          </cell>
          <cell r="D631" t="str">
            <v>Y160/90 chờ, có lắp bịt thép</v>
          </cell>
          <cell r="F631" t="str">
            <v>CONG_TAC_THOAT_NUOC_THAI</v>
          </cell>
          <cell r="G631" t="str">
            <v>Cong_tac_khac</v>
          </cell>
          <cell r="H631" t="str">
            <v>Lap_dat</v>
          </cell>
          <cell r="I631" t="str">
            <v>Thoat_nuoc_thai</v>
          </cell>
          <cell r="J631" t="str">
            <v>PVC</v>
          </cell>
          <cell r="K631" t="str">
            <v>Y160/90</v>
          </cell>
          <cell r="L631" t="str">
            <v>ea</v>
          </cell>
          <cell r="M631">
            <v>37</v>
          </cell>
          <cell r="N631">
            <v>180000</v>
          </cell>
          <cell r="O631">
            <v>45000</v>
          </cell>
          <cell r="P631">
            <v>183600</v>
          </cell>
          <cell r="Q631">
            <v>6793200</v>
          </cell>
          <cell r="R631">
            <v>45900</v>
          </cell>
          <cell r="S631">
            <v>1698300</v>
          </cell>
          <cell r="T631">
            <v>229500</v>
          </cell>
          <cell r="U631">
            <v>8491500</v>
          </cell>
        </row>
        <row r="632">
          <cell r="A632" t="str">
            <v>BoQ_536</v>
          </cell>
          <cell r="B632">
            <v>536</v>
          </cell>
          <cell r="C632">
            <v>494</v>
          </cell>
          <cell r="D632" t="str">
            <v>Transport 
Vận chuyển</v>
          </cell>
          <cell r="F632" t="str">
            <v>CONG_TAC_THOAT_NUOC_THAI</v>
          </cell>
          <cell r="G632" t="str">
            <v>Van_chuyen</v>
          </cell>
          <cell r="H632" t="str">
            <v>Van_chuyen</v>
          </cell>
          <cell r="I632" t="str">
            <v>Thoat_nuoc_thai</v>
          </cell>
          <cell r="L632" t="str">
            <v>lot</v>
          </cell>
          <cell r="M632">
            <v>1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</row>
        <row r="633">
          <cell r="A633" t="str">
            <v>BoQ_537</v>
          </cell>
          <cell r="B633">
            <v>537</v>
          </cell>
          <cell r="C633">
            <v>495</v>
          </cell>
          <cell r="D633" t="str">
            <v>Hố ga thoát nước thải
Manhole</v>
          </cell>
          <cell r="F633" t="str">
            <v>CONG_TAC_THOAT_NUOC_THAI</v>
          </cell>
          <cell r="G633" t="str">
            <v>Ho_ga</v>
          </cell>
          <cell r="H633" t="str">
            <v>Ho_ga</v>
          </cell>
          <cell r="I633" t="str">
            <v>Thoat_nuoc_thai</v>
          </cell>
          <cell r="L633" t="str">
            <v>ea</v>
          </cell>
          <cell r="M633">
            <v>14</v>
          </cell>
          <cell r="N633">
            <v>6500000</v>
          </cell>
          <cell r="O633">
            <v>1500000</v>
          </cell>
          <cell r="P633">
            <v>6630000</v>
          </cell>
          <cell r="Q633">
            <v>92820000</v>
          </cell>
          <cell r="R633">
            <v>1530000</v>
          </cell>
          <cell r="S633">
            <v>21420000</v>
          </cell>
          <cell r="T633">
            <v>8160000</v>
          </cell>
          <cell r="U633">
            <v>114240000</v>
          </cell>
        </row>
        <row r="634">
          <cell r="A634" t="str">
            <v>BoQ_538</v>
          </cell>
          <cell r="B634">
            <v>538</v>
          </cell>
          <cell r="C634">
            <v>496</v>
          </cell>
          <cell r="D634" t="str">
            <v>Hố ga thoát nước thải 6m3
Manhole 6m3</v>
          </cell>
          <cell r="F634" t="str">
            <v>CONG_TAC_THOAT_NUOC_THAI</v>
          </cell>
          <cell r="G634" t="str">
            <v>Ho_ga</v>
          </cell>
          <cell r="H634" t="str">
            <v>Ho_ga</v>
          </cell>
          <cell r="I634" t="str">
            <v>Thoat_nuoc_thai</v>
          </cell>
          <cell r="L634" t="str">
            <v>ea</v>
          </cell>
          <cell r="M634">
            <v>0</v>
          </cell>
          <cell r="N634">
            <v>1800000</v>
          </cell>
          <cell r="O634">
            <v>4500000</v>
          </cell>
          <cell r="P634">
            <v>1836000</v>
          </cell>
          <cell r="Q634">
            <v>0</v>
          </cell>
          <cell r="R634">
            <v>4590000</v>
          </cell>
          <cell r="S634">
            <v>0</v>
          </cell>
          <cell r="T634">
            <v>6426000</v>
          </cell>
          <cell r="U634">
            <v>0</v>
          </cell>
        </row>
        <row r="635">
          <cell r="A635" t="str">
            <v>BoQ_539</v>
          </cell>
          <cell r="B635">
            <v>539</v>
          </cell>
          <cell r="C635">
            <v>496</v>
          </cell>
          <cell r="D635" t="str">
            <v>Cắt nền và hoàn trả nền bê tông đi ống thoát nước sản xuất
Cut the floor and return the concrete foundation to the production drainage pipe</v>
          </cell>
          <cell r="F635" t="str">
            <v>CONG_TAC_THOAT_NUOC_THAI</v>
          </cell>
          <cell r="G635" t="str">
            <v>Cong_tac_be_tong</v>
          </cell>
          <cell r="H635" t="str">
            <v>Cat_nen</v>
          </cell>
          <cell r="I635" t="str">
            <v>Thoat_nuoc_thai</v>
          </cell>
          <cell r="L635" t="str">
            <v>m</v>
          </cell>
          <cell r="M635">
            <v>195</v>
          </cell>
          <cell r="O635">
            <v>22000</v>
          </cell>
          <cell r="P635">
            <v>0</v>
          </cell>
          <cell r="Q635">
            <v>0</v>
          </cell>
          <cell r="R635">
            <v>22440</v>
          </cell>
          <cell r="S635">
            <v>4375800</v>
          </cell>
          <cell r="T635">
            <v>22440</v>
          </cell>
          <cell r="U635">
            <v>4375800</v>
          </cell>
        </row>
        <row r="636">
          <cell r="A636" t="str">
            <v>BoQ_540</v>
          </cell>
          <cell r="B636">
            <v>540</v>
          </cell>
          <cell r="D636" t="str">
            <v>Bơm chìm thoát nước thải 5M3/H</v>
          </cell>
          <cell r="F636" t="str">
            <v>CONG_TAC_THOAT_NUOC_THAI</v>
          </cell>
          <cell r="G636" t="str">
            <v>Cong_tac_thiet_bi</v>
          </cell>
          <cell r="H636" t="str">
            <v>Bom_chim</v>
          </cell>
          <cell r="I636" t="str">
            <v>Thoat_nuoc_thai</v>
          </cell>
          <cell r="L636" t="str">
            <v>ea</v>
          </cell>
          <cell r="M636">
            <v>1</v>
          </cell>
          <cell r="N636">
            <v>5000000</v>
          </cell>
          <cell r="O636">
            <v>500000</v>
          </cell>
          <cell r="P636">
            <v>5100000</v>
          </cell>
          <cell r="Q636">
            <v>5100000</v>
          </cell>
          <cell r="R636">
            <v>510000</v>
          </cell>
          <cell r="S636">
            <v>510000</v>
          </cell>
          <cell r="T636">
            <v>5610000</v>
          </cell>
          <cell r="U636">
            <v>5610000</v>
          </cell>
        </row>
        <row r="637">
          <cell r="C637">
            <v>4</v>
          </cell>
          <cell r="D637" t="str">
            <v>SEPTIC TANK 15M3
BỂ PHỐT 15M3</v>
          </cell>
          <cell r="E637" t="str">
            <v>3 bể 3EA</v>
          </cell>
        </row>
        <row r="638">
          <cell r="A638" t="str">
            <v>BoQ_541</v>
          </cell>
          <cell r="B638">
            <v>541</v>
          </cell>
          <cell r="C638">
            <v>497</v>
          </cell>
          <cell r="D638" t="str">
            <v>Excavation
Đào đất</v>
          </cell>
          <cell r="F638" t="str">
            <v>CONG_TAC_THOAT_NUOC_THAI</v>
          </cell>
          <cell r="G638" t="str">
            <v>Cong_tac_dat</v>
          </cell>
          <cell r="H638" t="str">
            <v>Dao_dat</v>
          </cell>
          <cell r="I638" t="str">
            <v>Bể tự hoại</v>
          </cell>
          <cell r="L638" t="str">
            <v>m3</v>
          </cell>
          <cell r="M638">
            <v>211.06799999999998</v>
          </cell>
          <cell r="O638">
            <v>22000</v>
          </cell>
          <cell r="P638">
            <v>0</v>
          </cell>
          <cell r="Q638">
            <v>0</v>
          </cell>
          <cell r="R638">
            <v>22440</v>
          </cell>
          <cell r="S638">
            <v>4736365.92</v>
          </cell>
          <cell r="T638">
            <v>22440</v>
          </cell>
          <cell r="U638">
            <v>4736365.92</v>
          </cell>
        </row>
        <row r="639">
          <cell r="A639" t="str">
            <v>BoQ_542</v>
          </cell>
          <cell r="B639">
            <v>542</v>
          </cell>
          <cell r="C639">
            <v>498</v>
          </cell>
          <cell r="D639" t="str">
            <v>Biện pháp chống sạt lở đất
Measures against landslides</v>
          </cell>
          <cell r="F639" t="str">
            <v>CONG_TAC_THOAT_NUOC_THAI</v>
          </cell>
          <cell r="G639" t="str">
            <v>Cong_tac_dat</v>
          </cell>
          <cell r="H639" t="str">
            <v>Bien_phap</v>
          </cell>
          <cell r="I639" t="str">
            <v>Bể tự hoại</v>
          </cell>
          <cell r="L639" t="str">
            <v>lot</v>
          </cell>
          <cell r="M639">
            <v>1</v>
          </cell>
          <cell r="N639">
            <v>100000000</v>
          </cell>
          <cell r="P639">
            <v>102000000</v>
          </cell>
          <cell r="Q639">
            <v>102000000</v>
          </cell>
          <cell r="R639">
            <v>0</v>
          </cell>
          <cell r="S639">
            <v>0</v>
          </cell>
          <cell r="T639">
            <v>102000000</v>
          </cell>
          <cell r="U639">
            <v>102000000</v>
          </cell>
        </row>
        <row r="640">
          <cell r="A640" t="str">
            <v>BoQ_543</v>
          </cell>
          <cell r="B640">
            <v>543</v>
          </cell>
          <cell r="C640">
            <v>499</v>
          </cell>
          <cell r="D640" t="str">
            <v>Backfilling sand 
Đắp cát đen</v>
          </cell>
          <cell r="F640" t="str">
            <v>CONG_TAC_THOAT_NUOC_THAI</v>
          </cell>
          <cell r="G640" t="str">
            <v>Cong_tac_dat</v>
          </cell>
          <cell r="H640" t="str">
            <v>Lap_cat</v>
          </cell>
          <cell r="I640" t="str">
            <v>Bể tự hoại</v>
          </cell>
          <cell r="L640" t="str">
            <v>m3</v>
          </cell>
          <cell r="M640">
            <v>135.08351999999999</v>
          </cell>
          <cell r="N640">
            <v>316800</v>
          </cell>
          <cell r="O640">
            <v>25000</v>
          </cell>
          <cell r="P640">
            <v>323136</v>
          </cell>
          <cell r="Q640">
            <v>43650348.318719998</v>
          </cell>
          <cell r="R640">
            <v>25500</v>
          </cell>
          <cell r="S640">
            <v>3444629.76</v>
          </cell>
          <cell r="T640">
            <v>348636</v>
          </cell>
          <cell r="U640">
            <v>47094978.078719996</v>
          </cell>
        </row>
        <row r="641">
          <cell r="A641" t="str">
            <v>BoQ_544</v>
          </cell>
          <cell r="B641">
            <v>544</v>
          </cell>
          <cell r="C641">
            <v>500</v>
          </cell>
          <cell r="D641" t="str">
            <v>Transport surplus soil to lake
Vận chuyển đất thừa ra hồ</v>
          </cell>
          <cell r="F641" t="str">
            <v>CONG_TAC_THOAT_NUOC_THAI</v>
          </cell>
          <cell r="G641" t="str">
            <v>Cong_tac_dat</v>
          </cell>
          <cell r="H641" t="str">
            <v>Van_chuyen_dat</v>
          </cell>
          <cell r="I641" t="str">
            <v>Bể tự hoại</v>
          </cell>
          <cell r="L641" t="str">
            <v>m3</v>
          </cell>
          <cell r="M641">
            <v>46.5</v>
          </cell>
          <cell r="O641">
            <v>22000</v>
          </cell>
          <cell r="P641">
            <v>0</v>
          </cell>
          <cell r="Q641">
            <v>0</v>
          </cell>
          <cell r="R641">
            <v>22440</v>
          </cell>
          <cell r="S641">
            <v>1043460</v>
          </cell>
          <cell r="T641">
            <v>22440</v>
          </cell>
          <cell r="U641">
            <v>1043460</v>
          </cell>
        </row>
        <row r="642">
          <cell r="A642" t="str">
            <v>BoQ_545</v>
          </cell>
          <cell r="B642">
            <v>545</v>
          </cell>
          <cell r="C642">
            <v>501</v>
          </cell>
          <cell r="D642" t="str">
            <v>PVC film
Lớp nylon</v>
          </cell>
          <cell r="F642" t="str">
            <v>CONG_TAC_THOAT_NUOC_THAI</v>
          </cell>
          <cell r="G642" t="str">
            <v>Cong_tac_dat</v>
          </cell>
          <cell r="H642" t="str">
            <v>Nilong</v>
          </cell>
          <cell r="I642" t="str">
            <v>Bể tự hoại</v>
          </cell>
          <cell r="L642" t="str">
            <v>m2</v>
          </cell>
          <cell r="M642">
            <v>46.5</v>
          </cell>
          <cell r="N642">
            <v>3500</v>
          </cell>
          <cell r="O642">
            <v>1000</v>
          </cell>
          <cell r="P642">
            <v>3570</v>
          </cell>
          <cell r="Q642">
            <v>166005</v>
          </cell>
          <cell r="R642">
            <v>1020</v>
          </cell>
          <cell r="S642">
            <v>47430</v>
          </cell>
          <cell r="T642">
            <v>4590</v>
          </cell>
          <cell r="U642">
            <v>213435</v>
          </cell>
        </row>
        <row r="643">
          <cell r="A643" t="str">
            <v>BoQ_546</v>
          </cell>
          <cell r="B643">
            <v>546</v>
          </cell>
          <cell r="C643">
            <v>502</v>
          </cell>
          <cell r="D643" t="str">
            <v>Compaction soil
Đầm đất</v>
          </cell>
          <cell r="F643" t="str">
            <v>CONG_TAC_THOAT_NUOC_THAI</v>
          </cell>
          <cell r="G643" t="str">
            <v>Cong_tac_dat</v>
          </cell>
          <cell r="H643" t="str">
            <v>Dam_dat</v>
          </cell>
          <cell r="I643" t="str">
            <v>Bể tự hoại</v>
          </cell>
          <cell r="L643" t="str">
            <v>lot</v>
          </cell>
          <cell r="M643">
            <v>1</v>
          </cell>
          <cell r="O643">
            <v>15000000</v>
          </cell>
          <cell r="P643">
            <v>0</v>
          </cell>
          <cell r="Q643">
            <v>0</v>
          </cell>
          <cell r="R643">
            <v>15300000</v>
          </cell>
          <cell r="S643">
            <v>15300000</v>
          </cell>
          <cell r="T643">
            <v>15300000</v>
          </cell>
          <cell r="U643">
            <v>15300000</v>
          </cell>
        </row>
        <row r="644">
          <cell r="A644" t="str">
            <v>BoQ_547</v>
          </cell>
          <cell r="B644">
            <v>547</v>
          </cell>
          <cell r="C644">
            <v>503</v>
          </cell>
          <cell r="D644" t="str">
            <v>Lean concrete Gr.100
Bê tông lót</v>
          </cell>
          <cell r="F644" t="str">
            <v>CONG_TAC_THOAT_NUOC_THAI</v>
          </cell>
          <cell r="G644" t="str">
            <v>Cong_tac_be_tong</v>
          </cell>
          <cell r="H644" t="str">
            <v>Be_tong</v>
          </cell>
          <cell r="I644" t="str">
            <v>Bể tự hoại</v>
          </cell>
          <cell r="J644" t="str">
            <v>M100</v>
          </cell>
          <cell r="L644" t="str">
            <v>m3</v>
          </cell>
          <cell r="M644">
            <v>13.336</v>
          </cell>
          <cell r="N644">
            <v>720000</v>
          </cell>
          <cell r="O644">
            <v>110000</v>
          </cell>
          <cell r="P644">
            <v>734400</v>
          </cell>
          <cell r="Q644">
            <v>9793958.4000000004</v>
          </cell>
          <cell r="R644">
            <v>112200</v>
          </cell>
          <cell r="S644">
            <v>1496299.2</v>
          </cell>
          <cell r="T644">
            <v>846600</v>
          </cell>
          <cell r="U644">
            <v>11290257.6</v>
          </cell>
        </row>
        <row r="645">
          <cell r="A645" t="str">
            <v>BoQ_548</v>
          </cell>
          <cell r="B645">
            <v>548</v>
          </cell>
          <cell r="C645">
            <v>504</v>
          </cell>
          <cell r="D645" t="str">
            <v>Concrete M300
Bê tông mác 300</v>
          </cell>
          <cell r="F645" t="str">
            <v>CONG_TAC_THOAT_NUOC_THAI</v>
          </cell>
          <cell r="G645" t="str">
            <v>Cong_tac_be_tong</v>
          </cell>
          <cell r="H645" t="str">
            <v>Be_tong</v>
          </cell>
          <cell r="I645" t="str">
            <v>Bể tự hoại</v>
          </cell>
          <cell r="J645" t="str">
            <v>M300</v>
          </cell>
          <cell r="L645" t="str">
            <v>m3</v>
          </cell>
          <cell r="M645">
            <v>51.42</v>
          </cell>
          <cell r="N645">
            <v>910000</v>
          </cell>
          <cell r="O645">
            <v>110000</v>
          </cell>
          <cell r="P645">
            <v>928200</v>
          </cell>
          <cell r="Q645">
            <v>47728044</v>
          </cell>
          <cell r="R645">
            <v>112200</v>
          </cell>
          <cell r="S645">
            <v>5769324</v>
          </cell>
          <cell r="T645">
            <v>1040400</v>
          </cell>
          <cell r="U645">
            <v>53497368</v>
          </cell>
        </row>
        <row r="646">
          <cell r="A646" t="str">
            <v>BoQ_549</v>
          </cell>
          <cell r="B646">
            <v>549</v>
          </cell>
          <cell r="C646">
            <v>505</v>
          </cell>
          <cell r="D646" t="str">
            <v>Formwork
Ván khuôn</v>
          </cell>
          <cell r="F646" t="str">
            <v>CONG_TAC_THOAT_NUOC_THAI</v>
          </cell>
          <cell r="G646" t="str">
            <v>Cong_tac_van_khuon</v>
          </cell>
          <cell r="H646" t="str">
            <v>Van_khuon</v>
          </cell>
          <cell r="I646" t="str">
            <v>Bể tự hoại</v>
          </cell>
          <cell r="L646" t="str">
            <v>m2</v>
          </cell>
          <cell r="M646">
            <v>27.324000000000002</v>
          </cell>
          <cell r="N646">
            <v>70000</v>
          </cell>
          <cell r="O646">
            <v>120000</v>
          </cell>
          <cell r="P646">
            <v>71400</v>
          </cell>
          <cell r="Q646">
            <v>1950933.6</v>
          </cell>
          <cell r="R646">
            <v>122400</v>
          </cell>
          <cell r="S646">
            <v>3344457.6</v>
          </cell>
          <cell r="T646">
            <v>193800</v>
          </cell>
          <cell r="U646">
            <v>5295391.2</v>
          </cell>
        </row>
        <row r="647">
          <cell r="A647" t="str">
            <v>BoQ_550</v>
          </cell>
          <cell r="B647">
            <v>550</v>
          </cell>
          <cell r="C647">
            <v>506</v>
          </cell>
          <cell r="D647" t="str">
            <v>Brick work 
Xây bể phốt</v>
          </cell>
          <cell r="E647" t="str">
            <v>Mortar grade 75</v>
          </cell>
          <cell r="F647" t="str">
            <v>CONG_TAC_THOAT_NUOC_THAI</v>
          </cell>
          <cell r="G647" t="str">
            <v>Cong_tac_xay_trat</v>
          </cell>
          <cell r="H647" t="str">
            <v>Xay_tuong</v>
          </cell>
          <cell r="I647" t="str">
            <v>Bể tự hoại</v>
          </cell>
          <cell r="J647" t="str">
            <v>Vữa</v>
          </cell>
          <cell r="K647" t="str">
            <v>M75</v>
          </cell>
          <cell r="L647" t="str">
            <v>m3</v>
          </cell>
          <cell r="M647">
            <v>4.0035660000000011</v>
          </cell>
          <cell r="N647">
            <v>950000</v>
          </cell>
          <cell r="O647">
            <v>700000</v>
          </cell>
          <cell r="P647">
            <v>969000</v>
          </cell>
          <cell r="Q647">
            <v>3879455.4540000008</v>
          </cell>
          <cell r="R647">
            <v>714000</v>
          </cell>
          <cell r="S647">
            <v>2858546.1240000008</v>
          </cell>
          <cell r="T647">
            <v>1683000</v>
          </cell>
          <cell r="U647">
            <v>6738001.5780000016</v>
          </cell>
        </row>
        <row r="648">
          <cell r="A648" t="str">
            <v>BoQ_551</v>
          </cell>
          <cell r="B648">
            <v>551</v>
          </cell>
          <cell r="C648">
            <v>507</v>
          </cell>
          <cell r="D648" t="str">
            <v>Rebar
Cốt thép</v>
          </cell>
          <cell r="E648" t="str">
            <v>CB-240 &amp; CB-300V</v>
          </cell>
          <cell r="F648" t="str">
            <v>CONG_TAC_THOAT_NUOC_THAI</v>
          </cell>
          <cell r="G648" t="str">
            <v>Cong_tac_cot_thep</v>
          </cell>
          <cell r="H648" t="str">
            <v>Cot_thep</v>
          </cell>
          <cell r="I648" t="str">
            <v>Bể tự hoại</v>
          </cell>
          <cell r="L648" t="str">
            <v>ton</v>
          </cell>
          <cell r="M648">
            <v>8.7866666666666671</v>
          </cell>
          <cell r="N648">
            <v>14500000</v>
          </cell>
          <cell r="O648">
            <v>2300000</v>
          </cell>
          <cell r="P648">
            <v>14790000</v>
          </cell>
          <cell r="Q648">
            <v>129954800</v>
          </cell>
          <cell r="R648">
            <v>2346000</v>
          </cell>
          <cell r="S648">
            <v>20613520</v>
          </cell>
          <cell r="T648">
            <v>17136000</v>
          </cell>
          <cell r="U648">
            <v>150568320</v>
          </cell>
        </row>
        <row r="649">
          <cell r="A649" t="str">
            <v>BoQ_552</v>
          </cell>
          <cell r="B649">
            <v>552</v>
          </cell>
          <cell r="C649">
            <v>508</v>
          </cell>
          <cell r="D649" t="str">
            <v>Plastering motar
Trát bể phốt</v>
          </cell>
          <cell r="F649" t="str">
            <v>CONG_TAC_THOAT_NUOC_THAI</v>
          </cell>
          <cell r="G649" t="str">
            <v>Cong_tac_xay_trat</v>
          </cell>
          <cell r="H649" t="str">
            <v>Trat_tuong</v>
          </cell>
          <cell r="I649" t="str">
            <v>Bể tự hoại</v>
          </cell>
          <cell r="L649" t="str">
            <v>m2</v>
          </cell>
          <cell r="M649">
            <v>49.68</v>
          </cell>
          <cell r="N649">
            <v>65000</v>
          </cell>
          <cell r="O649">
            <v>85000</v>
          </cell>
          <cell r="P649">
            <v>66300</v>
          </cell>
          <cell r="Q649">
            <v>3293784</v>
          </cell>
          <cell r="R649">
            <v>86700</v>
          </cell>
          <cell r="S649">
            <v>4307256</v>
          </cell>
          <cell r="T649">
            <v>153000</v>
          </cell>
          <cell r="U649">
            <v>7601040</v>
          </cell>
        </row>
        <row r="650">
          <cell r="A650" t="str">
            <v>BoQ_553</v>
          </cell>
          <cell r="B650">
            <v>553</v>
          </cell>
          <cell r="C650">
            <v>509</v>
          </cell>
          <cell r="D650" t="str">
            <v>Metal cover
Nắp gang</v>
          </cell>
          <cell r="E650" t="str">
            <v>700*700</v>
          </cell>
          <cell r="F650" t="str">
            <v>CONG_TAC_THOAT_NUOC_THAI</v>
          </cell>
          <cell r="G650" t="str">
            <v>Cong_tac_co_khi</v>
          </cell>
          <cell r="H650" t="str">
            <v>Co_khi</v>
          </cell>
          <cell r="I650" t="str">
            <v>Bể tự hoại</v>
          </cell>
          <cell r="L650" t="str">
            <v>ea</v>
          </cell>
          <cell r="M650">
            <v>3</v>
          </cell>
          <cell r="N650">
            <v>650000</v>
          </cell>
          <cell r="O650">
            <v>150000</v>
          </cell>
          <cell r="P650">
            <v>663000</v>
          </cell>
          <cell r="Q650">
            <v>1989000</v>
          </cell>
          <cell r="R650">
            <v>153000</v>
          </cell>
          <cell r="S650">
            <v>459000</v>
          </cell>
          <cell r="T650">
            <v>816000</v>
          </cell>
          <cell r="U650">
            <v>2448000</v>
          </cell>
        </row>
        <row r="651">
          <cell r="A651" t="str">
            <v>BoQ_554</v>
          </cell>
          <cell r="B651">
            <v>554</v>
          </cell>
          <cell r="C651">
            <v>510</v>
          </cell>
          <cell r="D651" t="str">
            <v>Waterproof
Chống thấm</v>
          </cell>
          <cell r="E651" t="str">
            <v>Sika latex</v>
          </cell>
          <cell r="F651" t="str">
            <v>CONG_TAC_THOAT_NUOC_THAI</v>
          </cell>
          <cell r="G651" t="str">
            <v>Cong_tac_chong_tham</v>
          </cell>
          <cell r="H651" t="str">
            <v>Chong_tham</v>
          </cell>
          <cell r="I651" t="str">
            <v>Bể tự hoại</v>
          </cell>
          <cell r="L651" t="str">
            <v>m2</v>
          </cell>
          <cell r="M651">
            <v>49.68</v>
          </cell>
          <cell r="N651">
            <v>56000</v>
          </cell>
          <cell r="O651">
            <v>45000</v>
          </cell>
          <cell r="P651">
            <v>57120</v>
          </cell>
          <cell r="Q651">
            <v>2837721.6</v>
          </cell>
          <cell r="R651">
            <v>45900</v>
          </cell>
          <cell r="S651">
            <v>2280312</v>
          </cell>
          <cell r="T651">
            <v>103020</v>
          </cell>
          <cell r="U651">
            <v>5118033.5999999996</v>
          </cell>
        </row>
        <row r="652">
          <cell r="A652" t="str">
            <v>BoQ_555</v>
          </cell>
          <cell r="B652">
            <v>555</v>
          </cell>
          <cell r="C652">
            <v>511</v>
          </cell>
          <cell r="D652" t="str">
            <v>Drain urine and enter pprise UPVC 160
Ống Upvc 160</v>
          </cell>
          <cell r="F652" t="str">
            <v>CONG_TAC_THOAT_NUOC_THAI</v>
          </cell>
          <cell r="G652" t="str">
            <v>Cong_tac_ong_thoat_nuoc</v>
          </cell>
          <cell r="H652" t="str">
            <v>Ong_PVC</v>
          </cell>
          <cell r="I652" t="str">
            <v>Bể tự hoại</v>
          </cell>
          <cell r="L652" t="str">
            <v>m</v>
          </cell>
          <cell r="M652">
            <v>25</v>
          </cell>
          <cell r="N652">
            <v>125000</v>
          </cell>
          <cell r="O652">
            <v>55000</v>
          </cell>
          <cell r="P652">
            <v>127500</v>
          </cell>
          <cell r="Q652">
            <v>3187500</v>
          </cell>
          <cell r="R652">
            <v>56100</v>
          </cell>
          <cell r="S652">
            <v>1402500</v>
          </cell>
          <cell r="T652">
            <v>183600</v>
          </cell>
          <cell r="U652">
            <v>4590000</v>
          </cell>
        </row>
        <row r="653">
          <cell r="A653" t="str">
            <v>BoQ_556</v>
          </cell>
          <cell r="B653">
            <v>556</v>
          </cell>
          <cell r="C653">
            <v>512</v>
          </cell>
          <cell r="D653" t="str">
            <v>Accessories
Vật tư phụ</v>
          </cell>
          <cell r="F653" t="str">
            <v>CONG_TAC_THOAT_NUOC_THAI</v>
          </cell>
          <cell r="G653" t="str">
            <v>Cong_tac_ong_thoat_nuoc</v>
          </cell>
          <cell r="H653" t="str">
            <v>Phu_kien</v>
          </cell>
          <cell r="I653" t="str">
            <v>Bể tự hoại</v>
          </cell>
          <cell r="L653" t="str">
            <v>lot</v>
          </cell>
          <cell r="M653">
            <v>1</v>
          </cell>
          <cell r="N653">
            <v>1500000</v>
          </cell>
          <cell r="P653">
            <v>1530000</v>
          </cell>
          <cell r="Q653">
            <v>1530000</v>
          </cell>
          <cell r="R653">
            <v>0</v>
          </cell>
          <cell r="S653">
            <v>0</v>
          </cell>
          <cell r="T653">
            <v>1530000</v>
          </cell>
          <cell r="U653">
            <v>1530000</v>
          </cell>
        </row>
        <row r="654">
          <cell r="C654">
            <v>5</v>
          </cell>
          <cell r="D654" t="str">
            <v>FAT TANK 15M3
BỂ TÁCH MỠ 15M3</v>
          </cell>
          <cell r="E654" t="str">
            <v>1EA</v>
          </cell>
        </row>
        <row r="655">
          <cell r="A655" t="str">
            <v>BoQ_557</v>
          </cell>
          <cell r="B655">
            <v>557</v>
          </cell>
          <cell r="C655">
            <v>513</v>
          </cell>
          <cell r="D655" t="str">
            <v>Excavation
Đào đất</v>
          </cell>
          <cell r="F655" t="str">
            <v>CONG_TAC_THOAT_NUOC_THAI</v>
          </cell>
          <cell r="G655" t="str">
            <v>Cong_tac_dat</v>
          </cell>
          <cell r="H655" t="str">
            <v>Dao_dat</v>
          </cell>
          <cell r="L655" t="str">
            <v>m3</v>
          </cell>
          <cell r="M655">
            <v>70.356000000000009</v>
          </cell>
          <cell r="O655">
            <v>22000</v>
          </cell>
          <cell r="P655">
            <v>0</v>
          </cell>
          <cell r="Q655">
            <v>0</v>
          </cell>
          <cell r="R655">
            <v>22440</v>
          </cell>
          <cell r="S655">
            <v>1578788.6400000001</v>
          </cell>
          <cell r="T655">
            <v>22440</v>
          </cell>
          <cell r="U655">
            <v>1578788.6400000001</v>
          </cell>
        </row>
        <row r="656">
          <cell r="A656" t="str">
            <v>BoQ_558</v>
          </cell>
          <cell r="B656">
            <v>558</v>
          </cell>
          <cell r="C656">
            <v>514</v>
          </cell>
          <cell r="D656" t="str">
            <v>Backfilling sand 
Đắp cát đen</v>
          </cell>
          <cell r="F656" t="str">
            <v>CONG_TAC_THOAT_NUOC_THAI</v>
          </cell>
          <cell r="G656" t="str">
            <v>Cong_tac_dat</v>
          </cell>
          <cell r="H656" t="str">
            <v>Lap_cat</v>
          </cell>
          <cell r="L656" t="str">
            <v>m3</v>
          </cell>
          <cell r="M656">
            <v>1</v>
          </cell>
          <cell r="N656">
            <v>316800</v>
          </cell>
          <cell r="O656">
            <v>25000</v>
          </cell>
          <cell r="P656">
            <v>323136</v>
          </cell>
          <cell r="Q656">
            <v>323136</v>
          </cell>
          <cell r="R656">
            <v>25500</v>
          </cell>
          <cell r="S656">
            <v>25500</v>
          </cell>
          <cell r="T656">
            <v>348636</v>
          </cell>
          <cell r="U656">
            <v>348636</v>
          </cell>
        </row>
        <row r="657">
          <cell r="A657" t="str">
            <v>BoQ_559</v>
          </cell>
          <cell r="B657">
            <v>559</v>
          </cell>
          <cell r="C657">
            <v>515</v>
          </cell>
          <cell r="D657" t="str">
            <v>Transport surplus soil
Vận chuyển đất thừa</v>
          </cell>
          <cell r="F657" t="str">
            <v>CONG_TAC_THOAT_NUOC_THAI</v>
          </cell>
          <cell r="G657" t="str">
            <v>Cong_tac_dat</v>
          </cell>
          <cell r="H657" t="str">
            <v>Van_chuyen_dat</v>
          </cell>
          <cell r="L657" t="str">
            <v>m3</v>
          </cell>
          <cell r="M657">
            <v>45.027839999999998</v>
          </cell>
          <cell r="O657">
            <v>22000</v>
          </cell>
          <cell r="P657">
            <v>0</v>
          </cell>
          <cell r="Q657">
            <v>0</v>
          </cell>
          <cell r="R657">
            <v>22440</v>
          </cell>
          <cell r="S657">
            <v>1010424.7296</v>
          </cell>
          <cell r="T657">
            <v>22440</v>
          </cell>
          <cell r="U657">
            <v>1010424.7296</v>
          </cell>
        </row>
        <row r="658">
          <cell r="A658" t="str">
            <v>BoQ_560</v>
          </cell>
          <cell r="B658">
            <v>560</v>
          </cell>
          <cell r="C658">
            <v>516</v>
          </cell>
          <cell r="D658" t="str">
            <v>PVC film
Lớp nylon</v>
          </cell>
          <cell r="F658" t="str">
            <v>CONG_TAC_THOAT_NUOC_THAI</v>
          </cell>
          <cell r="G658" t="str">
            <v>Cong_tac_dat</v>
          </cell>
          <cell r="H658" t="str">
            <v>Nilong</v>
          </cell>
          <cell r="L658" t="str">
            <v>m2</v>
          </cell>
          <cell r="M658">
            <v>15.5</v>
          </cell>
          <cell r="N658">
            <v>3500</v>
          </cell>
          <cell r="O658">
            <v>1000</v>
          </cell>
          <cell r="P658">
            <v>3570</v>
          </cell>
          <cell r="Q658">
            <v>55335</v>
          </cell>
          <cell r="R658">
            <v>1020</v>
          </cell>
          <cell r="S658">
            <v>15810</v>
          </cell>
          <cell r="T658">
            <v>4590</v>
          </cell>
          <cell r="U658">
            <v>71145</v>
          </cell>
        </row>
        <row r="659">
          <cell r="A659" t="str">
            <v>BoQ_561</v>
          </cell>
          <cell r="B659">
            <v>561</v>
          </cell>
          <cell r="C659">
            <v>517</v>
          </cell>
          <cell r="D659" t="str">
            <v>Compaction soil
Đầm đất</v>
          </cell>
          <cell r="F659" t="str">
            <v>CONG_TAC_THOAT_NUOC_THAI</v>
          </cell>
          <cell r="G659" t="str">
            <v>Cong_tac_dat</v>
          </cell>
          <cell r="H659" t="str">
            <v>Dam_dat</v>
          </cell>
          <cell r="L659" t="str">
            <v>LOT</v>
          </cell>
          <cell r="M659">
            <v>1</v>
          </cell>
          <cell r="O659">
            <v>15000000</v>
          </cell>
          <cell r="P659">
            <v>0</v>
          </cell>
          <cell r="Q659">
            <v>0</v>
          </cell>
          <cell r="R659">
            <v>15300000</v>
          </cell>
          <cell r="S659">
            <v>15300000</v>
          </cell>
          <cell r="T659">
            <v>15300000</v>
          </cell>
          <cell r="U659">
            <v>15300000</v>
          </cell>
        </row>
        <row r="660">
          <cell r="A660" t="str">
            <v>BoQ_562</v>
          </cell>
          <cell r="B660">
            <v>562</v>
          </cell>
          <cell r="C660">
            <v>518</v>
          </cell>
          <cell r="D660" t="str">
            <v>Lean concrete Gr.100
Bê tông lót</v>
          </cell>
          <cell r="F660" t="str">
            <v>CONG_TAC_THOAT_NUOC_THAI</v>
          </cell>
          <cell r="G660" t="str">
            <v>Cong_tac_be_tong</v>
          </cell>
          <cell r="H660" t="str">
            <v>Be_tong</v>
          </cell>
          <cell r="I660" t="str">
            <v>Móng</v>
          </cell>
          <cell r="J660" t="str">
            <v>M100</v>
          </cell>
          <cell r="K660" t="str">
            <v>Đá 1x2</v>
          </cell>
          <cell r="L660" t="str">
            <v>m3</v>
          </cell>
          <cell r="M660">
            <v>1</v>
          </cell>
          <cell r="N660">
            <v>720000</v>
          </cell>
          <cell r="O660">
            <v>110000</v>
          </cell>
          <cell r="P660">
            <v>734400</v>
          </cell>
          <cell r="Q660">
            <v>734400</v>
          </cell>
          <cell r="R660">
            <v>112200</v>
          </cell>
          <cell r="S660">
            <v>112200</v>
          </cell>
          <cell r="T660">
            <v>846600</v>
          </cell>
          <cell r="U660">
            <v>846600</v>
          </cell>
        </row>
        <row r="661">
          <cell r="A661" t="str">
            <v>BoQ_563</v>
          </cell>
          <cell r="B661">
            <v>563</v>
          </cell>
          <cell r="C661">
            <v>519</v>
          </cell>
          <cell r="D661" t="str">
            <v>Concrete Gr.300
Bê tông mác 300</v>
          </cell>
          <cell r="F661" t="str">
            <v>CONG_TAC_THOAT_NUOC_THAI</v>
          </cell>
          <cell r="G661" t="str">
            <v>Cong_tac_be_tong</v>
          </cell>
          <cell r="H661" t="str">
            <v>Be_tong</v>
          </cell>
          <cell r="I661" t="str">
            <v>Móng</v>
          </cell>
          <cell r="J661" t="str">
            <v>M300</v>
          </cell>
          <cell r="K661" t="str">
            <v>Đá 1x2</v>
          </cell>
          <cell r="L661" t="str">
            <v>m3</v>
          </cell>
          <cell r="M661">
            <v>4.4453333333333331</v>
          </cell>
          <cell r="N661">
            <v>910000</v>
          </cell>
          <cell r="O661">
            <v>110000</v>
          </cell>
          <cell r="P661">
            <v>928200</v>
          </cell>
          <cell r="Q661">
            <v>4126158.4</v>
          </cell>
          <cell r="R661">
            <v>112200</v>
          </cell>
          <cell r="S661">
            <v>498766.39999999997</v>
          </cell>
          <cell r="T661">
            <v>1040400</v>
          </cell>
          <cell r="U661">
            <v>4624924.8</v>
          </cell>
        </row>
        <row r="662">
          <cell r="A662" t="str">
            <v>BoQ_564</v>
          </cell>
          <cell r="B662">
            <v>564</v>
          </cell>
          <cell r="C662">
            <v>520</v>
          </cell>
          <cell r="D662" t="str">
            <v>Formwork
Ván khuôn</v>
          </cell>
          <cell r="F662" t="str">
            <v>CONG_TAC_THOAT_NUOC_THAI</v>
          </cell>
          <cell r="G662" t="str">
            <v>Cong_tac_van_khuon</v>
          </cell>
          <cell r="H662" t="str">
            <v>Van_khuon</v>
          </cell>
          <cell r="I662" t="str">
            <v>Móng</v>
          </cell>
          <cell r="L662" t="str">
            <v>m2</v>
          </cell>
          <cell r="M662">
            <v>17.14</v>
          </cell>
          <cell r="N662">
            <v>70000</v>
          </cell>
          <cell r="O662">
            <v>120000</v>
          </cell>
          <cell r="P662">
            <v>71400</v>
          </cell>
          <cell r="Q662">
            <v>1223796</v>
          </cell>
          <cell r="R662">
            <v>122400</v>
          </cell>
          <cell r="S662">
            <v>2097936</v>
          </cell>
          <cell r="T662">
            <v>193800</v>
          </cell>
          <cell r="U662">
            <v>3321732</v>
          </cell>
        </row>
        <row r="663">
          <cell r="A663" t="str">
            <v>BoQ_565</v>
          </cell>
          <cell r="B663">
            <v>565</v>
          </cell>
          <cell r="C663">
            <v>521</v>
          </cell>
          <cell r="D663" t="str">
            <v xml:space="preserve">Brick work 
Xây bể </v>
          </cell>
          <cell r="E663" t="str">
            <v>Mortar grade 75</v>
          </cell>
          <cell r="F663" t="str">
            <v>CONG_TAC_THOAT_NUOC_THAI</v>
          </cell>
          <cell r="G663" t="str">
            <v>Cong_tac_xay_trat</v>
          </cell>
          <cell r="H663" t="str">
            <v>Xay_tuong</v>
          </cell>
          <cell r="I663" t="str">
            <v>Bể</v>
          </cell>
          <cell r="L663" t="str">
            <v>m3</v>
          </cell>
          <cell r="M663">
            <v>9.1080000000000005</v>
          </cell>
          <cell r="N663">
            <v>950000</v>
          </cell>
          <cell r="O663">
            <v>700000</v>
          </cell>
          <cell r="P663">
            <v>969000</v>
          </cell>
          <cell r="Q663">
            <v>8825652</v>
          </cell>
          <cell r="R663">
            <v>714000</v>
          </cell>
          <cell r="S663">
            <v>6503112</v>
          </cell>
          <cell r="T663">
            <v>1683000</v>
          </cell>
          <cell r="U663">
            <v>15328764</v>
          </cell>
        </row>
        <row r="664">
          <cell r="A664" t="str">
            <v>BoQ_566</v>
          </cell>
          <cell r="B664">
            <v>566</v>
          </cell>
          <cell r="C664">
            <v>522</v>
          </cell>
          <cell r="D664" t="str">
            <v>Rebar
Cốt thép</v>
          </cell>
          <cell r="E664" t="str">
            <v>CB-240 &amp; CB-300V</v>
          </cell>
          <cell r="F664" t="str">
            <v>CONG_TAC_THOAT_NUOC_THAI</v>
          </cell>
          <cell r="G664" t="str">
            <v>Cong_tac_cot_thep</v>
          </cell>
          <cell r="H664" t="str">
            <v>Cot_thep</v>
          </cell>
          <cell r="L664" t="str">
            <v>ton</v>
          </cell>
          <cell r="M664">
            <v>1.334522</v>
          </cell>
          <cell r="N664">
            <v>14500000</v>
          </cell>
          <cell r="O664">
            <v>2300000</v>
          </cell>
          <cell r="P664">
            <v>14790000</v>
          </cell>
          <cell r="Q664">
            <v>19737580.379999999</v>
          </cell>
          <cell r="R664">
            <v>2346000</v>
          </cell>
          <cell r="S664">
            <v>3130788.6120000002</v>
          </cell>
          <cell r="T664">
            <v>17136000</v>
          </cell>
          <cell r="U664">
            <v>22868368.991999999</v>
          </cell>
        </row>
        <row r="665">
          <cell r="A665" t="str">
            <v>BoQ_567</v>
          </cell>
          <cell r="B665">
            <v>567</v>
          </cell>
          <cell r="C665">
            <v>523</v>
          </cell>
          <cell r="D665" t="str">
            <v xml:space="preserve">Plastering motar
Trát bể </v>
          </cell>
          <cell r="F665" t="str">
            <v>CONG_TAC_THOAT_NUOC_THAI</v>
          </cell>
          <cell r="G665" t="str">
            <v>Cong_tac_xay_trat</v>
          </cell>
          <cell r="H665" t="str">
            <v>Trat_tuong</v>
          </cell>
          <cell r="L665" t="str">
            <v>m2</v>
          </cell>
          <cell r="M665">
            <v>8.7866666666666671</v>
          </cell>
          <cell r="N665">
            <v>65000</v>
          </cell>
          <cell r="O665">
            <v>85000</v>
          </cell>
          <cell r="P665">
            <v>66300</v>
          </cell>
          <cell r="Q665">
            <v>582556</v>
          </cell>
          <cell r="R665">
            <v>86700</v>
          </cell>
          <cell r="S665">
            <v>761804</v>
          </cell>
          <cell r="T665">
            <v>153000</v>
          </cell>
          <cell r="U665">
            <v>1344360</v>
          </cell>
        </row>
        <row r="666">
          <cell r="A666" t="str">
            <v>BoQ_568</v>
          </cell>
          <cell r="B666">
            <v>568</v>
          </cell>
          <cell r="C666">
            <v>524</v>
          </cell>
          <cell r="D666" t="str">
            <v>cover
Nắp gang</v>
          </cell>
          <cell r="E666" t="str">
            <v>700*700</v>
          </cell>
          <cell r="F666" t="str">
            <v>CONG_TAC_THOAT_NUOC_THAI</v>
          </cell>
          <cell r="G666" t="str">
            <v>Cong_tac_co_khi</v>
          </cell>
          <cell r="H666" t="str">
            <v>Co_khi</v>
          </cell>
          <cell r="L666" t="str">
            <v>ea</v>
          </cell>
          <cell r="M666">
            <v>3</v>
          </cell>
          <cell r="N666">
            <v>650000</v>
          </cell>
          <cell r="O666">
            <v>150000</v>
          </cell>
          <cell r="P666">
            <v>663000</v>
          </cell>
          <cell r="Q666">
            <v>1989000</v>
          </cell>
          <cell r="R666">
            <v>153000</v>
          </cell>
          <cell r="S666">
            <v>459000</v>
          </cell>
          <cell r="T666">
            <v>816000</v>
          </cell>
          <cell r="U666">
            <v>2448000</v>
          </cell>
        </row>
        <row r="667">
          <cell r="A667" t="str">
            <v>BoQ_569</v>
          </cell>
          <cell r="B667">
            <v>569</v>
          </cell>
          <cell r="C667">
            <v>525</v>
          </cell>
          <cell r="D667" t="str">
            <v>Waterproof
Chống thấm</v>
          </cell>
          <cell r="E667" t="str">
            <v>Sika latex</v>
          </cell>
          <cell r="F667" t="str">
            <v>CONG_TAC_THOAT_NUOC_THAI</v>
          </cell>
          <cell r="G667" t="str">
            <v>Cong_tac_chong_tham</v>
          </cell>
          <cell r="H667" t="str">
            <v>Chong_tham</v>
          </cell>
          <cell r="L667" t="str">
            <v>m2</v>
          </cell>
          <cell r="M667">
            <v>3</v>
          </cell>
          <cell r="N667">
            <v>56000</v>
          </cell>
          <cell r="O667">
            <v>45000</v>
          </cell>
          <cell r="P667">
            <v>57120</v>
          </cell>
          <cell r="Q667">
            <v>171360</v>
          </cell>
          <cell r="R667">
            <v>45900</v>
          </cell>
          <cell r="S667">
            <v>137700</v>
          </cell>
          <cell r="T667">
            <v>103020</v>
          </cell>
          <cell r="U667">
            <v>309060</v>
          </cell>
        </row>
        <row r="668">
          <cell r="A668" t="str">
            <v>BoQ_570</v>
          </cell>
          <cell r="B668">
            <v>570</v>
          </cell>
          <cell r="C668">
            <v>526</v>
          </cell>
          <cell r="D668" t="str">
            <v>Drain urine and enter pprise UPVC 160
Ống Upvc 160</v>
          </cell>
          <cell r="F668" t="str">
            <v>CONG_TAC_THOAT_NUOC_THAI</v>
          </cell>
          <cell r="G668" t="str">
            <v>Cong_tac_ong_thoat_nuoc</v>
          </cell>
          <cell r="H668" t="str">
            <v>Ong_PVC</v>
          </cell>
          <cell r="L668" t="str">
            <v>m</v>
          </cell>
          <cell r="M668">
            <v>49.68</v>
          </cell>
          <cell r="N668">
            <v>125000</v>
          </cell>
          <cell r="O668">
            <v>55000</v>
          </cell>
          <cell r="P668">
            <v>127500</v>
          </cell>
          <cell r="Q668">
            <v>6334200</v>
          </cell>
          <cell r="R668">
            <v>56100</v>
          </cell>
          <cell r="S668">
            <v>2787048</v>
          </cell>
          <cell r="T668">
            <v>183600</v>
          </cell>
          <cell r="U668">
            <v>9121248</v>
          </cell>
        </row>
        <row r="669">
          <cell r="A669" t="str">
            <v>BoQ_571</v>
          </cell>
          <cell r="B669">
            <v>571</v>
          </cell>
          <cell r="C669">
            <v>527</v>
          </cell>
          <cell r="D669" t="str">
            <v>Accessories
Vật tư phụ</v>
          </cell>
          <cell r="F669" t="str">
            <v>CONG_TAC_THOAT_NUOC_THAI</v>
          </cell>
          <cell r="G669" t="str">
            <v>Cong_tac_ong_thoat_nuoc</v>
          </cell>
          <cell r="H669" t="str">
            <v>Vat_tu_phu</v>
          </cell>
          <cell r="L669" t="str">
            <v>lot</v>
          </cell>
          <cell r="M669">
            <v>25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</row>
        <row r="670">
          <cell r="A670" t="str">
            <v>BoQ_572</v>
          </cell>
          <cell r="B670">
            <v>572</v>
          </cell>
          <cell r="C670">
            <v>528</v>
          </cell>
          <cell r="D670" t="str">
            <v>Rãnh ngăn phòng rác
Trench in trash house</v>
          </cell>
          <cell r="F670" t="str">
            <v>CONG_TAC_THOAT_NUOC_THAI</v>
          </cell>
          <cell r="G670" t="str">
            <v>Cong_tac_co_khi</v>
          </cell>
          <cell r="H670" t="str">
            <v>Co_khi</v>
          </cell>
          <cell r="I670" t="str">
            <v>Phòng Rác</v>
          </cell>
          <cell r="J670" t="str">
            <v>Inox</v>
          </cell>
          <cell r="L670" t="str">
            <v>lot</v>
          </cell>
          <cell r="M670">
            <v>1</v>
          </cell>
          <cell r="N670">
            <v>15000000</v>
          </cell>
          <cell r="O670">
            <v>4500000</v>
          </cell>
          <cell r="P670">
            <v>15300000</v>
          </cell>
          <cell r="Q670">
            <v>15300000</v>
          </cell>
          <cell r="R670">
            <v>4590000</v>
          </cell>
          <cell r="S670">
            <v>4590000</v>
          </cell>
          <cell r="T670">
            <v>19890000</v>
          </cell>
          <cell r="U670">
            <v>19890000</v>
          </cell>
        </row>
        <row r="671">
          <cell r="C671" t="str">
            <v>II</v>
          </cell>
          <cell r="D671" t="str">
            <v>FIRE FIGHTING SYSTEM</v>
          </cell>
          <cell r="E671" t="str">
            <v>TOTAL</v>
          </cell>
          <cell r="U671">
            <v>2753494442.8828502</v>
          </cell>
          <cell r="V671">
            <v>117169.97629288724</v>
          </cell>
        </row>
        <row r="672">
          <cell r="C672">
            <v>1</v>
          </cell>
          <cell r="D672" t="str">
            <v>FIRE FIGHTING 
PHẦN CHỮA CHÁY</v>
          </cell>
          <cell r="U672">
            <v>1721068670.28285</v>
          </cell>
        </row>
        <row r="673">
          <cell r="D673" t="str">
            <v>2. PIPING AND FITTING
ĐƯỜNG ỐNG VÀ LẮP ĐẶT</v>
          </cell>
        </row>
        <row r="674">
          <cell r="A674" t="str">
            <v>BoQ_573</v>
          </cell>
          <cell r="B674">
            <v>573</v>
          </cell>
          <cell r="C674">
            <v>1</v>
          </cell>
          <cell r="D674" t="str">
            <v>Galvanized pipe 125A
Ống mạ kẽm</v>
          </cell>
          <cell r="E674" t="str">
            <v>Hòa Phát</v>
          </cell>
          <cell r="L674" t="str">
            <v>m</v>
          </cell>
          <cell r="M674">
            <v>190</v>
          </cell>
          <cell r="N674">
            <v>472729</v>
          </cell>
          <cell r="O674">
            <v>127412</v>
          </cell>
          <cell r="P674">
            <v>482183.58</v>
          </cell>
          <cell r="Q674">
            <v>91614880.200000003</v>
          </cell>
          <cell r="R674">
            <v>129960.24</v>
          </cell>
          <cell r="S674">
            <v>24692445.600000001</v>
          </cell>
          <cell r="T674">
            <v>612143.82000000007</v>
          </cell>
          <cell r="U674">
            <v>116307325.80000001</v>
          </cell>
        </row>
        <row r="675">
          <cell r="A675" t="str">
            <v>BoQ_574</v>
          </cell>
          <cell r="B675">
            <v>574</v>
          </cell>
          <cell r="C675">
            <v>2</v>
          </cell>
          <cell r="D675" t="str">
            <v>Galvanized pipe 50A
Ống mạ kẽm</v>
          </cell>
          <cell r="E675" t="str">
            <v>Hòa Phát</v>
          </cell>
          <cell r="L675" t="str">
            <v>m</v>
          </cell>
          <cell r="M675">
            <v>194.5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</row>
        <row r="676">
          <cell r="A676" t="str">
            <v>BoQ_575</v>
          </cell>
          <cell r="B676">
            <v>575</v>
          </cell>
          <cell r="C676">
            <v>3</v>
          </cell>
          <cell r="D676" t="str">
            <v>Galvanized pipe 40A
Ống mạ kẽm</v>
          </cell>
          <cell r="E676" t="str">
            <v>Hòa Phát</v>
          </cell>
          <cell r="L676" t="str">
            <v>m</v>
          </cell>
          <cell r="M676">
            <v>353.15</v>
          </cell>
          <cell r="N676">
            <v>125850</v>
          </cell>
          <cell r="O676">
            <v>53851</v>
          </cell>
          <cell r="P676">
            <v>128367</v>
          </cell>
          <cell r="Q676">
            <v>45332806.049999997</v>
          </cell>
          <cell r="R676">
            <v>54928.020000000004</v>
          </cell>
          <cell r="S676">
            <v>19397830.263</v>
          </cell>
          <cell r="T676">
            <v>183295.02000000002</v>
          </cell>
          <cell r="U676">
            <v>64730636.313000001</v>
          </cell>
        </row>
        <row r="677">
          <cell r="A677" t="str">
            <v>BoQ_576</v>
          </cell>
          <cell r="B677">
            <v>576</v>
          </cell>
          <cell r="C677">
            <v>4</v>
          </cell>
          <cell r="D677" t="str">
            <v>Galvanized pipe 32A
Ống mạ kẽm</v>
          </cell>
          <cell r="E677" t="str">
            <v>Hòa Phát</v>
          </cell>
          <cell r="L677" t="str">
            <v>m</v>
          </cell>
          <cell r="M677">
            <v>369.25</v>
          </cell>
          <cell r="N677">
            <v>89540</v>
          </cell>
          <cell r="O677">
            <v>41424</v>
          </cell>
          <cell r="P677">
            <v>91330.8</v>
          </cell>
          <cell r="Q677">
            <v>33723897.899999999</v>
          </cell>
          <cell r="R677">
            <v>42252.480000000003</v>
          </cell>
          <cell r="S677">
            <v>15601728.240000002</v>
          </cell>
          <cell r="T677">
            <v>133583.28</v>
          </cell>
          <cell r="U677">
            <v>49325626.140000001</v>
          </cell>
        </row>
        <row r="678">
          <cell r="A678" t="str">
            <v>BoQ_577</v>
          </cell>
          <cell r="B678">
            <v>577</v>
          </cell>
          <cell r="C678">
            <v>5</v>
          </cell>
          <cell r="D678" t="str">
            <v>Galvanized pipe 25A
Ống mạ kẽm</v>
          </cell>
          <cell r="E678" t="str">
            <v>Hòa Phát</v>
          </cell>
          <cell r="L678" t="str">
            <v>m</v>
          </cell>
          <cell r="M678">
            <v>1243.7</v>
          </cell>
          <cell r="N678">
            <v>69834</v>
          </cell>
          <cell r="O678">
            <v>34520</v>
          </cell>
          <cell r="P678">
            <v>71230.680000000008</v>
          </cell>
          <cell r="Q678">
            <v>88589596.716000006</v>
          </cell>
          <cell r="R678">
            <v>35210.400000000001</v>
          </cell>
          <cell r="S678">
            <v>43791174.480000004</v>
          </cell>
          <cell r="T678">
            <v>106441.08000000002</v>
          </cell>
          <cell r="U678">
            <v>132380771.19600002</v>
          </cell>
        </row>
        <row r="679">
          <cell r="A679" t="str">
            <v>BoQ_578</v>
          </cell>
          <cell r="B679">
            <v>578</v>
          </cell>
          <cell r="C679">
            <v>6</v>
          </cell>
          <cell r="D679" t="str">
            <v>Install new pipe
Lắp đặt ống mới, phụ kiện phát sinh do dịch chuyển phòng</v>
          </cell>
          <cell r="L679" t="str">
            <v>lot</v>
          </cell>
          <cell r="M679">
            <v>1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</row>
        <row r="680">
          <cell r="A680" t="str">
            <v>BoQ_579</v>
          </cell>
          <cell r="B680">
            <v>579</v>
          </cell>
          <cell r="C680">
            <v>7</v>
          </cell>
          <cell r="D680" t="str">
            <v>Fitting pipe for above
Lắp đặt ống</v>
          </cell>
          <cell r="L680" t="str">
            <v>lot</v>
          </cell>
          <cell r="M680">
            <v>0</v>
          </cell>
          <cell r="N680">
            <v>30000000</v>
          </cell>
          <cell r="O680">
            <v>10000000</v>
          </cell>
          <cell r="P680">
            <v>30600000</v>
          </cell>
          <cell r="Q680">
            <v>0</v>
          </cell>
          <cell r="R680">
            <v>10200000</v>
          </cell>
          <cell r="S680">
            <v>0</v>
          </cell>
          <cell r="T680">
            <v>40800000</v>
          </cell>
          <cell r="U680">
            <v>0</v>
          </cell>
        </row>
        <row r="681">
          <cell r="A681" t="str">
            <v>BoQ_580</v>
          </cell>
          <cell r="B681">
            <v>580</v>
          </cell>
          <cell r="C681">
            <v>8</v>
          </cell>
          <cell r="D681" t="str">
            <v>Pendent Sprinkler head k5.6; t=680C
Đầu phun sprinkler</v>
          </cell>
          <cell r="L681" t="str">
            <v>Ea</v>
          </cell>
          <cell r="M681">
            <v>541</v>
          </cell>
          <cell r="N681">
            <v>98202</v>
          </cell>
          <cell r="O681">
            <v>20000</v>
          </cell>
          <cell r="P681">
            <v>100166.04000000001</v>
          </cell>
          <cell r="Q681">
            <v>54189827.640000008</v>
          </cell>
          <cell r="R681">
            <v>20400</v>
          </cell>
          <cell r="S681">
            <v>11036400</v>
          </cell>
          <cell r="T681">
            <v>120566.04000000001</v>
          </cell>
          <cell r="U681">
            <v>65226227.640000008</v>
          </cell>
        </row>
        <row r="682">
          <cell r="A682" t="str">
            <v>BoQ_581</v>
          </cell>
          <cell r="B682">
            <v>581</v>
          </cell>
          <cell r="C682">
            <v>9</v>
          </cell>
          <cell r="D682" t="str">
            <v>Pendent Sprinkler head  k5.6; t=790C</v>
          </cell>
          <cell r="L682" t="str">
            <v>Ea</v>
          </cell>
          <cell r="M682">
            <v>9</v>
          </cell>
          <cell r="N682">
            <v>12000</v>
          </cell>
          <cell r="O682">
            <v>20000</v>
          </cell>
          <cell r="P682">
            <v>12240</v>
          </cell>
          <cell r="Q682">
            <v>110160</v>
          </cell>
          <cell r="R682">
            <v>20400</v>
          </cell>
          <cell r="S682">
            <v>183600</v>
          </cell>
          <cell r="T682">
            <v>32640</v>
          </cell>
          <cell r="U682">
            <v>293760</v>
          </cell>
        </row>
        <row r="683">
          <cell r="A683" t="str">
            <v>BoQ_582</v>
          </cell>
          <cell r="B683">
            <v>582</v>
          </cell>
          <cell r="C683">
            <v>10</v>
          </cell>
          <cell r="D683" t="str">
            <v>Flexible for sprinkler head
Ống mềm nối đầu phun sprinkler</v>
          </cell>
          <cell r="L683" t="str">
            <v>Ea</v>
          </cell>
          <cell r="M683">
            <v>481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</row>
        <row r="684">
          <cell r="A684" t="str">
            <v>BoQ_583</v>
          </cell>
          <cell r="B684">
            <v>583</v>
          </cell>
          <cell r="C684">
            <v>11</v>
          </cell>
          <cell r="D684" t="str">
            <v>Cover for Sprinkler head
Nắp đầu phun</v>
          </cell>
          <cell r="L684" t="str">
            <v>Ea</v>
          </cell>
          <cell r="M684">
            <v>481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</row>
        <row r="685">
          <cell r="A685" t="str">
            <v>BoQ_584</v>
          </cell>
          <cell r="B685">
            <v>584</v>
          </cell>
          <cell r="C685">
            <v>12</v>
          </cell>
          <cell r="D685" t="str">
            <v>Air valves D65
Van xả khí D65</v>
          </cell>
          <cell r="E685" t="str">
            <v>Malaysia</v>
          </cell>
          <cell r="L685" t="str">
            <v>Ea</v>
          </cell>
          <cell r="M685">
            <v>1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</row>
        <row r="686">
          <cell r="A686" t="str">
            <v>BoQ_585</v>
          </cell>
          <cell r="B686">
            <v>585</v>
          </cell>
          <cell r="C686">
            <v>13</v>
          </cell>
          <cell r="D686" t="str">
            <v>Gate Valve (Flange End) 125A
Van cổng</v>
          </cell>
          <cell r="E686" t="str">
            <v>Malaysia</v>
          </cell>
          <cell r="L686" t="str">
            <v>Ea</v>
          </cell>
          <cell r="M686">
            <v>4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BoQ_586</v>
          </cell>
          <cell r="B687">
            <v>586</v>
          </cell>
          <cell r="C687">
            <v>14</v>
          </cell>
          <cell r="D687" t="str">
            <v>Gate Valve (Flange End) 150A
Van cổng</v>
          </cell>
          <cell r="E687" t="str">
            <v>Malaysia</v>
          </cell>
          <cell r="L687" t="str">
            <v>Ea</v>
          </cell>
          <cell r="M687">
            <v>2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BoQ_587</v>
          </cell>
          <cell r="B688">
            <v>587</v>
          </cell>
          <cell r="C688">
            <v>15</v>
          </cell>
          <cell r="D688" t="str">
            <v>Gate Valve 50A
Van cổng</v>
          </cell>
          <cell r="E688" t="str">
            <v>Malaysia</v>
          </cell>
          <cell r="L688" t="str">
            <v>Ea</v>
          </cell>
          <cell r="M688">
            <v>18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BoQ_588</v>
          </cell>
          <cell r="B689">
            <v>588</v>
          </cell>
          <cell r="C689">
            <v>16</v>
          </cell>
          <cell r="D689" t="str">
            <v>Pressure switch
Công tắc dòng chảy, áp suất</v>
          </cell>
          <cell r="E689" t="str">
            <v>Korea</v>
          </cell>
          <cell r="L689" t="str">
            <v>Ea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BoQ_589</v>
          </cell>
          <cell r="B690">
            <v>589</v>
          </cell>
          <cell r="C690">
            <v>17</v>
          </cell>
          <cell r="D690" t="str">
            <v>Hose reel /w Quick Connector 50A x 20m
Cuộn vòi/ đầu nối nhanh</v>
          </cell>
          <cell r="E690" t="str">
            <v>TQ</v>
          </cell>
          <cell r="L690" t="str">
            <v>Ea</v>
          </cell>
          <cell r="M690">
            <v>18</v>
          </cell>
          <cell r="N690">
            <v>354000</v>
          </cell>
          <cell r="O690">
            <v>0</v>
          </cell>
          <cell r="P690">
            <v>361080</v>
          </cell>
          <cell r="Q690">
            <v>6499440</v>
          </cell>
          <cell r="R690">
            <v>0</v>
          </cell>
          <cell r="S690">
            <v>0</v>
          </cell>
          <cell r="T690">
            <v>361080</v>
          </cell>
          <cell r="U690">
            <v>6499440</v>
          </cell>
        </row>
        <row r="691">
          <cell r="A691" t="str">
            <v>BoQ_590</v>
          </cell>
          <cell r="B691">
            <v>590</v>
          </cell>
          <cell r="C691">
            <v>18</v>
          </cell>
          <cell r="D691" t="str">
            <v>Noozle D50
Lăng phun</v>
          </cell>
          <cell r="L691" t="str">
            <v>Ea</v>
          </cell>
          <cell r="M691">
            <v>18</v>
          </cell>
          <cell r="N691">
            <v>125900</v>
          </cell>
          <cell r="O691">
            <v>25000</v>
          </cell>
          <cell r="P691">
            <v>128418</v>
          </cell>
          <cell r="Q691">
            <v>2311524</v>
          </cell>
          <cell r="R691">
            <v>25500</v>
          </cell>
          <cell r="S691">
            <v>459000</v>
          </cell>
          <cell r="T691">
            <v>153918</v>
          </cell>
          <cell r="U691">
            <v>2770524</v>
          </cell>
        </row>
        <row r="692">
          <cell r="A692" t="str">
            <v>BoQ_591</v>
          </cell>
          <cell r="B692">
            <v>591</v>
          </cell>
          <cell r="C692">
            <v>19</v>
          </cell>
          <cell r="D692" t="str">
            <v>Angle Valve 50A
Van góc</v>
          </cell>
          <cell r="L692" t="str">
            <v>Ea</v>
          </cell>
          <cell r="M692">
            <v>18</v>
          </cell>
          <cell r="N692">
            <v>377700</v>
          </cell>
          <cell r="O692">
            <v>65000</v>
          </cell>
          <cell r="P692">
            <v>385254</v>
          </cell>
          <cell r="Q692">
            <v>6934572</v>
          </cell>
          <cell r="R692">
            <v>66300</v>
          </cell>
          <cell r="S692">
            <v>1193400</v>
          </cell>
          <cell r="T692">
            <v>451554</v>
          </cell>
          <cell r="U692">
            <v>8127972</v>
          </cell>
        </row>
        <row r="693">
          <cell r="A693" t="str">
            <v>BoQ_592</v>
          </cell>
          <cell r="B693">
            <v>592</v>
          </cell>
          <cell r="C693">
            <v>20</v>
          </cell>
          <cell r="D693" t="str">
            <v>Indoor Hydrant Box 550Wx1300Hx180D
Hộp chữa cháy trong nhà</v>
          </cell>
          <cell r="E693" t="str">
            <v>VN</v>
          </cell>
          <cell r="L693" t="str">
            <v>Ea</v>
          </cell>
          <cell r="M693">
            <v>18</v>
          </cell>
          <cell r="N693">
            <v>1196050</v>
          </cell>
          <cell r="O693">
            <v>420000</v>
          </cell>
          <cell r="P693">
            <v>1219971</v>
          </cell>
          <cell r="Q693">
            <v>21959478</v>
          </cell>
          <cell r="R693">
            <v>428400</v>
          </cell>
          <cell r="S693">
            <v>7711200</v>
          </cell>
          <cell r="T693">
            <v>1648371</v>
          </cell>
          <cell r="U693">
            <v>29670678</v>
          </cell>
        </row>
        <row r="694">
          <cell r="A694" t="str">
            <v>BoQ_593</v>
          </cell>
          <cell r="B694">
            <v>593</v>
          </cell>
          <cell r="C694">
            <v>21</v>
          </cell>
          <cell r="D694" t="str">
            <v>ABC Dry Extinguisher 4Kg
Bình chữa cháy bột ABC 4kg</v>
          </cell>
          <cell r="E694" t="str">
            <v>VN</v>
          </cell>
          <cell r="L694" t="str">
            <v>Ea</v>
          </cell>
          <cell r="M694">
            <v>124</v>
          </cell>
          <cell r="N694">
            <v>377700</v>
          </cell>
          <cell r="O694">
            <v>6000</v>
          </cell>
          <cell r="P694">
            <v>385254</v>
          </cell>
          <cell r="Q694">
            <v>47771496</v>
          </cell>
          <cell r="R694">
            <v>6120</v>
          </cell>
          <cell r="S694">
            <v>758880</v>
          </cell>
          <cell r="T694">
            <v>391374</v>
          </cell>
          <cell r="U694">
            <v>48530376</v>
          </cell>
        </row>
        <row r="695">
          <cell r="A695" t="str">
            <v>BoQ_594</v>
          </cell>
          <cell r="B695">
            <v>594</v>
          </cell>
          <cell r="C695">
            <v>22</v>
          </cell>
          <cell r="D695" t="str">
            <v>CO2 Extinguisher 3Kg
Bình chữa cháy khí CO2</v>
          </cell>
          <cell r="E695" t="str">
            <v>VN</v>
          </cell>
          <cell r="L695" t="str">
            <v>Ea</v>
          </cell>
          <cell r="M695">
            <v>62</v>
          </cell>
          <cell r="N695">
            <v>629500</v>
          </cell>
          <cell r="O695">
            <v>6000</v>
          </cell>
          <cell r="P695">
            <v>642090</v>
          </cell>
          <cell r="Q695">
            <v>39809580</v>
          </cell>
          <cell r="R695">
            <v>6120</v>
          </cell>
          <cell r="S695">
            <v>379440</v>
          </cell>
          <cell r="T695">
            <v>648210</v>
          </cell>
          <cell r="U695">
            <v>40189020</v>
          </cell>
        </row>
        <row r="696">
          <cell r="A696" t="str">
            <v>BoQ_595</v>
          </cell>
          <cell r="B696">
            <v>595</v>
          </cell>
          <cell r="C696">
            <v>23</v>
          </cell>
          <cell r="D696" t="str">
            <v>Automatic fire extinguishers ABC 8Kg
Quả cầu chữa cháy tự động</v>
          </cell>
          <cell r="E696" t="str">
            <v>VN</v>
          </cell>
          <cell r="L696" t="str">
            <v>Ea</v>
          </cell>
          <cell r="M696">
            <v>25</v>
          </cell>
          <cell r="N696">
            <v>503600</v>
          </cell>
          <cell r="O696">
            <v>25000</v>
          </cell>
          <cell r="P696">
            <v>513672</v>
          </cell>
          <cell r="Q696">
            <v>12841800</v>
          </cell>
          <cell r="R696">
            <v>25500</v>
          </cell>
          <cell r="S696">
            <v>637500</v>
          </cell>
          <cell r="T696">
            <v>539172</v>
          </cell>
          <cell r="U696">
            <v>13479300</v>
          </cell>
        </row>
        <row r="697">
          <cell r="A697" t="str">
            <v>BoQ_596</v>
          </cell>
          <cell r="B697">
            <v>596</v>
          </cell>
          <cell r="C697">
            <v>24</v>
          </cell>
          <cell r="D697" t="str">
            <v>Instruction Plate
Bảng tiêu lệnh</v>
          </cell>
          <cell r="E697" t="str">
            <v>VN</v>
          </cell>
          <cell r="L697" t="str">
            <v>Ea</v>
          </cell>
          <cell r="M697">
            <v>18</v>
          </cell>
          <cell r="N697">
            <v>151080</v>
          </cell>
          <cell r="O697">
            <v>25000</v>
          </cell>
          <cell r="P697">
            <v>154101.6</v>
          </cell>
          <cell r="Q697">
            <v>2773828.8000000003</v>
          </cell>
          <cell r="R697">
            <v>25500</v>
          </cell>
          <cell r="S697">
            <v>459000</v>
          </cell>
          <cell r="T697">
            <v>179601.6</v>
          </cell>
          <cell r="U697">
            <v>3232828.8000000003</v>
          </cell>
        </row>
        <row r="698">
          <cell r="A698" t="str">
            <v>BoQ_597</v>
          </cell>
          <cell r="B698">
            <v>597</v>
          </cell>
          <cell r="C698">
            <v>25</v>
          </cell>
          <cell r="D698" t="str">
            <v>Box for  Extinguisher
Hộp đựng bình chữa cháy</v>
          </cell>
          <cell r="E698" t="str">
            <v>VN</v>
          </cell>
          <cell r="L698" t="str">
            <v>Ea</v>
          </cell>
          <cell r="M698">
            <v>23</v>
          </cell>
          <cell r="N698">
            <v>125900</v>
          </cell>
          <cell r="O698">
            <v>6000</v>
          </cell>
          <cell r="P698">
            <v>128418</v>
          </cell>
          <cell r="Q698">
            <v>2953614</v>
          </cell>
          <cell r="R698">
            <v>6120</v>
          </cell>
          <cell r="S698">
            <v>140760</v>
          </cell>
          <cell r="T698">
            <v>134538</v>
          </cell>
          <cell r="U698">
            <v>3094374</v>
          </cell>
        </row>
        <row r="699">
          <cell r="A699" t="str">
            <v>BoQ_598</v>
          </cell>
          <cell r="B699">
            <v>598</v>
          </cell>
          <cell r="C699">
            <v>26</v>
          </cell>
          <cell r="D699" t="str">
            <v>Vật tư phụ quang treo, giá đỡ) / Accessories</v>
          </cell>
          <cell r="L699" t="str">
            <v>Lot</v>
          </cell>
          <cell r="M699">
            <v>1</v>
          </cell>
          <cell r="N699">
            <v>25900000</v>
          </cell>
          <cell r="O699">
            <v>0</v>
          </cell>
          <cell r="P699">
            <v>26418000</v>
          </cell>
          <cell r="Q699">
            <v>26418000</v>
          </cell>
          <cell r="R699">
            <v>0</v>
          </cell>
          <cell r="S699">
            <v>0</v>
          </cell>
          <cell r="T699">
            <v>26418000</v>
          </cell>
          <cell r="U699">
            <v>26418000</v>
          </cell>
        </row>
        <row r="700">
          <cell r="A700" t="str">
            <v>BoQ_599</v>
          </cell>
          <cell r="B700">
            <v>599</v>
          </cell>
          <cell r="C700">
            <v>27</v>
          </cell>
          <cell r="D700" t="str">
            <v>Painting work
Sơn ống cứu hoả</v>
          </cell>
          <cell r="L700" t="str">
            <v>Lot</v>
          </cell>
          <cell r="M700">
            <v>1</v>
          </cell>
          <cell r="N700">
            <v>50360000</v>
          </cell>
          <cell r="O700">
            <v>0</v>
          </cell>
          <cell r="P700">
            <v>51367200</v>
          </cell>
          <cell r="Q700">
            <v>51367200</v>
          </cell>
          <cell r="R700">
            <v>0</v>
          </cell>
          <cell r="S700">
            <v>0</v>
          </cell>
          <cell r="T700">
            <v>51367200</v>
          </cell>
          <cell r="U700">
            <v>51367200</v>
          </cell>
        </row>
        <row r="701">
          <cell r="A701" t="str">
            <v>BoQ_600</v>
          </cell>
          <cell r="B701">
            <v>600</v>
          </cell>
          <cell r="C701">
            <v>28</v>
          </cell>
          <cell r="D701" t="str">
            <v>Exavation &amp; backfilling soil
Đào và lấp đất</v>
          </cell>
          <cell r="L701" t="str">
            <v>Lot</v>
          </cell>
          <cell r="M701">
            <v>1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BoQ_601</v>
          </cell>
          <cell r="B702">
            <v>601</v>
          </cell>
          <cell r="C702">
            <v>29</v>
          </cell>
          <cell r="D702" t="str">
            <v>Pressure test 12kg/cm2
Kiểm tra áp suất ống tại 12kg/cm2</v>
          </cell>
          <cell r="L702" t="str">
            <v>Lot</v>
          </cell>
          <cell r="M702">
            <v>1</v>
          </cell>
          <cell r="N702">
            <v>3777000</v>
          </cell>
          <cell r="O702">
            <v>1133100</v>
          </cell>
          <cell r="P702">
            <v>3852540</v>
          </cell>
          <cell r="Q702">
            <v>3852540</v>
          </cell>
          <cell r="R702">
            <v>1155762</v>
          </cell>
          <cell r="S702">
            <v>1155762</v>
          </cell>
          <cell r="T702">
            <v>5008302</v>
          </cell>
          <cell r="U702">
            <v>5008302</v>
          </cell>
        </row>
        <row r="703">
          <cell r="A703" t="str">
            <v>BoQ_602</v>
          </cell>
          <cell r="B703">
            <v>602</v>
          </cell>
          <cell r="C703">
            <v>30</v>
          </cell>
          <cell r="D703" t="str">
            <v>Biển chỉ dẫn, sơn chỉ dẫn đường chữa cháy, lối vào trên cao
Signboards, paints indicating fire fighting routes, overhead entrances</v>
          </cell>
          <cell r="L703" t="str">
            <v>Lot</v>
          </cell>
          <cell r="M703">
            <v>1</v>
          </cell>
          <cell r="N703">
            <v>62950000</v>
          </cell>
          <cell r="O703">
            <v>18885000</v>
          </cell>
          <cell r="P703">
            <v>64209000</v>
          </cell>
          <cell r="Q703">
            <v>64209000</v>
          </cell>
          <cell r="R703">
            <v>19262700</v>
          </cell>
          <cell r="S703">
            <v>19262700</v>
          </cell>
          <cell r="T703">
            <v>83471700</v>
          </cell>
          <cell r="U703">
            <v>83471700</v>
          </cell>
        </row>
        <row r="704">
          <cell r="D704" t="str">
            <v>3. LICENSE WORK
NGHIỆM THU</v>
          </cell>
        </row>
        <row r="705">
          <cell r="A705" t="str">
            <v>BoQ_603</v>
          </cell>
          <cell r="B705">
            <v>603</v>
          </cell>
          <cell r="C705">
            <v>529</v>
          </cell>
          <cell r="D705" t="str">
            <v>Certificate for fire fighting system
Nghiệm thu hệ thống PCCC</v>
          </cell>
          <cell r="E705" t="str">
            <v>VN</v>
          </cell>
          <cell r="L705" t="str">
            <v>Lot</v>
          </cell>
          <cell r="M705">
            <v>1</v>
          </cell>
          <cell r="O705">
            <v>150000000</v>
          </cell>
          <cell r="P705">
            <v>0</v>
          </cell>
          <cell r="Q705">
            <v>0</v>
          </cell>
          <cell r="R705">
            <v>153000000</v>
          </cell>
          <cell r="S705">
            <v>153000000</v>
          </cell>
          <cell r="T705">
            <v>153000000</v>
          </cell>
          <cell r="U705">
            <v>153000000</v>
          </cell>
        </row>
        <row r="706">
          <cell r="C706">
            <v>2</v>
          </cell>
          <cell r="D706" t="str">
            <v>FIRE ALARM
BÁO CHÁY</v>
          </cell>
        </row>
        <row r="707">
          <cell r="A707" t="str">
            <v>BoQ_604</v>
          </cell>
          <cell r="B707">
            <v>604</v>
          </cell>
          <cell r="C707">
            <v>530</v>
          </cell>
          <cell r="D707" t="str">
            <v>Smoke detector
Đầu báo khói tận dụng</v>
          </cell>
          <cell r="L707" t="str">
            <v>Ea</v>
          </cell>
          <cell r="M707">
            <v>120</v>
          </cell>
          <cell r="N707">
            <v>0</v>
          </cell>
          <cell r="O707">
            <v>285300</v>
          </cell>
          <cell r="P707">
            <v>0</v>
          </cell>
          <cell r="Q707">
            <v>0</v>
          </cell>
          <cell r="R707">
            <v>291006</v>
          </cell>
          <cell r="S707">
            <v>34920720</v>
          </cell>
          <cell r="T707">
            <v>291006</v>
          </cell>
          <cell r="U707">
            <v>34920720</v>
          </cell>
        </row>
        <row r="708">
          <cell r="A708" t="str">
            <v>BoQ_605</v>
          </cell>
          <cell r="B708">
            <v>605</v>
          </cell>
          <cell r="C708">
            <v>3</v>
          </cell>
          <cell r="D708" t="str">
            <v>Smoke detector
Đầu báo khói trên trần giả lắp mới</v>
          </cell>
          <cell r="L708" t="str">
            <v>ea</v>
          </cell>
          <cell r="M708">
            <v>121</v>
          </cell>
          <cell r="N708">
            <v>289570</v>
          </cell>
          <cell r="O708">
            <v>180000</v>
          </cell>
          <cell r="P708">
            <v>295361.40000000002</v>
          </cell>
          <cell r="Q708">
            <v>35738729.400000006</v>
          </cell>
          <cell r="R708">
            <v>183600</v>
          </cell>
          <cell r="S708">
            <v>22215600</v>
          </cell>
          <cell r="T708">
            <v>478961.4</v>
          </cell>
          <cell r="U708">
            <v>57954329.400000006</v>
          </cell>
        </row>
        <row r="709">
          <cell r="A709" t="str">
            <v>BoQ_606</v>
          </cell>
          <cell r="B709">
            <v>606</v>
          </cell>
          <cell r="C709">
            <v>531</v>
          </cell>
          <cell r="D709" t="str">
            <v>Heat detector
Đầu báo nhiệt</v>
          </cell>
          <cell r="L709" t="str">
            <v>Ea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BoQ_607</v>
          </cell>
          <cell r="B710">
            <v>607</v>
          </cell>
          <cell r="C710">
            <v>532</v>
          </cell>
          <cell r="D710" t="str">
            <v>gas detector
Đầu gas</v>
          </cell>
          <cell r="L710" t="str">
            <v>Ea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BoQ_608</v>
          </cell>
          <cell r="B711">
            <v>608</v>
          </cell>
          <cell r="C711">
            <v>533</v>
          </cell>
          <cell r="D711" t="str">
            <v>FA-Combination (Push-button, Bell, Lamp)
Tổ hợp chuông đèn nút bấm</v>
          </cell>
          <cell r="L711" t="str">
            <v>Set</v>
          </cell>
          <cell r="M711">
            <v>14</v>
          </cell>
          <cell r="N711">
            <v>629500</v>
          </cell>
          <cell r="O711">
            <v>180000</v>
          </cell>
          <cell r="P711">
            <v>642090</v>
          </cell>
          <cell r="Q711">
            <v>8989260</v>
          </cell>
          <cell r="R711">
            <v>183600</v>
          </cell>
          <cell r="S711">
            <v>2570400</v>
          </cell>
          <cell r="T711">
            <v>825690</v>
          </cell>
          <cell r="U711">
            <v>11559660</v>
          </cell>
        </row>
        <row r="712">
          <cell r="A712" t="str">
            <v>BoQ_609</v>
          </cell>
          <cell r="B712">
            <v>609</v>
          </cell>
          <cell r="C712">
            <v>534</v>
          </cell>
          <cell r="D712" t="str">
            <v>Signal Cable
Cáp tín hiệu chống cháy</v>
          </cell>
          <cell r="E712" t="str">
            <v>Cu/XLPE/Mica/Fr-PVC-S  30P-2x1,5mm2</v>
          </cell>
          <cell r="L712" t="str">
            <v>m</v>
          </cell>
          <cell r="M712">
            <v>300.30000000000007</v>
          </cell>
          <cell r="N712">
            <v>543888</v>
          </cell>
          <cell r="O712">
            <v>163166</v>
          </cell>
          <cell r="P712">
            <v>554765.76</v>
          </cell>
          <cell r="Q712">
            <v>166596157.72800004</v>
          </cell>
          <cell r="R712">
            <v>166429.32</v>
          </cell>
          <cell r="S712">
            <v>49978724.796000011</v>
          </cell>
          <cell r="T712">
            <v>721195.08000000007</v>
          </cell>
          <cell r="U712">
            <v>216574882.52400008</v>
          </cell>
        </row>
        <row r="713">
          <cell r="A713" t="str">
            <v>BoQ_610</v>
          </cell>
          <cell r="B713">
            <v>610</v>
          </cell>
          <cell r="C713">
            <v>535</v>
          </cell>
          <cell r="D713" t="str">
            <v>Signal Cable
Cáp tín hiệu chống cháy</v>
          </cell>
          <cell r="E713" t="str">
            <v>Cu/XLPE/Mica/Fr-PVC-S  2C-1,5mm2</v>
          </cell>
          <cell r="L713" t="str">
            <v>m</v>
          </cell>
          <cell r="M713">
            <v>3620.5800000000004</v>
          </cell>
          <cell r="N713">
            <v>23921</v>
          </cell>
          <cell r="O713">
            <v>4400</v>
          </cell>
          <cell r="P713">
            <v>24399.420000000002</v>
          </cell>
          <cell r="Q713">
            <v>88340052.063600019</v>
          </cell>
          <cell r="R713">
            <v>4488</v>
          </cell>
          <cell r="S713">
            <v>16249163.040000001</v>
          </cell>
          <cell r="T713">
            <v>28887.420000000002</v>
          </cell>
          <cell r="U713">
            <v>104589215.10360003</v>
          </cell>
        </row>
        <row r="714">
          <cell r="A714" t="str">
            <v>BoQ_611</v>
          </cell>
          <cell r="B714">
            <v>611</v>
          </cell>
          <cell r="C714">
            <v>536</v>
          </cell>
          <cell r="D714" t="str">
            <v>PVC conduit
Ống luồn PVC</v>
          </cell>
          <cell r="E714" t="str">
            <v>D20</v>
          </cell>
          <cell r="L714" t="str">
            <v>m</v>
          </cell>
          <cell r="M714">
            <v>3045</v>
          </cell>
          <cell r="N714">
            <v>10000</v>
          </cell>
          <cell r="O714">
            <v>6000</v>
          </cell>
          <cell r="P714">
            <v>10200</v>
          </cell>
          <cell r="Q714">
            <v>31059000</v>
          </cell>
          <cell r="R714">
            <v>6120</v>
          </cell>
          <cell r="S714">
            <v>18635400</v>
          </cell>
          <cell r="T714">
            <v>16320</v>
          </cell>
          <cell r="U714">
            <v>49694400</v>
          </cell>
        </row>
        <row r="715">
          <cell r="A715" t="str">
            <v>BoQ_612</v>
          </cell>
          <cell r="B715">
            <v>612</v>
          </cell>
          <cell r="C715">
            <v>537</v>
          </cell>
          <cell r="D715" t="str">
            <v>HDPE conduit
Ống gân xoắn HDPE 40/32</v>
          </cell>
          <cell r="E715" t="str">
            <v>D40/32</v>
          </cell>
          <cell r="L715" t="str">
            <v>m</v>
          </cell>
          <cell r="M715">
            <v>187.68750000000006</v>
          </cell>
          <cell r="N715">
            <v>13849</v>
          </cell>
          <cell r="O715">
            <v>5228</v>
          </cell>
          <cell r="P715">
            <v>14125.98</v>
          </cell>
          <cell r="Q715">
            <v>2651269.8712500008</v>
          </cell>
          <cell r="R715">
            <v>5332.56</v>
          </cell>
          <cell r="S715">
            <v>1000854.8550000003</v>
          </cell>
          <cell r="T715">
            <v>19458.54</v>
          </cell>
          <cell r="U715">
            <v>3652124.7262500012</v>
          </cell>
        </row>
        <row r="716">
          <cell r="A716" t="str">
            <v>BoQ_613</v>
          </cell>
          <cell r="B716">
            <v>613</v>
          </cell>
          <cell r="C716">
            <v>538</v>
          </cell>
          <cell r="D716" t="str">
            <v>Fitting &amp; Conduit accessory
Phụ kiện ống</v>
          </cell>
          <cell r="L716" t="str">
            <v>Lot</v>
          </cell>
          <cell r="M716">
            <v>1</v>
          </cell>
          <cell r="N716">
            <v>11325007</v>
          </cell>
          <cell r="O716">
            <v>3500000</v>
          </cell>
          <cell r="P716">
            <v>11551507.140000001</v>
          </cell>
          <cell r="Q716">
            <v>11551507.140000001</v>
          </cell>
          <cell r="R716">
            <v>3570000</v>
          </cell>
          <cell r="S716">
            <v>3570000</v>
          </cell>
          <cell r="T716">
            <v>15121507.140000001</v>
          </cell>
          <cell r="U716">
            <v>15121507.140000001</v>
          </cell>
        </row>
        <row r="717">
          <cell r="A717" t="str">
            <v>BoQ_614</v>
          </cell>
          <cell r="B717">
            <v>614</v>
          </cell>
          <cell r="C717">
            <v>539</v>
          </cell>
          <cell r="D717" t="str">
            <v>Emegency lighting
Đèn sự cố</v>
          </cell>
          <cell r="E717" t="str">
            <v>LED 2x5W,paragon</v>
          </cell>
          <cell r="L717" t="str">
            <v>Ea</v>
          </cell>
          <cell r="M717">
            <v>67</v>
          </cell>
          <cell r="N717">
            <v>956840</v>
          </cell>
          <cell r="O717">
            <v>180000</v>
          </cell>
          <cell r="P717">
            <v>975976.8</v>
          </cell>
          <cell r="Q717">
            <v>65390445.600000001</v>
          </cell>
          <cell r="R717">
            <v>183600</v>
          </cell>
          <cell r="S717">
            <v>12301200</v>
          </cell>
          <cell r="T717">
            <v>1159576.8</v>
          </cell>
          <cell r="U717">
            <v>77691645.600000009</v>
          </cell>
        </row>
        <row r="718">
          <cell r="A718" t="str">
            <v>BoQ_615</v>
          </cell>
          <cell r="B718">
            <v>615</v>
          </cell>
          <cell r="C718">
            <v>540</v>
          </cell>
          <cell r="D718" t="str">
            <v>Exit lighting 
Đèn exit</v>
          </cell>
          <cell r="E718" t="str">
            <v>LED 8W, paragon</v>
          </cell>
          <cell r="L718" t="str">
            <v>Ea</v>
          </cell>
          <cell r="M718">
            <v>49</v>
          </cell>
          <cell r="N718">
            <v>1636700</v>
          </cell>
          <cell r="O718">
            <v>180000</v>
          </cell>
          <cell r="P718">
            <v>1669434</v>
          </cell>
          <cell r="Q718">
            <v>81802266</v>
          </cell>
          <cell r="R718">
            <v>183600</v>
          </cell>
          <cell r="S718">
            <v>8996400</v>
          </cell>
          <cell r="T718">
            <v>1853034</v>
          </cell>
          <cell r="U718">
            <v>90798666</v>
          </cell>
        </row>
        <row r="719">
          <cell r="A719" t="str">
            <v>BoQ_616</v>
          </cell>
          <cell r="B719">
            <v>616</v>
          </cell>
          <cell r="C719">
            <v>541</v>
          </cell>
          <cell r="D719" t="str">
            <v>Socket for Emegency lighting
Ổ cắm đèn sự cố</v>
          </cell>
          <cell r="E719" t="str">
            <v>Single type, 2P+E</v>
          </cell>
          <cell r="L719" t="str">
            <v>Ea</v>
          </cell>
          <cell r="M719">
            <v>67</v>
          </cell>
          <cell r="N719">
            <v>31475</v>
          </cell>
          <cell r="O719">
            <v>35000</v>
          </cell>
          <cell r="P719">
            <v>32104.5</v>
          </cell>
          <cell r="Q719">
            <v>2151001.5</v>
          </cell>
          <cell r="R719">
            <v>35700</v>
          </cell>
          <cell r="S719">
            <v>2391900</v>
          </cell>
          <cell r="T719">
            <v>67804.5</v>
          </cell>
          <cell r="U719">
            <v>4542901.5</v>
          </cell>
        </row>
        <row r="720">
          <cell r="A720" t="str">
            <v>BoQ_617</v>
          </cell>
          <cell r="B720">
            <v>617</v>
          </cell>
          <cell r="C720">
            <v>542</v>
          </cell>
          <cell r="D720" t="str">
            <v>Power Cable
Cáp nguồn chuông đèn</v>
          </cell>
          <cell r="E720" t="str">
            <v>Cu/PVC 2x1.5sqmm</v>
          </cell>
          <cell r="L720" t="str">
            <v>m</v>
          </cell>
          <cell r="M720">
            <v>1780</v>
          </cell>
          <cell r="N720">
            <v>17626</v>
          </cell>
          <cell r="O720">
            <v>4118</v>
          </cell>
          <cell r="P720">
            <v>17978.52</v>
          </cell>
          <cell r="Q720">
            <v>32001765.600000001</v>
          </cell>
          <cell r="R720">
            <v>4200.3599999999997</v>
          </cell>
          <cell r="S720">
            <v>7476640.7999999998</v>
          </cell>
          <cell r="T720">
            <v>22178.880000000001</v>
          </cell>
          <cell r="U720">
            <v>39478406.399999999</v>
          </cell>
        </row>
        <row r="721">
          <cell r="A721" t="str">
            <v>BoQ_618</v>
          </cell>
          <cell r="B721">
            <v>618</v>
          </cell>
          <cell r="C721">
            <v>543</v>
          </cell>
          <cell r="D721" t="str">
            <v>PVC conduit
Ống luồn cứng PVC</v>
          </cell>
          <cell r="E721" t="str">
            <v>D20</v>
          </cell>
          <cell r="L721" t="str">
            <v>m</v>
          </cell>
          <cell r="M721">
            <v>1200</v>
          </cell>
          <cell r="N721">
            <v>10000</v>
          </cell>
          <cell r="O721">
            <v>6000</v>
          </cell>
          <cell r="P721">
            <v>10200</v>
          </cell>
          <cell r="Q721">
            <v>12240000</v>
          </cell>
          <cell r="R721">
            <v>6120</v>
          </cell>
          <cell r="S721">
            <v>7344000</v>
          </cell>
          <cell r="T721">
            <v>16320</v>
          </cell>
          <cell r="U721">
            <v>19584000</v>
          </cell>
        </row>
        <row r="722">
          <cell r="A722" t="str">
            <v>BoQ_619</v>
          </cell>
          <cell r="B722">
            <v>619</v>
          </cell>
          <cell r="C722">
            <v>544</v>
          </cell>
          <cell r="D722" t="str">
            <v>Junction Box pvc 100x100
Hộp nối 100x100</v>
          </cell>
          <cell r="L722" t="str">
            <v>Ea</v>
          </cell>
          <cell r="M722">
            <v>155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</row>
        <row r="723">
          <cell r="A723" t="str">
            <v>BoQ_620</v>
          </cell>
          <cell r="B723">
            <v>620</v>
          </cell>
          <cell r="C723">
            <v>545</v>
          </cell>
          <cell r="D723" t="str">
            <v>Conection &amp; Testing Fee
Kết nối và kiêm tra hệ thống</v>
          </cell>
          <cell r="L723" t="str">
            <v>Lot</v>
          </cell>
          <cell r="M723">
            <v>1</v>
          </cell>
          <cell r="N723">
            <v>18885000</v>
          </cell>
          <cell r="O723">
            <v>5665500</v>
          </cell>
          <cell r="P723">
            <v>19262700</v>
          </cell>
          <cell r="Q723">
            <v>19262700</v>
          </cell>
          <cell r="R723">
            <v>5778810</v>
          </cell>
          <cell r="S723">
            <v>5778810</v>
          </cell>
          <cell r="T723">
            <v>25041510</v>
          </cell>
          <cell r="U723">
            <v>25041510</v>
          </cell>
        </row>
        <row r="724">
          <cell r="A724" t="str">
            <v>BoQ_621</v>
          </cell>
          <cell r="B724">
            <v>621</v>
          </cell>
          <cell r="C724">
            <v>546</v>
          </cell>
          <cell r="D724" t="str">
            <v>Accessories
Vật tư phụ</v>
          </cell>
          <cell r="L724" t="str">
            <v>Lot</v>
          </cell>
          <cell r="M724">
            <v>1</v>
          </cell>
          <cell r="N724">
            <v>37770000</v>
          </cell>
          <cell r="O724">
            <v>22662000</v>
          </cell>
          <cell r="P724">
            <v>38525400</v>
          </cell>
          <cell r="Q724">
            <v>38525400</v>
          </cell>
          <cell r="R724">
            <v>23115240</v>
          </cell>
          <cell r="S724">
            <v>23115240</v>
          </cell>
          <cell r="T724">
            <v>61640640</v>
          </cell>
          <cell r="U724">
            <v>61640640</v>
          </cell>
        </row>
        <row r="725">
          <cell r="A725" t="str">
            <v>BoQ_622</v>
          </cell>
          <cell r="B725">
            <v>622</v>
          </cell>
          <cell r="C725">
            <v>547</v>
          </cell>
          <cell r="D725" t="str">
            <v>Transportation Fee
Chi phí vận chuyển</v>
          </cell>
          <cell r="L725" t="str">
            <v>Lot</v>
          </cell>
          <cell r="M725">
            <v>1</v>
          </cell>
          <cell r="O725">
            <v>5000000</v>
          </cell>
          <cell r="P725">
            <v>0</v>
          </cell>
          <cell r="Q725">
            <v>0</v>
          </cell>
          <cell r="R725">
            <v>5100000</v>
          </cell>
          <cell r="S725">
            <v>5100000</v>
          </cell>
          <cell r="T725">
            <v>5100000</v>
          </cell>
          <cell r="U725">
            <v>5100000</v>
          </cell>
        </row>
        <row r="726">
          <cell r="A726" t="str">
            <v>BoQ_623</v>
          </cell>
          <cell r="B726">
            <v>623</v>
          </cell>
          <cell r="C726">
            <v>548</v>
          </cell>
          <cell r="D726" t="str">
            <v>Exit lighting 
Đèn exit chỉ hướng</v>
          </cell>
          <cell r="E726" t="str">
            <v>LED 8W</v>
          </cell>
          <cell r="F726" t="str">
            <v>Ea</v>
          </cell>
          <cell r="L726" t="str">
            <v>Ea</v>
          </cell>
          <cell r="N726">
            <v>1636700</v>
          </cell>
          <cell r="O726">
            <v>180000</v>
          </cell>
          <cell r="P726">
            <v>1669434</v>
          </cell>
          <cell r="Q726">
            <v>0</v>
          </cell>
          <cell r="R726">
            <v>183600</v>
          </cell>
          <cell r="S726">
            <v>0</v>
          </cell>
          <cell r="T726">
            <v>1853034</v>
          </cell>
          <cell r="U726">
            <v>0</v>
          </cell>
        </row>
        <row r="727">
          <cell r="A727" t="str">
            <v>BoQ_624</v>
          </cell>
          <cell r="B727">
            <v>624</v>
          </cell>
          <cell r="C727">
            <v>549</v>
          </cell>
          <cell r="D727" t="str">
            <v>Emegency lighting
Đèn sự cố tận dụng</v>
          </cell>
          <cell r="E727" t="str">
            <v>LED 2x5W</v>
          </cell>
          <cell r="F727" t="str">
            <v>Ea</v>
          </cell>
          <cell r="L727" t="str">
            <v>Ea</v>
          </cell>
          <cell r="O727">
            <v>283500</v>
          </cell>
          <cell r="P727">
            <v>0</v>
          </cell>
          <cell r="Q727">
            <v>0</v>
          </cell>
          <cell r="R727">
            <v>289170</v>
          </cell>
          <cell r="S727">
            <v>0</v>
          </cell>
          <cell r="T727">
            <v>289170</v>
          </cell>
          <cell r="U727">
            <v>0</v>
          </cell>
        </row>
        <row r="728">
          <cell r="A728" t="str">
            <v>BoQ_625</v>
          </cell>
          <cell r="B728">
            <v>625</v>
          </cell>
          <cell r="C728">
            <v>550</v>
          </cell>
          <cell r="D728" t="str">
            <v>Exit lighting 
Đèn exit tận dụng</v>
          </cell>
          <cell r="E728" t="str">
            <v>LED 8W</v>
          </cell>
          <cell r="F728" t="str">
            <v>Ea</v>
          </cell>
          <cell r="L728" t="str">
            <v>Ea</v>
          </cell>
          <cell r="O728">
            <v>283500</v>
          </cell>
          <cell r="P728">
            <v>0</v>
          </cell>
          <cell r="Q728">
            <v>0</v>
          </cell>
          <cell r="R728">
            <v>289170</v>
          </cell>
          <cell r="S728">
            <v>0</v>
          </cell>
          <cell r="T728">
            <v>289170</v>
          </cell>
          <cell r="U728">
            <v>0</v>
          </cell>
        </row>
        <row r="729">
          <cell r="D729" t="str">
            <v>SMOKE EXHAUST SYSTEM
HỆ THỐNG HÚT KHÓI</v>
          </cell>
        </row>
        <row r="730">
          <cell r="A730" t="str">
            <v>BoQ_626</v>
          </cell>
          <cell r="B730">
            <v>626</v>
          </cell>
          <cell r="C730">
            <v>1</v>
          </cell>
          <cell r="D730" t="str">
            <v>Smoke exhaust  Fan 60000 CMH, 500PA
Quạt hút khói</v>
          </cell>
          <cell r="E730" t="str">
            <v>System pan</v>
          </cell>
          <cell r="L730" t="str">
            <v>Set</v>
          </cell>
          <cell r="M730">
            <v>3</v>
          </cell>
          <cell r="N730">
            <v>40288000</v>
          </cell>
          <cell r="O730">
            <v>3540000</v>
          </cell>
          <cell r="P730">
            <v>41093760</v>
          </cell>
          <cell r="Q730">
            <v>123281280</v>
          </cell>
          <cell r="R730">
            <v>3610800</v>
          </cell>
          <cell r="S730">
            <v>10832400</v>
          </cell>
          <cell r="T730">
            <v>44704560</v>
          </cell>
          <cell r="U730">
            <v>134113680</v>
          </cell>
        </row>
        <row r="731">
          <cell r="A731" t="str">
            <v>BoQ_627</v>
          </cell>
          <cell r="B731">
            <v>627</v>
          </cell>
          <cell r="C731">
            <v>2</v>
          </cell>
          <cell r="D731" t="str">
            <v>Smoke exhaust Fan 30000 CMH, 400PA
Quạt hút khói</v>
          </cell>
          <cell r="E731" t="str">
            <v>System pan</v>
          </cell>
          <cell r="L731" t="str">
            <v>Set</v>
          </cell>
          <cell r="M731">
            <v>1</v>
          </cell>
          <cell r="N731">
            <v>27194400</v>
          </cell>
          <cell r="O731">
            <v>3363000</v>
          </cell>
          <cell r="P731">
            <v>27738288</v>
          </cell>
          <cell r="Q731">
            <v>27738288</v>
          </cell>
          <cell r="R731">
            <v>3430260</v>
          </cell>
          <cell r="S731">
            <v>3430260</v>
          </cell>
          <cell r="T731">
            <v>31168548</v>
          </cell>
          <cell r="U731">
            <v>31168548</v>
          </cell>
        </row>
        <row r="732">
          <cell r="A732" t="str">
            <v>BoQ_628</v>
          </cell>
          <cell r="B732">
            <v>628</v>
          </cell>
          <cell r="C732">
            <v>3</v>
          </cell>
          <cell r="D732" t="str">
            <v>Giá treo quạt
Fan supporting</v>
          </cell>
          <cell r="L732" t="str">
            <v>Set</v>
          </cell>
          <cell r="M732">
            <v>4</v>
          </cell>
          <cell r="N732">
            <v>1064032</v>
          </cell>
          <cell r="O732">
            <v>319209</v>
          </cell>
          <cell r="P732">
            <v>1085312.6400000001</v>
          </cell>
          <cell r="Q732">
            <v>4341250.5600000005</v>
          </cell>
          <cell r="R732">
            <v>325593.18</v>
          </cell>
          <cell r="S732">
            <v>1302372.72</v>
          </cell>
          <cell r="T732">
            <v>1410905.82</v>
          </cell>
          <cell r="U732">
            <v>5643623.2800000003</v>
          </cell>
        </row>
        <row r="733">
          <cell r="A733" t="str">
            <v>BoQ_629</v>
          </cell>
          <cell r="B733">
            <v>629</v>
          </cell>
          <cell r="C733">
            <v>4</v>
          </cell>
          <cell r="D733" t="str">
            <v>Mái che mưa kèm lưới 
Rain cover with mesh</v>
          </cell>
          <cell r="L733" t="str">
            <v>Set</v>
          </cell>
          <cell r="M733">
            <v>4</v>
          </cell>
          <cell r="N733">
            <v>1702168</v>
          </cell>
          <cell r="O733">
            <v>202500</v>
          </cell>
          <cell r="P733">
            <v>1736211.36</v>
          </cell>
          <cell r="Q733">
            <v>6944845.4400000004</v>
          </cell>
          <cell r="R733">
            <v>206550</v>
          </cell>
          <cell r="S733">
            <v>826200</v>
          </cell>
          <cell r="T733">
            <v>1942761.36</v>
          </cell>
          <cell r="U733">
            <v>7771045.4400000004</v>
          </cell>
        </row>
        <row r="734">
          <cell r="A734" t="str">
            <v>BoQ_630</v>
          </cell>
          <cell r="B734">
            <v>630</v>
          </cell>
          <cell r="C734">
            <v>5</v>
          </cell>
          <cell r="D734" t="str">
            <v>Côn thu đầu quạt
Cover ducting for fan</v>
          </cell>
          <cell r="L734" t="str">
            <v>Set</v>
          </cell>
          <cell r="M734">
            <v>4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BoQ_631</v>
          </cell>
          <cell r="B735">
            <v>631</v>
          </cell>
          <cell r="C735">
            <v>6</v>
          </cell>
          <cell r="D735" t="str">
            <v>Bạt nối mềm cho quạt
Flexible sheet</v>
          </cell>
          <cell r="L735" t="str">
            <v>Set</v>
          </cell>
          <cell r="M735">
            <v>8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BoQ_632</v>
          </cell>
          <cell r="B736">
            <v>632</v>
          </cell>
          <cell r="C736">
            <v>7</v>
          </cell>
          <cell r="D736" t="str">
            <v>GI sheet duct  (EI30)
Ống gió bọc vật liệu chống cháy EI30, EI45</v>
          </cell>
          <cell r="E736" t="str">
            <v>Bọc thạch cao chống cháy</v>
          </cell>
          <cell r="L736" t="str">
            <v>m2</v>
          </cell>
          <cell r="M736">
            <v>1280.576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BoQ_633</v>
          </cell>
          <cell r="B737">
            <v>633</v>
          </cell>
          <cell r="C737">
            <v>8</v>
          </cell>
          <cell r="D737" t="str">
            <v>Quang treo ống gió
Hanger</v>
          </cell>
          <cell r="L737" t="str">
            <v>m2</v>
          </cell>
          <cell r="M737">
            <v>1280.576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BoQ_634</v>
          </cell>
          <cell r="B738">
            <v>634</v>
          </cell>
          <cell r="C738">
            <v>9</v>
          </cell>
          <cell r="D738" t="str">
            <v>Phụ kiện, kẹp xà gồ, vít</v>
          </cell>
          <cell r="L738" t="str">
            <v>lot</v>
          </cell>
          <cell r="M738">
            <v>1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BoQ_635</v>
          </cell>
          <cell r="B739">
            <v>635</v>
          </cell>
          <cell r="C739">
            <v>10</v>
          </cell>
          <cell r="D739" t="str">
            <v>Cover for exhaust fan EI45
Bọc quạt hút khói EI45</v>
          </cell>
          <cell r="L739" t="str">
            <v>bộ</v>
          </cell>
          <cell r="M739">
            <v>4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BoQ_636</v>
          </cell>
          <cell r="B740">
            <v>636</v>
          </cell>
          <cell r="C740">
            <v>11</v>
          </cell>
          <cell r="D740" t="str">
            <v>Chi phí kiểm định ống gió, quạt
Cost of inspecting ducts and fans</v>
          </cell>
          <cell r="L740" t="str">
            <v>lot</v>
          </cell>
          <cell r="M740">
            <v>1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BoQ_637</v>
          </cell>
          <cell r="B741">
            <v>637</v>
          </cell>
          <cell r="C741">
            <v>12</v>
          </cell>
          <cell r="D741" t="str">
            <v>Côn thu 
Reducer</v>
          </cell>
          <cell r="L741" t="str">
            <v>Ea</v>
          </cell>
          <cell r="M741">
            <v>30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BoQ_638</v>
          </cell>
          <cell r="B742">
            <v>638</v>
          </cell>
          <cell r="C742">
            <v>13</v>
          </cell>
          <cell r="D742" t="str">
            <v>Hộp cửa  gió  600x600 / Box diffuser 600x600</v>
          </cell>
          <cell r="L742" t="str">
            <v>Ea</v>
          </cell>
          <cell r="M742">
            <v>24</v>
          </cell>
          <cell r="N742">
            <v>686155</v>
          </cell>
          <cell r="O742">
            <v>420000</v>
          </cell>
          <cell r="P742">
            <v>699878.1</v>
          </cell>
          <cell r="Q742">
            <v>16797074.399999999</v>
          </cell>
          <cell r="R742">
            <v>428400</v>
          </cell>
          <cell r="S742">
            <v>10281600</v>
          </cell>
          <cell r="T742">
            <v>1128278.1000000001</v>
          </cell>
          <cell r="U742">
            <v>27078674.400000002</v>
          </cell>
        </row>
        <row r="743">
          <cell r="A743" t="str">
            <v>BoQ_639</v>
          </cell>
          <cell r="B743">
            <v>639</v>
          </cell>
          <cell r="C743">
            <v>14</v>
          </cell>
          <cell r="D743" t="str">
            <v>Miệng hút khói EAG 600x600 + OBD / Air grill 600x600</v>
          </cell>
          <cell r="L743" t="str">
            <v>Ea</v>
          </cell>
          <cell r="M743">
            <v>24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BoQ_640</v>
          </cell>
          <cell r="B744">
            <v>640</v>
          </cell>
          <cell r="C744">
            <v>15</v>
          </cell>
          <cell r="D744" t="str">
            <v>Chân rẽ / Branch</v>
          </cell>
          <cell r="L744" t="str">
            <v>Ea</v>
          </cell>
          <cell r="M744">
            <v>45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BoQ_641</v>
          </cell>
          <cell r="B745">
            <v>641</v>
          </cell>
          <cell r="C745">
            <v>16</v>
          </cell>
          <cell r="D745" t="str">
            <v>Lắp đặt ống gió</v>
          </cell>
          <cell r="L745" t="str">
            <v>m2</v>
          </cell>
          <cell r="M745">
            <v>1280.576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BoQ_642</v>
          </cell>
          <cell r="B746">
            <v>642</v>
          </cell>
          <cell r="C746">
            <v>17</v>
          </cell>
          <cell r="D746" t="str">
            <v>Power Cable
Cáp nguồn</v>
          </cell>
          <cell r="E746" t="str">
            <v>Fr/Cu/Xlpe/Pvc (3x10+1x6)mm2</v>
          </cell>
          <cell r="L746" t="str">
            <v>m</v>
          </cell>
          <cell r="M746">
            <v>420</v>
          </cell>
          <cell r="N746">
            <v>99406</v>
          </cell>
          <cell r="O746">
            <v>28575</v>
          </cell>
          <cell r="P746">
            <v>101394.12</v>
          </cell>
          <cell r="Q746">
            <v>42585530.399999999</v>
          </cell>
          <cell r="R746">
            <v>29146.5</v>
          </cell>
          <cell r="S746">
            <v>12241530</v>
          </cell>
          <cell r="T746">
            <v>130540.62</v>
          </cell>
          <cell r="U746">
            <v>54827060.399999999</v>
          </cell>
        </row>
        <row r="747">
          <cell r="A747" t="str">
            <v>BoQ_643</v>
          </cell>
          <cell r="B747">
            <v>643</v>
          </cell>
          <cell r="C747">
            <v>18</v>
          </cell>
          <cell r="D747" t="str">
            <v>PVC conduit
Ống luồn PVC</v>
          </cell>
          <cell r="E747" t="str">
            <v>PVCd32</v>
          </cell>
          <cell r="L747" t="str">
            <v>m</v>
          </cell>
          <cell r="M747">
            <v>420</v>
          </cell>
          <cell r="N747">
            <v>13000</v>
          </cell>
          <cell r="O747">
            <v>10000</v>
          </cell>
          <cell r="P747">
            <v>13260</v>
          </cell>
          <cell r="Q747">
            <v>5569200</v>
          </cell>
          <cell r="R747">
            <v>10200</v>
          </cell>
          <cell r="S747">
            <v>4284000</v>
          </cell>
          <cell r="T747">
            <v>23460</v>
          </cell>
          <cell r="U747">
            <v>9853200</v>
          </cell>
        </row>
        <row r="748">
          <cell r="A748" t="str">
            <v>BoQ_644</v>
          </cell>
          <cell r="B748">
            <v>644</v>
          </cell>
          <cell r="C748">
            <v>19</v>
          </cell>
          <cell r="D748" t="str">
            <v>Signal Cable
Cáp tín hiệu</v>
          </cell>
          <cell r="E748" t="str">
            <v>Fr/Cu/Xlpe/Pvc 2x1.5 mm2</v>
          </cell>
          <cell r="L748" t="str">
            <v>m</v>
          </cell>
          <cell r="M748">
            <v>420</v>
          </cell>
          <cell r="N748">
            <v>17626</v>
          </cell>
          <cell r="O748">
            <v>4118</v>
          </cell>
          <cell r="P748">
            <v>17978.52</v>
          </cell>
          <cell r="Q748">
            <v>7550978.4000000004</v>
          </cell>
          <cell r="R748">
            <v>4200.3599999999997</v>
          </cell>
          <cell r="S748">
            <v>1764151.2</v>
          </cell>
          <cell r="T748">
            <v>22178.880000000001</v>
          </cell>
          <cell r="U748">
            <v>9315129.5999999996</v>
          </cell>
        </row>
        <row r="749">
          <cell r="A749" t="str">
            <v>BoQ_645</v>
          </cell>
          <cell r="B749">
            <v>645</v>
          </cell>
          <cell r="C749">
            <v>20</v>
          </cell>
          <cell r="D749" t="str">
            <v>PVC conduit
Ống luồn PVC</v>
          </cell>
          <cell r="E749" t="str">
            <v>HDPE D32/25</v>
          </cell>
          <cell r="L749" t="str">
            <v>m</v>
          </cell>
          <cell r="M749">
            <v>300</v>
          </cell>
          <cell r="N749">
            <v>13000</v>
          </cell>
          <cell r="O749">
            <v>10000</v>
          </cell>
          <cell r="P749">
            <v>13260</v>
          </cell>
          <cell r="Q749">
            <v>3978000</v>
          </cell>
          <cell r="R749">
            <v>10200</v>
          </cell>
          <cell r="S749">
            <v>3060000</v>
          </cell>
          <cell r="T749">
            <v>23460</v>
          </cell>
          <cell r="U749">
            <v>7038000</v>
          </cell>
        </row>
        <row r="750">
          <cell r="A750" t="str">
            <v>BoQ_646</v>
          </cell>
          <cell r="B750">
            <v>646</v>
          </cell>
          <cell r="C750">
            <v>21</v>
          </cell>
          <cell r="D750" t="str">
            <v>Giá đỡ ống gió 
Ducting supporter</v>
          </cell>
          <cell r="L750" t="str">
            <v>Lot</v>
          </cell>
          <cell r="M750">
            <v>1</v>
          </cell>
          <cell r="N750">
            <v>138324266</v>
          </cell>
          <cell r="O750">
            <v>41497279</v>
          </cell>
          <cell r="P750">
            <v>141090751.31999999</v>
          </cell>
          <cell r="Q750">
            <v>141090751.31999999</v>
          </cell>
          <cell r="R750">
            <v>42327224.579999998</v>
          </cell>
          <cell r="S750">
            <v>42327224.579999998</v>
          </cell>
          <cell r="T750">
            <v>183417975.89999998</v>
          </cell>
          <cell r="U750">
            <v>183417975.89999998</v>
          </cell>
        </row>
        <row r="751">
          <cell r="A751" t="str">
            <v>BoQ_647</v>
          </cell>
          <cell r="B751">
            <v>647</v>
          </cell>
          <cell r="C751">
            <v>22</v>
          </cell>
          <cell r="D751" t="str">
            <v>Accessory
Phụ kiện</v>
          </cell>
          <cell r="L751" t="str">
            <v>Lot</v>
          </cell>
          <cell r="M751">
            <v>1</v>
          </cell>
          <cell r="N751">
            <v>45772161</v>
          </cell>
          <cell r="O751">
            <v>13731648</v>
          </cell>
          <cell r="P751">
            <v>46687604.219999999</v>
          </cell>
          <cell r="Q751">
            <v>46687604.219999999</v>
          </cell>
          <cell r="R751">
            <v>14006280.960000001</v>
          </cell>
          <cell r="S751">
            <v>14006280.960000001</v>
          </cell>
          <cell r="T751">
            <v>60693885.18</v>
          </cell>
          <cell r="U751">
            <v>60693885.18</v>
          </cell>
        </row>
        <row r="752">
          <cell r="A752" t="str">
            <v>BoQ_648</v>
          </cell>
          <cell r="B752">
            <v>648</v>
          </cell>
          <cell r="C752">
            <v>23</v>
          </cell>
          <cell r="D752" t="str">
            <v>Vận chuyển
Transportation</v>
          </cell>
          <cell r="L752" t="str">
            <v>Lot</v>
          </cell>
          <cell r="M752">
            <v>1</v>
          </cell>
          <cell r="N752">
            <v>0</v>
          </cell>
          <cell r="O752">
            <v>5000000</v>
          </cell>
          <cell r="P752">
            <v>0</v>
          </cell>
          <cell r="Q752">
            <v>0</v>
          </cell>
          <cell r="R752">
            <v>5100000</v>
          </cell>
          <cell r="S752">
            <v>5100000</v>
          </cell>
          <cell r="T752">
            <v>5100000</v>
          </cell>
          <cell r="U752">
            <v>5100000</v>
          </cell>
        </row>
        <row r="753">
          <cell r="A753" t="str">
            <v>BoQ_649</v>
          </cell>
          <cell r="B753">
            <v>649</v>
          </cell>
          <cell r="C753">
            <v>74</v>
          </cell>
          <cell r="D753" t="str">
            <v>Axial compensating air supply fan
Quạt cấp khí bù hướng trục</v>
          </cell>
          <cell r="E753" t="str">
            <v>Q=65.000 m3/h, H=500 Pa</v>
          </cell>
          <cell r="F753" t="str">
            <v>Set</v>
          </cell>
          <cell r="L753" t="str">
            <v>Set</v>
          </cell>
          <cell r="N753">
            <v>40288000</v>
          </cell>
          <cell r="O753">
            <v>3540000</v>
          </cell>
          <cell r="P753">
            <v>41093760</v>
          </cell>
          <cell r="Q753">
            <v>0</v>
          </cell>
          <cell r="R753">
            <v>3610800</v>
          </cell>
          <cell r="S753">
            <v>0</v>
          </cell>
          <cell r="T753">
            <v>44704560</v>
          </cell>
          <cell r="U753">
            <v>0</v>
          </cell>
        </row>
        <row r="754">
          <cell r="A754" t="str">
            <v>BoQ_650</v>
          </cell>
          <cell r="B754">
            <v>650</v>
          </cell>
          <cell r="C754">
            <v>75</v>
          </cell>
          <cell r="D754" t="str">
            <v>Axial compensating air supply fan
Quạt cấp khí bù hướng trục</v>
          </cell>
          <cell r="E754" t="str">
            <v>Q=33.000 m3/h, H=200 Pa</v>
          </cell>
          <cell r="F754" t="str">
            <v>Set</v>
          </cell>
          <cell r="L754" t="str">
            <v>Set</v>
          </cell>
          <cell r="N754">
            <v>27194400</v>
          </cell>
          <cell r="O754">
            <v>3363000</v>
          </cell>
          <cell r="P754">
            <v>27738288</v>
          </cell>
          <cell r="Q754">
            <v>0</v>
          </cell>
          <cell r="R754">
            <v>3430260</v>
          </cell>
          <cell r="S754">
            <v>0</v>
          </cell>
          <cell r="T754">
            <v>31168548</v>
          </cell>
          <cell r="U754">
            <v>0</v>
          </cell>
        </row>
        <row r="755">
          <cell r="A755" t="str">
            <v>BoQ_651</v>
          </cell>
          <cell r="B755">
            <v>651</v>
          </cell>
          <cell r="C755">
            <v>76</v>
          </cell>
          <cell r="D755" t="str">
            <v>Soft connection of fan head (over 300 degree type)
Nối mềm đầu quạt (loại chịu trên 300 độ)</v>
          </cell>
          <cell r="E755" t="str">
            <v>D1000</v>
          </cell>
          <cell r="F755" t="str">
            <v>Ea</v>
          </cell>
          <cell r="L755" t="str">
            <v>Ea</v>
          </cell>
          <cell r="N755">
            <v>804501</v>
          </cell>
          <cell r="O755">
            <v>281250</v>
          </cell>
          <cell r="P755">
            <v>820591.02</v>
          </cell>
          <cell r="Q755">
            <v>0</v>
          </cell>
          <cell r="R755">
            <v>286875</v>
          </cell>
          <cell r="S755">
            <v>0</v>
          </cell>
          <cell r="T755">
            <v>1107466.02</v>
          </cell>
          <cell r="U755">
            <v>0</v>
          </cell>
        </row>
        <row r="756">
          <cell r="A756" t="str">
            <v>BoQ_652</v>
          </cell>
          <cell r="B756">
            <v>652</v>
          </cell>
          <cell r="C756">
            <v>77</v>
          </cell>
          <cell r="D756" t="str">
            <v>Straight air duct
Ống gió thẳng</v>
          </cell>
          <cell r="E756" t="str">
            <v>1600x700</v>
          </cell>
          <cell r="F756" t="str">
            <v>m</v>
          </cell>
          <cell r="L756" t="str">
            <v>m</v>
          </cell>
          <cell r="N756">
            <v>1418893</v>
          </cell>
          <cell r="O756">
            <v>690000</v>
          </cell>
          <cell r="P756">
            <v>1447270.86</v>
          </cell>
          <cell r="Q756">
            <v>0</v>
          </cell>
          <cell r="R756">
            <v>703800</v>
          </cell>
          <cell r="S756">
            <v>0</v>
          </cell>
          <cell r="T756">
            <v>2151070.8600000003</v>
          </cell>
          <cell r="U756">
            <v>0</v>
          </cell>
        </row>
        <row r="757">
          <cell r="A757" t="str">
            <v>BoQ_653</v>
          </cell>
          <cell r="B757">
            <v>653</v>
          </cell>
          <cell r="C757">
            <v>78</v>
          </cell>
          <cell r="D757" t="str">
            <v>Straight air duct
Ống gió thẳng</v>
          </cell>
          <cell r="E757" t="str">
            <v>1400x500</v>
          </cell>
          <cell r="F757" t="str">
            <v>m</v>
          </cell>
          <cell r="L757" t="str">
            <v>m</v>
          </cell>
          <cell r="N757">
            <v>1172129</v>
          </cell>
          <cell r="O757">
            <v>570000</v>
          </cell>
          <cell r="P757">
            <v>1195571.58</v>
          </cell>
          <cell r="Q757">
            <v>0</v>
          </cell>
          <cell r="R757">
            <v>581400</v>
          </cell>
          <cell r="S757">
            <v>0</v>
          </cell>
          <cell r="T757">
            <v>1776971.58</v>
          </cell>
          <cell r="U757">
            <v>0</v>
          </cell>
        </row>
        <row r="758">
          <cell r="A758" t="str">
            <v>BoQ_654</v>
          </cell>
          <cell r="B758">
            <v>654</v>
          </cell>
          <cell r="C758">
            <v>79</v>
          </cell>
          <cell r="D758" t="str">
            <v>Straight air duct
Ống gió thẳng</v>
          </cell>
          <cell r="E758" t="str">
            <v>1200x400</v>
          </cell>
          <cell r="F758" t="str">
            <v>m</v>
          </cell>
          <cell r="L758" t="str">
            <v>m</v>
          </cell>
          <cell r="N758">
            <v>987055.99999999988</v>
          </cell>
          <cell r="O758">
            <v>480000</v>
          </cell>
          <cell r="P758">
            <v>1006797.1199999999</v>
          </cell>
          <cell r="Q758">
            <v>0</v>
          </cell>
          <cell r="R758">
            <v>489600</v>
          </cell>
          <cell r="S758">
            <v>0</v>
          </cell>
          <cell r="T758">
            <v>1496397.1199999999</v>
          </cell>
          <cell r="U758">
            <v>0</v>
          </cell>
        </row>
        <row r="759">
          <cell r="A759" t="str">
            <v>BoQ_655</v>
          </cell>
          <cell r="B759">
            <v>655</v>
          </cell>
          <cell r="C759">
            <v>80</v>
          </cell>
          <cell r="D759" t="str">
            <v>Straight air duct
Ống gió thẳng</v>
          </cell>
          <cell r="E759" t="str">
            <v>600x400</v>
          </cell>
          <cell r="F759" t="str">
            <v>m</v>
          </cell>
          <cell r="L759" t="str">
            <v>m</v>
          </cell>
          <cell r="N759">
            <v>616910</v>
          </cell>
          <cell r="O759">
            <v>300000</v>
          </cell>
          <cell r="P759">
            <v>629248.19999999995</v>
          </cell>
          <cell r="Q759">
            <v>0</v>
          </cell>
          <cell r="R759">
            <v>306000</v>
          </cell>
          <cell r="S759">
            <v>0</v>
          </cell>
          <cell r="T759">
            <v>935248.2</v>
          </cell>
          <cell r="U759">
            <v>0</v>
          </cell>
        </row>
        <row r="760">
          <cell r="A760" t="str">
            <v>BoQ_656</v>
          </cell>
          <cell r="B760">
            <v>656</v>
          </cell>
          <cell r="C760">
            <v>81</v>
          </cell>
          <cell r="D760" t="str">
            <v>Horizontal air duct elbow
Cút ngang</v>
          </cell>
          <cell r="E760" t="str">
            <v>1600x700</v>
          </cell>
          <cell r="F760" t="str">
            <v>Ea</v>
          </cell>
          <cell r="L760" t="str">
            <v>Ea</v>
          </cell>
          <cell r="N760">
            <v>1162788.7661262809</v>
          </cell>
          <cell r="O760">
            <v>565457.89473000006</v>
          </cell>
          <cell r="P760">
            <v>1186044.5414488064</v>
          </cell>
          <cell r="Q760">
            <v>0</v>
          </cell>
          <cell r="R760">
            <v>576767.05262460012</v>
          </cell>
          <cell r="S760">
            <v>0</v>
          </cell>
          <cell r="T760">
            <v>1762811.5940734064</v>
          </cell>
          <cell r="U760">
            <v>0</v>
          </cell>
        </row>
        <row r="761">
          <cell r="A761" t="str">
            <v>BoQ_657</v>
          </cell>
          <cell r="B761">
            <v>657</v>
          </cell>
          <cell r="C761">
            <v>82</v>
          </cell>
          <cell r="D761" t="str">
            <v>Vertical air duct elbow
Cút đứng</v>
          </cell>
          <cell r="E761" t="str">
            <v>400x600</v>
          </cell>
          <cell r="F761" t="str">
            <v>Ea</v>
          </cell>
          <cell r="L761" t="str">
            <v>Ea</v>
          </cell>
          <cell r="N761">
            <v>581429.45627821598</v>
          </cell>
          <cell r="O761">
            <v>282746.00328</v>
          </cell>
          <cell r="P761">
            <v>593058.0454037803</v>
          </cell>
          <cell r="Q761">
            <v>0</v>
          </cell>
          <cell r="R761">
            <v>288400.92334560002</v>
          </cell>
          <cell r="S761">
            <v>0</v>
          </cell>
          <cell r="T761">
            <v>881458.96874938032</v>
          </cell>
          <cell r="U761">
            <v>0</v>
          </cell>
        </row>
        <row r="762">
          <cell r="A762" t="str">
            <v>BoQ_658</v>
          </cell>
          <cell r="B762">
            <v>658</v>
          </cell>
          <cell r="C762">
            <v>83</v>
          </cell>
          <cell r="D762" t="str">
            <v>Air Duct collector
Côn thu</v>
          </cell>
          <cell r="E762" t="str">
            <v>1600x700/1400x500</v>
          </cell>
          <cell r="F762" t="str">
            <v>Ea</v>
          </cell>
          <cell r="L762" t="str">
            <v>Ea</v>
          </cell>
          <cell r="N762">
            <v>559537.37</v>
          </cell>
          <cell r="O762">
            <v>272100</v>
          </cell>
          <cell r="P762">
            <v>570728.11739999999</v>
          </cell>
          <cell r="Q762">
            <v>0</v>
          </cell>
          <cell r="R762">
            <v>277542</v>
          </cell>
          <cell r="S762">
            <v>0</v>
          </cell>
          <cell r="T762">
            <v>848270.11739999999</v>
          </cell>
          <cell r="U762">
            <v>0</v>
          </cell>
        </row>
        <row r="763">
          <cell r="A763" t="str">
            <v>BoQ_659</v>
          </cell>
          <cell r="B763">
            <v>659</v>
          </cell>
          <cell r="C763">
            <v>84</v>
          </cell>
          <cell r="D763" t="str">
            <v>Air Duct collector
Côn thu</v>
          </cell>
          <cell r="E763" t="str">
            <v>1400x500/1200x400</v>
          </cell>
          <cell r="F763" t="str">
            <v>Ea</v>
          </cell>
          <cell r="L763" t="str">
            <v>Ea</v>
          </cell>
          <cell r="N763">
            <v>466383.95999999996</v>
          </cell>
          <cell r="O763">
            <v>226800</v>
          </cell>
          <cell r="P763">
            <v>475711.63919999998</v>
          </cell>
          <cell r="Q763">
            <v>0</v>
          </cell>
          <cell r="R763">
            <v>231336</v>
          </cell>
          <cell r="S763">
            <v>0</v>
          </cell>
          <cell r="T763">
            <v>707047.63919999998</v>
          </cell>
          <cell r="U763">
            <v>0</v>
          </cell>
        </row>
        <row r="764">
          <cell r="A764" t="str">
            <v>BoQ_660</v>
          </cell>
          <cell r="B764">
            <v>660</v>
          </cell>
          <cell r="C764">
            <v>85</v>
          </cell>
          <cell r="D764" t="str">
            <v>Fan head duct cone
Côn đầu quạt</v>
          </cell>
          <cell r="E764" t="str">
            <v>1600x700xD1000</v>
          </cell>
          <cell r="F764" t="str">
            <v>Ea</v>
          </cell>
          <cell r="L764" t="str">
            <v>Ea</v>
          </cell>
          <cell r="N764">
            <v>653924.6</v>
          </cell>
          <cell r="O764">
            <v>318000</v>
          </cell>
          <cell r="P764">
            <v>667003.09199999995</v>
          </cell>
          <cell r="Q764">
            <v>0</v>
          </cell>
          <cell r="R764">
            <v>324360</v>
          </cell>
          <cell r="S764">
            <v>0</v>
          </cell>
          <cell r="T764">
            <v>991363.09199999995</v>
          </cell>
          <cell r="U764">
            <v>0</v>
          </cell>
        </row>
        <row r="765">
          <cell r="A765" t="str">
            <v>BoQ_661</v>
          </cell>
          <cell r="B765">
            <v>661</v>
          </cell>
          <cell r="C765">
            <v>86</v>
          </cell>
          <cell r="D765" t="str">
            <v>Fan head duct cone
Côn đầu quạt</v>
          </cell>
          <cell r="E765" t="str">
            <v>1200x400xD1000</v>
          </cell>
          <cell r="F765" t="str">
            <v>Ea</v>
          </cell>
          <cell r="L765" t="str">
            <v>Ea</v>
          </cell>
          <cell r="N765">
            <v>592233.6</v>
          </cell>
          <cell r="O765">
            <v>288000</v>
          </cell>
          <cell r="P765">
            <v>604078.272</v>
          </cell>
          <cell r="Q765">
            <v>0</v>
          </cell>
          <cell r="R765">
            <v>293760</v>
          </cell>
          <cell r="S765">
            <v>0</v>
          </cell>
          <cell r="T765">
            <v>897838.272</v>
          </cell>
          <cell r="U765">
            <v>0</v>
          </cell>
        </row>
        <row r="766">
          <cell r="A766" t="str">
            <v>BoQ_662</v>
          </cell>
          <cell r="B766">
            <v>662</v>
          </cell>
          <cell r="C766">
            <v>87</v>
          </cell>
          <cell r="D766" t="str">
            <v>Chân rẽ</v>
          </cell>
          <cell r="E766" t="str">
            <v>600x400</v>
          </cell>
          <cell r="F766" t="str">
            <v>Ea</v>
          </cell>
          <cell r="L766" t="str">
            <v>Ea</v>
          </cell>
          <cell r="N766">
            <v>411108.82399999996</v>
          </cell>
          <cell r="O766">
            <v>199920</v>
          </cell>
          <cell r="P766">
            <v>419331.00047999999</v>
          </cell>
          <cell r="Q766">
            <v>0</v>
          </cell>
          <cell r="R766">
            <v>203918.4</v>
          </cell>
          <cell r="S766">
            <v>0</v>
          </cell>
          <cell r="T766">
            <v>623249.40047999995</v>
          </cell>
          <cell r="U766">
            <v>0</v>
          </cell>
        </row>
        <row r="767">
          <cell r="A767" t="str">
            <v>BoQ_663</v>
          </cell>
          <cell r="B767">
            <v>663</v>
          </cell>
          <cell r="C767">
            <v>88</v>
          </cell>
          <cell r="D767" t="str">
            <v>Đầu bịt</v>
          </cell>
          <cell r="E767" t="str">
            <v>1200x400</v>
          </cell>
          <cell r="F767" t="str">
            <v>Ea</v>
          </cell>
          <cell r="L767" t="str">
            <v>Ea</v>
          </cell>
          <cell r="N767">
            <v>259102.19999999998</v>
          </cell>
          <cell r="O767">
            <v>126000</v>
          </cell>
          <cell r="P767">
            <v>264284.24400000001</v>
          </cell>
          <cell r="Q767">
            <v>0</v>
          </cell>
          <cell r="R767">
            <v>128520</v>
          </cell>
          <cell r="S767">
            <v>0</v>
          </cell>
          <cell r="T767">
            <v>392804.24400000001</v>
          </cell>
          <cell r="U767">
            <v>0</v>
          </cell>
        </row>
        <row r="768">
          <cell r="A768" t="str">
            <v>BoQ_664</v>
          </cell>
          <cell r="B768">
            <v>664</v>
          </cell>
          <cell r="C768">
            <v>89</v>
          </cell>
          <cell r="D768" t="str">
            <v>Đầu bịt</v>
          </cell>
          <cell r="E768" t="str">
            <v>600x400</v>
          </cell>
          <cell r="F768" t="str">
            <v>Ea</v>
          </cell>
          <cell r="L768" t="str">
            <v>Ea</v>
          </cell>
          <cell r="N768">
            <v>148058.4</v>
          </cell>
          <cell r="O768">
            <v>72000</v>
          </cell>
          <cell r="P768">
            <v>151019.568</v>
          </cell>
          <cell r="Q768">
            <v>0</v>
          </cell>
          <cell r="R768">
            <v>73440</v>
          </cell>
          <cell r="S768">
            <v>0</v>
          </cell>
          <cell r="T768">
            <v>224459.568</v>
          </cell>
          <cell r="U768">
            <v>0</v>
          </cell>
        </row>
        <row r="769">
          <cell r="A769" t="str">
            <v>BoQ_665</v>
          </cell>
          <cell r="B769">
            <v>665</v>
          </cell>
          <cell r="C769">
            <v>90</v>
          </cell>
          <cell r="D769" t="str">
            <v>OBD air diffuser damper
Miệng gió + OBD</v>
          </cell>
          <cell r="E769" t="str">
            <v>1200x600</v>
          </cell>
          <cell r="F769" t="str">
            <v>Ea</v>
          </cell>
          <cell r="L769" t="str">
            <v>Ea</v>
          </cell>
          <cell r="N769">
            <v>1284180</v>
          </cell>
          <cell r="O769">
            <v>480000</v>
          </cell>
          <cell r="P769">
            <v>1309863.6000000001</v>
          </cell>
          <cell r="Q769">
            <v>0</v>
          </cell>
          <cell r="R769">
            <v>489600</v>
          </cell>
          <cell r="S769">
            <v>0</v>
          </cell>
          <cell r="T769">
            <v>1799463.6</v>
          </cell>
          <cell r="U769">
            <v>0</v>
          </cell>
        </row>
        <row r="770">
          <cell r="A770" t="str">
            <v>BoQ_666</v>
          </cell>
          <cell r="B770">
            <v>666</v>
          </cell>
          <cell r="C770">
            <v>91</v>
          </cell>
          <cell r="D770" t="str">
            <v>Insulation material EI30 (including inspection fees, records)
Vật liệu cách nhiệt EI30 (bao gồm cả chi phí kiểm định, hồ sơ)</v>
          </cell>
          <cell r="E770" t="str">
            <v>Tấm thạch cao Knauf chống cháy dày 9.5mm</v>
          </cell>
          <cell r="F770" t="str">
            <v>m2</v>
          </cell>
          <cell r="L770" t="str">
            <v>m2</v>
          </cell>
          <cell r="N770">
            <v>152523</v>
          </cell>
          <cell r="O770">
            <v>60000</v>
          </cell>
          <cell r="P770">
            <v>155573.46</v>
          </cell>
          <cell r="Q770">
            <v>0</v>
          </cell>
          <cell r="R770">
            <v>61200</v>
          </cell>
          <cell r="S770">
            <v>0</v>
          </cell>
          <cell r="T770">
            <v>216773.46</v>
          </cell>
          <cell r="U770">
            <v>0</v>
          </cell>
        </row>
        <row r="771">
          <cell r="C771">
            <v>5</v>
          </cell>
          <cell r="D771" t="str">
            <v>Nâng bậc chịu lửa / Raise the fire resistance level</v>
          </cell>
        </row>
        <row r="772">
          <cell r="D772" t="str">
            <v>Khu văn phòng</v>
          </cell>
        </row>
        <row r="773">
          <cell r="A773" t="str">
            <v>BoQ_667</v>
          </cell>
          <cell r="B773">
            <v>667</v>
          </cell>
          <cell r="C773">
            <v>551</v>
          </cell>
          <cell r="D773" t="str">
            <v>Bọc chống cháy sàn Deck, kèo mái khu văn phòng
Deck floor fireproof coating, office roof truss</v>
          </cell>
          <cell r="L773" t="str">
            <v>Lot</v>
          </cell>
          <cell r="M773">
            <v>1</v>
          </cell>
          <cell r="N773">
            <v>300000000</v>
          </cell>
          <cell r="P773">
            <v>306000000</v>
          </cell>
          <cell r="Q773">
            <v>306000000</v>
          </cell>
          <cell r="R773">
            <v>0</v>
          </cell>
          <cell r="S773">
            <v>0</v>
          </cell>
          <cell r="T773">
            <v>306000000</v>
          </cell>
          <cell r="U773">
            <v>306000000</v>
          </cell>
        </row>
        <row r="774">
          <cell r="A774" t="str">
            <v>BoQ_668</v>
          </cell>
          <cell r="B774">
            <v>668</v>
          </cell>
          <cell r="C774">
            <v>552</v>
          </cell>
          <cell r="D774" t="str">
            <v>xây tường 110 bọc cột thép 
build 110 wall covered with steel poles</v>
          </cell>
          <cell r="L774" t="str">
            <v>m3</v>
          </cell>
          <cell r="M774">
            <v>39.916800000000002</v>
          </cell>
          <cell r="N774">
            <v>950000</v>
          </cell>
          <cell r="O774">
            <v>700000</v>
          </cell>
          <cell r="P774">
            <v>969000</v>
          </cell>
          <cell r="Q774">
            <v>38679379.200000003</v>
          </cell>
          <cell r="R774">
            <v>714000</v>
          </cell>
          <cell r="S774">
            <v>28500595.200000003</v>
          </cell>
          <cell r="T774">
            <v>1683000</v>
          </cell>
          <cell r="U774">
            <v>67179974.400000006</v>
          </cell>
        </row>
        <row r="775">
          <cell r="A775" t="str">
            <v>BoQ_669</v>
          </cell>
          <cell r="B775">
            <v>669</v>
          </cell>
          <cell r="C775">
            <v>553</v>
          </cell>
          <cell r="D775" t="str">
            <v>Trát cột 
Plastering columns</v>
          </cell>
          <cell r="L775" t="str">
            <v>m2</v>
          </cell>
          <cell r="M775">
            <v>514.07999999999993</v>
          </cell>
          <cell r="N775">
            <v>65000</v>
          </cell>
          <cell r="O775">
            <v>85000</v>
          </cell>
          <cell r="P775">
            <v>66300</v>
          </cell>
          <cell r="Q775">
            <v>34083503.999999993</v>
          </cell>
          <cell r="R775">
            <v>86700</v>
          </cell>
          <cell r="S775">
            <v>44570735.999999993</v>
          </cell>
          <cell r="T775">
            <v>153000</v>
          </cell>
          <cell r="U775">
            <v>78654239.999999985</v>
          </cell>
        </row>
        <row r="776">
          <cell r="A776" t="str">
            <v>BoQ_670</v>
          </cell>
          <cell r="B776">
            <v>670</v>
          </cell>
          <cell r="C776">
            <v>554</v>
          </cell>
          <cell r="D776" t="str">
            <v>Sơn bả hoàn thiện cột
Finishing paint on the column</v>
          </cell>
          <cell r="L776" t="str">
            <v>m2</v>
          </cell>
          <cell r="M776">
            <v>514.07999999999993</v>
          </cell>
          <cell r="N776">
            <v>40000</v>
          </cell>
          <cell r="O776">
            <v>45000</v>
          </cell>
          <cell r="P776">
            <v>40800</v>
          </cell>
          <cell r="Q776">
            <v>20974463.999999996</v>
          </cell>
          <cell r="R776">
            <v>45900</v>
          </cell>
          <cell r="S776">
            <v>23596271.999999996</v>
          </cell>
          <cell r="T776">
            <v>86700</v>
          </cell>
          <cell r="U776">
            <v>44570735.999999993</v>
          </cell>
        </row>
        <row r="777">
          <cell r="D777" t="str">
            <v>WATER SUPPLY SYSTEM</v>
          </cell>
          <cell r="E777" t="str">
            <v>TOTAL</v>
          </cell>
          <cell r="U777">
            <v>1371598462.5</v>
          </cell>
          <cell r="V777">
            <v>0</v>
          </cell>
        </row>
        <row r="779">
          <cell r="D779" t="str">
            <v>WATER SUPPLY SYSTEM
HỆ THỐNG CẤP NƯỚC</v>
          </cell>
        </row>
        <row r="780">
          <cell r="D780" t="str">
            <v>Equipments/ Thiết bị</v>
          </cell>
        </row>
        <row r="781">
          <cell r="A781" t="str">
            <v>BoQ_671</v>
          </cell>
          <cell r="B781">
            <v>671</v>
          </cell>
          <cell r="C781">
            <v>1</v>
          </cell>
          <cell r="D781" t="str">
            <v>Water pump 25m3/h, 40mH2O. 
Bơm sinh hoạt 25m3/h, 40mH2O</v>
          </cell>
          <cell r="E781" t="str">
            <v>Pentax</v>
          </cell>
          <cell r="L781" t="str">
            <v>Set</v>
          </cell>
          <cell r="M781">
            <v>2</v>
          </cell>
          <cell r="N781">
            <v>24500000</v>
          </cell>
          <cell r="O781">
            <v>4252000</v>
          </cell>
          <cell r="P781">
            <v>24990000</v>
          </cell>
          <cell r="Q781">
            <v>49980000</v>
          </cell>
          <cell r="R781">
            <v>4337040</v>
          </cell>
          <cell r="S781">
            <v>8674080</v>
          </cell>
          <cell r="T781">
            <v>29327040</v>
          </cell>
          <cell r="U781">
            <v>58654080</v>
          </cell>
        </row>
        <row r="782">
          <cell r="A782" t="str">
            <v>BoQ_672</v>
          </cell>
          <cell r="B782">
            <v>672</v>
          </cell>
          <cell r="C782">
            <v>2</v>
          </cell>
          <cell r="D782" t="str">
            <v>Water pump 5m3/h, 30mH2O
Bơm tăng áp 5m3/h, 30mH2O (cấp nước sinh hoạt và sản xuất)</v>
          </cell>
          <cell r="E782" t="str">
            <v>Pentax</v>
          </cell>
          <cell r="L782" t="str">
            <v>Set</v>
          </cell>
          <cell r="M782">
            <v>6</v>
          </cell>
          <cell r="N782">
            <v>8800000</v>
          </cell>
          <cell r="O782">
            <v>1512000</v>
          </cell>
          <cell r="P782">
            <v>8976000</v>
          </cell>
          <cell r="Q782">
            <v>53856000</v>
          </cell>
          <cell r="R782">
            <v>1542240</v>
          </cell>
          <cell r="S782">
            <v>9253440</v>
          </cell>
          <cell r="T782">
            <v>10518240</v>
          </cell>
          <cell r="U782">
            <v>63109440</v>
          </cell>
        </row>
        <row r="783">
          <cell r="A783" t="str">
            <v>BoQ_673</v>
          </cell>
          <cell r="B783">
            <v>673</v>
          </cell>
          <cell r="C783">
            <v>3</v>
          </cell>
          <cell r="D783" t="str">
            <v>Pressure tank 300liters/ Bình tích áp 300l</v>
          </cell>
          <cell r="E783" t="str">
            <v>Varem or equivalent</v>
          </cell>
          <cell r="L783" t="str">
            <v>Set</v>
          </cell>
          <cell r="M783">
            <v>1</v>
          </cell>
          <cell r="N783">
            <v>9500000</v>
          </cell>
          <cell r="O783">
            <v>900000</v>
          </cell>
          <cell r="P783">
            <v>9690000</v>
          </cell>
          <cell r="Q783">
            <v>9690000</v>
          </cell>
          <cell r="R783">
            <v>918000</v>
          </cell>
          <cell r="S783">
            <v>918000</v>
          </cell>
          <cell r="T783">
            <v>10608000</v>
          </cell>
          <cell r="U783">
            <v>10608000</v>
          </cell>
        </row>
        <row r="784">
          <cell r="A784" t="str">
            <v>BoQ_674</v>
          </cell>
          <cell r="B784">
            <v>674</v>
          </cell>
          <cell r="C784">
            <v>4</v>
          </cell>
          <cell r="D784" t="str">
            <v>Tank 5000liter/ Bồn nước trên mái 5000l (sinh hoạt + sản xuất)</v>
          </cell>
          <cell r="E784" t="str">
            <v>Sơn Hà</v>
          </cell>
          <cell r="L784" t="str">
            <v>Set</v>
          </cell>
          <cell r="M784">
            <v>4</v>
          </cell>
          <cell r="N784">
            <v>16830000</v>
          </cell>
          <cell r="O784">
            <v>1000000</v>
          </cell>
          <cell r="P784">
            <v>17166600</v>
          </cell>
          <cell r="Q784">
            <v>68666400</v>
          </cell>
          <cell r="R784">
            <v>1020000</v>
          </cell>
          <cell r="S784">
            <v>4080000</v>
          </cell>
          <cell r="T784">
            <v>18186600</v>
          </cell>
          <cell r="U784">
            <v>72746400</v>
          </cell>
        </row>
        <row r="785">
          <cell r="A785" t="str">
            <v>BoQ_675</v>
          </cell>
          <cell r="B785">
            <v>675</v>
          </cell>
          <cell r="C785">
            <v>5</v>
          </cell>
          <cell r="D785" t="str">
            <v>Tank 3000liter/ Bồn nước trên mái 3000l (sinh hoạt + sản xuất)</v>
          </cell>
          <cell r="E785" t="str">
            <v>Sơn Hà</v>
          </cell>
          <cell r="L785" t="str">
            <v>Set</v>
          </cell>
          <cell r="M785">
            <v>2</v>
          </cell>
          <cell r="N785">
            <v>8750000</v>
          </cell>
          <cell r="O785">
            <v>1000000</v>
          </cell>
          <cell r="P785">
            <v>8925000</v>
          </cell>
          <cell r="Q785">
            <v>17850000</v>
          </cell>
          <cell r="R785">
            <v>1020000</v>
          </cell>
          <cell r="S785">
            <v>2040000</v>
          </cell>
          <cell r="T785">
            <v>9945000</v>
          </cell>
          <cell r="U785">
            <v>19890000</v>
          </cell>
        </row>
        <row r="786">
          <cell r="A786" t="str">
            <v>BoQ_676</v>
          </cell>
          <cell r="B786">
            <v>676</v>
          </cell>
          <cell r="C786">
            <v>6</v>
          </cell>
          <cell r="D786" t="str">
            <v>Pump control panel c/w water level sensor, pressure sensorr/ Tủ bơm, cảm biến mực nước, áp lực.</v>
          </cell>
          <cell r="E786" t="str">
            <v>LS/VN</v>
          </cell>
          <cell r="L786" t="str">
            <v>Set</v>
          </cell>
          <cell r="M786">
            <v>1</v>
          </cell>
          <cell r="N786">
            <v>14025000</v>
          </cell>
          <cell r="O786">
            <v>2000000</v>
          </cell>
          <cell r="P786">
            <v>14305500</v>
          </cell>
          <cell r="Q786">
            <v>14305500</v>
          </cell>
          <cell r="R786">
            <v>2040000</v>
          </cell>
          <cell r="S786">
            <v>2040000</v>
          </cell>
          <cell r="T786">
            <v>16345500</v>
          </cell>
          <cell r="U786">
            <v>16345500</v>
          </cell>
        </row>
        <row r="787">
          <cell r="A787" t="str">
            <v>BoQ_677</v>
          </cell>
          <cell r="B787">
            <v>677</v>
          </cell>
          <cell r="C787">
            <v>7</v>
          </cell>
          <cell r="D787" t="str">
            <v>Power and control cable from panel to pump/
Điện và cáp điều khiển từ tủ bơm</v>
          </cell>
          <cell r="E787" t="str">
            <v>LS/VN</v>
          </cell>
          <cell r="L787" t="str">
            <v>Lot</v>
          </cell>
          <cell r="M787">
            <v>1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</row>
        <row r="788">
          <cell r="A788" t="str">
            <v>BoQ_678</v>
          </cell>
          <cell r="B788">
            <v>678</v>
          </cell>
          <cell r="C788">
            <v>8</v>
          </cell>
          <cell r="D788" t="str">
            <v>Tủ điện cho bơm tăng áp
Electric DB for pump</v>
          </cell>
          <cell r="E788" t="str">
            <v>LS/VN</v>
          </cell>
          <cell r="L788" t="str">
            <v>ea</v>
          </cell>
          <cell r="M788">
            <v>2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</row>
        <row r="789">
          <cell r="A789" t="str">
            <v>BoQ_679</v>
          </cell>
          <cell r="B789">
            <v>679</v>
          </cell>
          <cell r="C789">
            <v>9</v>
          </cell>
          <cell r="D789" t="str">
            <v>Cáp điện bơm tăng áp 4x10+1x6 mm</v>
          </cell>
          <cell r="E789" t="str">
            <v>Cadisun</v>
          </cell>
          <cell r="L789" t="str">
            <v>m</v>
          </cell>
          <cell r="M789">
            <v>250</v>
          </cell>
          <cell r="N789">
            <v>113860</v>
          </cell>
          <cell r="O789">
            <v>29500</v>
          </cell>
          <cell r="P789">
            <v>116137.2</v>
          </cell>
          <cell r="Q789">
            <v>29034300</v>
          </cell>
          <cell r="R789">
            <v>30090</v>
          </cell>
          <cell r="S789">
            <v>7522500</v>
          </cell>
          <cell r="T789">
            <v>146227.20000000001</v>
          </cell>
          <cell r="U789">
            <v>36556800</v>
          </cell>
        </row>
        <row r="790">
          <cell r="A790" t="str">
            <v>BoQ_680</v>
          </cell>
          <cell r="B790">
            <v>680</v>
          </cell>
          <cell r="C790">
            <v>10</v>
          </cell>
          <cell r="D790" t="str">
            <v>Gate Valve D75/ Van cổng D75</v>
          </cell>
          <cell r="E790" t="str">
            <v>China</v>
          </cell>
          <cell r="L790" t="str">
            <v>Ea</v>
          </cell>
          <cell r="M790">
            <v>7</v>
          </cell>
          <cell r="N790">
            <v>1177000</v>
          </cell>
          <cell r="O790">
            <v>113900</v>
          </cell>
          <cell r="P790">
            <v>1200540</v>
          </cell>
          <cell r="Q790">
            <v>8403780</v>
          </cell>
          <cell r="R790">
            <v>116178</v>
          </cell>
          <cell r="S790">
            <v>813246</v>
          </cell>
          <cell r="T790">
            <v>1316718</v>
          </cell>
          <cell r="U790">
            <v>9217026</v>
          </cell>
        </row>
        <row r="791">
          <cell r="A791" t="str">
            <v>BoQ_681</v>
          </cell>
          <cell r="B791">
            <v>681</v>
          </cell>
          <cell r="C791">
            <v>11</v>
          </cell>
          <cell r="D791" t="str">
            <v>Strainer DN75/ Y lọc DN75</v>
          </cell>
          <cell r="E791" t="str">
            <v>China</v>
          </cell>
          <cell r="L791" t="str">
            <v>Ea</v>
          </cell>
          <cell r="M791">
            <v>4</v>
          </cell>
          <cell r="N791">
            <v>1625000</v>
          </cell>
          <cell r="O791">
            <v>113900</v>
          </cell>
          <cell r="P791">
            <v>1657500</v>
          </cell>
          <cell r="Q791">
            <v>6630000</v>
          </cell>
          <cell r="R791">
            <v>116178</v>
          </cell>
          <cell r="S791">
            <v>464712</v>
          </cell>
          <cell r="T791">
            <v>1773678</v>
          </cell>
          <cell r="U791">
            <v>7094712</v>
          </cell>
        </row>
        <row r="792">
          <cell r="A792" t="str">
            <v>BoQ_682</v>
          </cell>
          <cell r="B792">
            <v>682</v>
          </cell>
          <cell r="C792">
            <v>12</v>
          </cell>
          <cell r="D792" t="str">
            <v>Flexible joint D75/ Mối nối mềm D75</v>
          </cell>
          <cell r="E792" t="str">
            <v>China</v>
          </cell>
          <cell r="L792" t="str">
            <v>Ea</v>
          </cell>
          <cell r="M792">
            <v>8</v>
          </cell>
          <cell r="N792">
            <v>350000</v>
          </cell>
          <cell r="O792">
            <v>113900</v>
          </cell>
          <cell r="P792">
            <v>357000</v>
          </cell>
          <cell r="Q792">
            <v>2856000</v>
          </cell>
          <cell r="R792">
            <v>116178</v>
          </cell>
          <cell r="S792">
            <v>929424</v>
          </cell>
          <cell r="T792">
            <v>473178</v>
          </cell>
          <cell r="U792">
            <v>3785424</v>
          </cell>
        </row>
        <row r="793">
          <cell r="A793" t="str">
            <v>BoQ_683</v>
          </cell>
          <cell r="B793">
            <v>683</v>
          </cell>
          <cell r="C793">
            <v>13</v>
          </cell>
          <cell r="D793" t="str">
            <v>Foot valve DN75/ Rọ bơm DN75</v>
          </cell>
          <cell r="E793" t="str">
            <v>China</v>
          </cell>
          <cell r="L793" t="str">
            <v>Ea</v>
          </cell>
          <cell r="M793">
            <v>4</v>
          </cell>
          <cell r="N793">
            <v>924000</v>
          </cell>
          <cell r="O793">
            <v>113900</v>
          </cell>
          <cell r="P793">
            <v>942480</v>
          </cell>
          <cell r="Q793">
            <v>3769920</v>
          </cell>
          <cell r="R793">
            <v>116178</v>
          </cell>
          <cell r="S793">
            <v>464712</v>
          </cell>
          <cell r="T793">
            <v>1058658</v>
          </cell>
          <cell r="U793">
            <v>4234632</v>
          </cell>
        </row>
        <row r="794">
          <cell r="A794" t="str">
            <v>BoQ_684</v>
          </cell>
          <cell r="B794">
            <v>684</v>
          </cell>
          <cell r="C794">
            <v>14</v>
          </cell>
          <cell r="D794" t="str">
            <v>Float vale DN75/ Van phao DN75</v>
          </cell>
          <cell r="E794" t="str">
            <v>China</v>
          </cell>
          <cell r="L794" t="str">
            <v>Ea</v>
          </cell>
          <cell r="M794">
            <v>1</v>
          </cell>
          <cell r="N794">
            <v>1650000</v>
          </cell>
          <cell r="O794">
            <v>113900</v>
          </cell>
          <cell r="P794">
            <v>1683000</v>
          </cell>
          <cell r="Q794">
            <v>1683000</v>
          </cell>
          <cell r="R794">
            <v>116178</v>
          </cell>
          <cell r="S794">
            <v>116178</v>
          </cell>
          <cell r="T794">
            <v>1799178</v>
          </cell>
          <cell r="U794">
            <v>1799178</v>
          </cell>
        </row>
        <row r="795">
          <cell r="A795" t="str">
            <v>BoQ_685</v>
          </cell>
          <cell r="B795">
            <v>685</v>
          </cell>
          <cell r="C795">
            <v>15</v>
          </cell>
          <cell r="D795" t="str">
            <v>Pressure Gauge/ Đồng hồ đo áp lực</v>
          </cell>
          <cell r="E795" t="str">
            <v>VN</v>
          </cell>
          <cell r="L795" t="str">
            <v>Set</v>
          </cell>
          <cell r="M795">
            <v>2</v>
          </cell>
          <cell r="N795">
            <v>186000</v>
          </cell>
          <cell r="O795">
            <v>50000</v>
          </cell>
          <cell r="P795">
            <v>189720</v>
          </cell>
          <cell r="Q795">
            <v>379440</v>
          </cell>
          <cell r="R795">
            <v>51000</v>
          </cell>
          <cell r="S795">
            <v>102000</v>
          </cell>
          <cell r="T795">
            <v>240720</v>
          </cell>
          <cell r="U795">
            <v>481440</v>
          </cell>
        </row>
        <row r="796">
          <cell r="A796" t="str">
            <v>BoQ_686</v>
          </cell>
          <cell r="B796">
            <v>686</v>
          </cell>
          <cell r="C796">
            <v>16</v>
          </cell>
          <cell r="D796" t="str">
            <v>Water meter DN75/ Đồng hồ nước DN75</v>
          </cell>
          <cell r="E796" t="str">
            <v>VN</v>
          </cell>
          <cell r="L796" t="str">
            <v>Set</v>
          </cell>
          <cell r="M796">
            <v>1</v>
          </cell>
          <cell r="N796">
            <v>8340000</v>
          </cell>
          <cell r="O796">
            <v>1000000</v>
          </cell>
          <cell r="P796">
            <v>8506800</v>
          </cell>
          <cell r="Q796">
            <v>8506800</v>
          </cell>
          <cell r="R796">
            <v>1020000</v>
          </cell>
          <cell r="S796">
            <v>1020000</v>
          </cell>
          <cell r="T796">
            <v>9526800</v>
          </cell>
          <cell r="U796">
            <v>9526800</v>
          </cell>
        </row>
        <row r="797">
          <cell r="A797" t="str">
            <v>BoQ_687</v>
          </cell>
          <cell r="B797">
            <v>687</v>
          </cell>
          <cell r="C797">
            <v>17</v>
          </cell>
          <cell r="D797" t="str">
            <v>Water meter box DN75/ Hố xây đồng hồ nước DN75</v>
          </cell>
          <cell r="E797" t="str">
            <v>VN</v>
          </cell>
          <cell r="L797" t="str">
            <v>Set</v>
          </cell>
          <cell r="M797">
            <v>1</v>
          </cell>
          <cell r="N797">
            <v>7500000</v>
          </cell>
          <cell r="O797">
            <v>300000</v>
          </cell>
          <cell r="P797">
            <v>7650000</v>
          </cell>
          <cell r="Q797">
            <v>7650000</v>
          </cell>
          <cell r="R797">
            <v>306000</v>
          </cell>
          <cell r="S797">
            <v>306000</v>
          </cell>
          <cell r="T797">
            <v>7956000</v>
          </cell>
          <cell r="U797">
            <v>7956000</v>
          </cell>
        </row>
        <row r="798">
          <cell r="A798" t="str">
            <v>BoQ_688</v>
          </cell>
          <cell r="B798">
            <v>688</v>
          </cell>
          <cell r="C798">
            <v>18</v>
          </cell>
          <cell r="D798" t="str">
            <v>Gate Valve DN75/ Van cổng DN75</v>
          </cell>
          <cell r="E798" t="str">
            <v>China</v>
          </cell>
          <cell r="L798" t="str">
            <v>Ea</v>
          </cell>
          <cell r="M798">
            <v>1</v>
          </cell>
          <cell r="N798">
            <v>1177000</v>
          </cell>
          <cell r="O798">
            <v>113900</v>
          </cell>
          <cell r="P798">
            <v>1200540</v>
          </cell>
          <cell r="Q798">
            <v>1200540</v>
          </cell>
          <cell r="R798">
            <v>116178</v>
          </cell>
          <cell r="S798">
            <v>116178</v>
          </cell>
          <cell r="T798">
            <v>1316718</v>
          </cell>
          <cell r="U798">
            <v>1316718</v>
          </cell>
        </row>
        <row r="799">
          <cell r="A799" t="str">
            <v>BoQ_689</v>
          </cell>
          <cell r="B799">
            <v>689</v>
          </cell>
          <cell r="C799">
            <v>19</v>
          </cell>
          <cell r="D799" t="str">
            <v>Hanger, Support, Angle Bar(Gông đai, giá đỡ, thép góc, vít + nở...)</v>
          </cell>
          <cell r="E799" t="str">
            <v>VN</v>
          </cell>
          <cell r="L799" t="str">
            <v>Lot</v>
          </cell>
          <cell r="M799">
            <v>1</v>
          </cell>
          <cell r="N799">
            <v>11500000</v>
          </cell>
          <cell r="O799">
            <v>3000000</v>
          </cell>
          <cell r="P799">
            <v>11730000</v>
          </cell>
          <cell r="Q799">
            <v>11730000</v>
          </cell>
          <cell r="R799">
            <v>3060000</v>
          </cell>
          <cell r="S799">
            <v>3060000</v>
          </cell>
          <cell r="T799">
            <v>14790000</v>
          </cell>
          <cell r="U799">
            <v>14790000</v>
          </cell>
        </row>
        <row r="800">
          <cell r="A800" t="str">
            <v>BoQ_690</v>
          </cell>
          <cell r="B800">
            <v>690</v>
          </cell>
          <cell r="C800">
            <v>20</v>
          </cell>
          <cell r="D800" t="str">
            <v>Fee for connection to industrial water supply piping/ Phí kết nối với ống cấp nước khu công nghiệp</v>
          </cell>
          <cell r="E800" t="str">
            <v>VN</v>
          </cell>
          <cell r="L800" t="str">
            <v>Lot</v>
          </cell>
          <cell r="M800">
            <v>1</v>
          </cell>
          <cell r="N800">
            <v>0</v>
          </cell>
          <cell r="O800">
            <v>15000000</v>
          </cell>
          <cell r="P800">
            <v>0</v>
          </cell>
          <cell r="Q800">
            <v>0</v>
          </cell>
          <cell r="R800">
            <v>15300000</v>
          </cell>
          <cell r="S800">
            <v>15300000</v>
          </cell>
          <cell r="T800">
            <v>15300000</v>
          </cell>
          <cell r="U800">
            <v>15300000</v>
          </cell>
        </row>
        <row r="801">
          <cell r="A801" t="str">
            <v>BoQ_691</v>
          </cell>
          <cell r="B801">
            <v>691</v>
          </cell>
          <cell r="C801">
            <v>21</v>
          </cell>
          <cell r="D801" t="str">
            <v>Van bypass tại bơm tăng áp</v>
          </cell>
          <cell r="L801" t="str">
            <v>ea</v>
          </cell>
          <cell r="M801">
            <v>7</v>
          </cell>
          <cell r="N801">
            <v>157500</v>
          </cell>
          <cell r="O801">
            <v>47250</v>
          </cell>
          <cell r="P801">
            <v>160650</v>
          </cell>
          <cell r="Q801">
            <v>1124550</v>
          </cell>
          <cell r="R801">
            <v>48195</v>
          </cell>
          <cell r="S801">
            <v>337365</v>
          </cell>
          <cell r="T801">
            <v>208845</v>
          </cell>
          <cell r="U801">
            <v>1461915</v>
          </cell>
        </row>
        <row r="802">
          <cell r="A802" t="str">
            <v>BoQ_692</v>
          </cell>
          <cell r="B802">
            <v>692</v>
          </cell>
          <cell r="C802">
            <v>22</v>
          </cell>
          <cell r="D802" t="str">
            <v>Vật tư phụ
Accessories</v>
          </cell>
          <cell r="L802" t="str">
            <v>Lot</v>
          </cell>
          <cell r="M802">
            <v>1</v>
          </cell>
          <cell r="N802">
            <v>5000000</v>
          </cell>
          <cell r="O802">
            <v>0</v>
          </cell>
          <cell r="P802">
            <v>5100000</v>
          </cell>
          <cell r="Q802">
            <v>5100000</v>
          </cell>
          <cell r="R802">
            <v>0</v>
          </cell>
          <cell r="S802">
            <v>0</v>
          </cell>
          <cell r="T802">
            <v>5100000</v>
          </cell>
          <cell r="U802">
            <v>5100000</v>
          </cell>
        </row>
        <row r="803">
          <cell r="A803" t="str">
            <v>BoQ_693</v>
          </cell>
          <cell r="B803">
            <v>693</v>
          </cell>
          <cell r="C803">
            <v>23</v>
          </cell>
          <cell r="D803" t="str">
            <v>Vận chuyển
Transportation</v>
          </cell>
          <cell r="L803" t="str">
            <v>Lot</v>
          </cell>
          <cell r="M803">
            <v>1</v>
          </cell>
          <cell r="N803">
            <v>0</v>
          </cell>
          <cell r="O803">
            <v>5000000</v>
          </cell>
          <cell r="P803">
            <v>0</v>
          </cell>
          <cell r="Q803">
            <v>0</v>
          </cell>
          <cell r="R803">
            <v>5100000</v>
          </cell>
          <cell r="S803">
            <v>5100000</v>
          </cell>
          <cell r="T803">
            <v>5100000</v>
          </cell>
          <cell r="U803">
            <v>5100000</v>
          </cell>
        </row>
        <row r="804">
          <cell r="A804" t="str">
            <v>BoQ_694</v>
          </cell>
          <cell r="B804">
            <v>694</v>
          </cell>
          <cell r="C804">
            <v>24</v>
          </cell>
          <cell r="D804" t="str">
            <v>Cáp điện bơm tăng áp 4x2.5 mm</v>
          </cell>
          <cell r="E804" t="str">
            <v>Cadisun</v>
          </cell>
          <cell r="F804" t="str">
            <v>m</v>
          </cell>
          <cell r="L804" t="str">
            <v>m</v>
          </cell>
          <cell r="M804">
            <v>0</v>
          </cell>
          <cell r="N804">
            <v>29438</v>
          </cell>
          <cell r="O804">
            <v>9400</v>
          </cell>
          <cell r="P804">
            <v>30026.760000000002</v>
          </cell>
          <cell r="Q804">
            <v>0</v>
          </cell>
          <cell r="R804">
            <v>9588</v>
          </cell>
          <cell r="S804">
            <v>0</v>
          </cell>
          <cell r="T804">
            <v>39614.76</v>
          </cell>
          <cell r="U804">
            <v>0</v>
          </cell>
        </row>
        <row r="805">
          <cell r="D805" t="str">
            <v>Water supply line/ Đường ống+phụ kiện</v>
          </cell>
        </row>
        <row r="806">
          <cell r="A806" t="str">
            <v>BoQ_695</v>
          </cell>
          <cell r="B806">
            <v>695</v>
          </cell>
          <cell r="C806">
            <v>25</v>
          </cell>
          <cell r="D806" t="str">
            <v>Gate valve DN75/ Van cổng DN75</v>
          </cell>
          <cell r="E806" t="str">
            <v>China</v>
          </cell>
          <cell r="L806" t="str">
            <v>Ea</v>
          </cell>
          <cell r="M806">
            <v>4</v>
          </cell>
          <cell r="N806">
            <v>1177000</v>
          </cell>
          <cell r="O806">
            <v>113900</v>
          </cell>
          <cell r="P806">
            <v>1200540</v>
          </cell>
          <cell r="Q806">
            <v>4802160</v>
          </cell>
          <cell r="R806">
            <v>116178</v>
          </cell>
          <cell r="S806">
            <v>464712</v>
          </cell>
          <cell r="T806">
            <v>1316718</v>
          </cell>
          <cell r="U806">
            <v>5266872</v>
          </cell>
        </row>
        <row r="807">
          <cell r="A807" t="str">
            <v>BoQ_696</v>
          </cell>
          <cell r="B807">
            <v>696</v>
          </cell>
          <cell r="C807">
            <v>26</v>
          </cell>
          <cell r="D807" t="str">
            <v>Gate valve DN63/ Van cổng DN63</v>
          </cell>
          <cell r="E807" t="str">
            <v>China</v>
          </cell>
          <cell r="L807" t="str">
            <v>Ea</v>
          </cell>
          <cell r="M807">
            <v>2</v>
          </cell>
          <cell r="N807">
            <v>980000</v>
          </cell>
          <cell r="O807">
            <v>85400</v>
          </cell>
          <cell r="P807">
            <v>999600</v>
          </cell>
          <cell r="Q807">
            <v>1999200</v>
          </cell>
          <cell r="R807">
            <v>87108</v>
          </cell>
          <cell r="S807">
            <v>174216</v>
          </cell>
          <cell r="T807">
            <v>1086708</v>
          </cell>
          <cell r="U807">
            <v>2173416</v>
          </cell>
        </row>
        <row r="808">
          <cell r="A808" t="str">
            <v>BoQ_697</v>
          </cell>
          <cell r="B808">
            <v>697</v>
          </cell>
          <cell r="C808">
            <v>27</v>
          </cell>
          <cell r="D808" t="str">
            <v>Gate valve DN50/ Van cổng DN50</v>
          </cell>
          <cell r="E808" t="str">
            <v>China</v>
          </cell>
          <cell r="L808" t="str">
            <v>Ea</v>
          </cell>
          <cell r="M808">
            <v>4</v>
          </cell>
          <cell r="N808">
            <v>380226</v>
          </cell>
          <cell r="O808">
            <v>71200</v>
          </cell>
          <cell r="P808">
            <v>387830.52</v>
          </cell>
          <cell r="Q808">
            <v>1551322.08</v>
          </cell>
          <cell r="R808">
            <v>72624</v>
          </cell>
          <cell r="S808">
            <v>290496</v>
          </cell>
          <cell r="T808">
            <v>460454.52</v>
          </cell>
          <cell r="U808">
            <v>1841818.08</v>
          </cell>
        </row>
        <row r="809">
          <cell r="A809" t="str">
            <v>BoQ_698</v>
          </cell>
          <cell r="B809">
            <v>698</v>
          </cell>
          <cell r="C809">
            <v>28</v>
          </cell>
          <cell r="D809" t="str">
            <v>Gate valve DN32/ Van cổng DN32</v>
          </cell>
          <cell r="E809" t="str">
            <v>China</v>
          </cell>
          <cell r="L809" t="str">
            <v>Ea</v>
          </cell>
          <cell r="M809">
            <v>6</v>
          </cell>
          <cell r="N809">
            <v>144858</v>
          </cell>
          <cell r="O809">
            <v>42700</v>
          </cell>
          <cell r="P809">
            <v>147755.16</v>
          </cell>
          <cell r="Q809">
            <v>886530.96</v>
          </cell>
          <cell r="R809">
            <v>43554</v>
          </cell>
          <cell r="S809">
            <v>261324</v>
          </cell>
          <cell r="T809">
            <v>191309.16</v>
          </cell>
          <cell r="U809">
            <v>1147854.96</v>
          </cell>
        </row>
        <row r="810">
          <cell r="A810" t="str">
            <v>BoQ_699</v>
          </cell>
          <cell r="B810">
            <v>699</v>
          </cell>
          <cell r="C810">
            <v>27</v>
          </cell>
          <cell r="D810" t="str">
            <v>Gate valve PPR DN50/ Van cổng PPR DN50</v>
          </cell>
          <cell r="E810" t="str">
            <v>Tiền Phong</v>
          </cell>
          <cell r="L810" t="str">
            <v>Ea</v>
          </cell>
          <cell r="M810">
            <v>8</v>
          </cell>
          <cell r="N810">
            <v>380226</v>
          </cell>
          <cell r="O810">
            <v>80000</v>
          </cell>
          <cell r="P810">
            <v>387830.52</v>
          </cell>
          <cell r="Q810">
            <v>3102644.16</v>
          </cell>
          <cell r="R810">
            <v>81600</v>
          </cell>
          <cell r="S810">
            <v>652800</v>
          </cell>
          <cell r="T810">
            <v>469430.52</v>
          </cell>
          <cell r="U810">
            <v>3755444.16</v>
          </cell>
        </row>
        <row r="811">
          <cell r="A811" t="str">
            <v>BoQ_700</v>
          </cell>
          <cell r="B811">
            <v>700</v>
          </cell>
          <cell r="C811">
            <v>28</v>
          </cell>
          <cell r="D811" t="str">
            <v>Gate valve PPR DN32/ Van cổng PPR DN32</v>
          </cell>
          <cell r="E811" t="str">
            <v>Tiền Phong</v>
          </cell>
          <cell r="L811" t="str">
            <v>Ea</v>
          </cell>
          <cell r="M811">
            <v>8</v>
          </cell>
          <cell r="N811">
            <v>144858</v>
          </cell>
          <cell r="O811">
            <v>60000</v>
          </cell>
          <cell r="P811">
            <v>147755.16</v>
          </cell>
          <cell r="Q811">
            <v>1182041.28</v>
          </cell>
          <cell r="R811">
            <v>61200</v>
          </cell>
          <cell r="S811">
            <v>489600</v>
          </cell>
          <cell r="T811">
            <v>208955.16</v>
          </cell>
          <cell r="U811">
            <v>1671641.28</v>
          </cell>
        </row>
        <row r="812">
          <cell r="A812" t="str">
            <v>BoQ_701</v>
          </cell>
          <cell r="B812">
            <v>701</v>
          </cell>
          <cell r="C812">
            <v>29</v>
          </cell>
          <cell r="D812" t="str">
            <v>Gate valve PPR DN25/ Van cổng PPR DN25</v>
          </cell>
          <cell r="E812" t="str">
            <v>Tiền Phong</v>
          </cell>
          <cell r="L812" t="str">
            <v>Ea</v>
          </cell>
          <cell r="M812">
            <v>0</v>
          </cell>
          <cell r="N812">
            <v>100968</v>
          </cell>
          <cell r="O812">
            <v>48000</v>
          </cell>
          <cell r="P812">
            <v>102987.36</v>
          </cell>
          <cell r="Q812">
            <v>0</v>
          </cell>
          <cell r="R812">
            <v>48960</v>
          </cell>
          <cell r="S812">
            <v>0</v>
          </cell>
          <cell r="T812">
            <v>151947.35999999999</v>
          </cell>
          <cell r="U812">
            <v>0</v>
          </cell>
        </row>
        <row r="813">
          <cell r="A813" t="str">
            <v>BoQ_702</v>
          </cell>
          <cell r="B813">
            <v>702</v>
          </cell>
          <cell r="C813">
            <v>30</v>
          </cell>
          <cell r="D813" t="str">
            <v>Gl pipe D75/ Ống thép D75</v>
          </cell>
          <cell r="E813" t="str">
            <v>Hòa Phát</v>
          </cell>
          <cell r="L813" t="str">
            <v>m</v>
          </cell>
          <cell r="M813">
            <v>25</v>
          </cell>
          <cell r="N813">
            <v>150600</v>
          </cell>
          <cell r="O813">
            <v>158100</v>
          </cell>
          <cell r="P813">
            <v>153612</v>
          </cell>
          <cell r="Q813">
            <v>3840300</v>
          </cell>
          <cell r="R813">
            <v>161262</v>
          </cell>
          <cell r="S813">
            <v>4031550</v>
          </cell>
          <cell r="T813">
            <v>314874</v>
          </cell>
          <cell r="U813">
            <v>7871850</v>
          </cell>
        </row>
        <row r="814">
          <cell r="A814" t="str">
            <v>BoQ_703</v>
          </cell>
          <cell r="B814">
            <v>703</v>
          </cell>
          <cell r="C814">
            <v>30</v>
          </cell>
          <cell r="D814" t="str">
            <v>HDPE pipe D75, PN10/ Ống HDPE D75, PN10</v>
          </cell>
          <cell r="E814" t="str">
            <v>Tiền Phong</v>
          </cell>
          <cell r="L814" t="str">
            <v>m</v>
          </cell>
          <cell r="M814">
            <v>15</v>
          </cell>
          <cell r="N814">
            <v>75040</v>
          </cell>
          <cell r="O814">
            <v>39375</v>
          </cell>
          <cell r="P814">
            <v>76540.800000000003</v>
          </cell>
          <cell r="Q814">
            <v>1148112</v>
          </cell>
          <cell r="R814">
            <v>40162.5</v>
          </cell>
          <cell r="S814">
            <v>602437.5</v>
          </cell>
          <cell r="T814">
            <v>116703.3</v>
          </cell>
          <cell r="U814">
            <v>1750549.5</v>
          </cell>
        </row>
        <row r="815">
          <cell r="A815" t="str">
            <v>BoQ_704</v>
          </cell>
          <cell r="B815">
            <v>704</v>
          </cell>
          <cell r="C815">
            <v>31</v>
          </cell>
          <cell r="D815" t="str">
            <v>HDPE pipe D63, PN10/ Ống HDPE D63, PN10</v>
          </cell>
          <cell r="E815" t="str">
            <v>Tiền Phong</v>
          </cell>
          <cell r="L815" t="str">
            <v>m</v>
          </cell>
          <cell r="M815">
            <v>80</v>
          </cell>
          <cell r="N815">
            <v>51168</v>
          </cell>
          <cell r="O815">
            <v>34335</v>
          </cell>
          <cell r="P815">
            <v>52191.360000000001</v>
          </cell>
          <cell r="Q815">
            <v>4175308.7999999998</v>
          </cell>
          <cell r="R815">
            <v>35021.699999999997</v>
          </cell>
          <cell r="S815">
            <v>2801736</v>
          </cell>
          <cell r="T815">
            <v>87213.06</v>
          </cell>
          <cell r="U815">
            <v>6977044.7999999998</v>
          </cell>
        </row>
        <row r="816">
          <cell r="A816" t="str">
            <v>BoQ_705</v>
          </cell>
          <cell r="B816">
            <v>705</v>
          </cell>
          <cell r="C816">
            <v>32</v>
          </cell>
          <cell r="D816" t="str">
            <v>HDPE pipe D32, PN10/ Ống HDPE D32, PN10</v>
          </cell>
          <cell r="E816" t="str">
            <v>Tiền Phong</v>
          </cell>
          <cell r="L816" t="str">
            <v>m</v>
          </cell>
          <cell r="M816">
            <v>220</v>
          </cell>
          <cell r="N816">
            <v>13494</v>
          </cell>
          <cell r="O816">
            <v>22680</v>
          </cell>
          <cell r="P816">
            <v>13763.880000000001</v>
          </cell>
          <cell r="Q816">
            <v>3028053.6</v>
          </cell>
          <cell r="R816">
            <v>23133.600000000002</v>
          </cell>
          <cell r="S816">
            <v>5089392.0000000009</v>
          </cell>
          <cell r="T816">
            <v>36897.480000000003</v>
          </cell>
          <cell r="U816">
            <v>8117445.6000000006</v>
          </cell>
        </row>
        <row r="817">
          <cell r="A817" t="str">
            <v>BoQ_706</v>
          </cell>
          <cell r="B817">
            <v>706</v>
          </cell>
          <cell r="D817" t="str">
            <v>PPR pipe D75, PN10/ Ống PPR D75, PN10</v>
          </cell>
          <cell r="E817" t="str">
            <v>Tiền Phong</v>
          </cell>
          <cell r="L817" t="str">
            <v>m</v>
          </cell>
          <cell r="M817">
            <v>80</v>
          </cell>
          <cell r="N817">
            <v>103152</v>
          </cell>
          <cell r="O817">
            <v>45360</v>
          </cell>
          <cell r="P817">
            <v>105215.04000000001</v>
          </cell>
          <cell r="Q817">
            <v>8417203.2000000011</v>
          </cell>
          <cell r="R817">
            <v>46267.200000000004</v>
          </cell>
          <cell r="S817">
            <v>3701376.0000000005</v>
          </cell>
          <cell r="T817">
            <v>151482.24000000002</v>
          </cell>
          <cell r="U817">
            <v>12118579.200000001</v>
          </cell>
        </row>
        <row r="818">
          <cell r="A818" t="str">
            <v>BoQ_707</v>
          </cell>
          <cell r="B818">
            <v>707</v>
          </cell>
          <cell r="C818">
            <v>32</v>
          </cell>
          <cell r="D818" t="str">
            <v>PPR pipe D50, PN10/ Ống PPR D50, PN10</v>
          </cell>
          <cell r="E818" t="str">
            <v>Tiền Phong</v>
          </cell>
          <cell r="L818" t="str">
            <v>m</v>
          </cell>
          <cell r="M818">
            <v>60</v>
          </cell>
          <cell r="N818">
            <v>46662</v>
          </cell>
          <cell r="O818">
            <v>34335</v>
          </cell>
          <cell r="P818">
            <v>47595.24</v>
          </cell>
          <cell r="Q818">
            <v>2855714.4</v>
          </cell>
          <cell r="R818">
            <v>35021.699999999997</v>
          </cell>
          <cell r="S818">
            <v>2101302</v>
          </cell>
          <cell r="T818">
            <v>82616.94</v>
          </cell>
          <cell r="U818">
            <v>4957016.4000000004</v>
          </cell>
        </row>
        <row r="819">
          <cell r="A819" t="str">
            <v>BoQ_708</v>
          </cell>
          <cell r="B819">
            <v>708</v>
          </cell>
          <cell r="C819">
            <v>33</v>
          </cell>
          <cell r="D819" t="str">
            <v>PPR pipe D50, PN10/ Ống PPR D50, PN10</v>
          </cell>
          <cell r="E819" t="str">
            <v>Tiền Phong</v>
          </cell>
          <cell r="L819" t="str">
            <v>m</v>
          </cell>
          <cell r="M819">
            <v>0</v>
          </cell>
          <cell r="N819">
            <v>46662</v>
          </cell>
          <cell r="O819">
            <v>34335</v>
          </cell>
          <cell r="P819">
            <v>47595.24</v>
          </cell>
          <cell r="Q819">
            <v>0</v>
          </cell>
          <cell r="R819">
            <v>35021.699999999997</v>
          </cell>
          <cell r="S819">
            <v>0</v>
          </cell>
          <cell r="T819">
            <v>82616.94</v>
          </cell>
          <cell r="U819">
            <v>0</v>
          </cell>
        </row>
        <row r="820">
          <cell r="A820" t="str">
            <v>BoQ_709</v>
          </cell>
          <cell r="B820">
            <v>709</v>
          </cell>
          <cell r="C820">
            <v>34</v>
          </cell>
          <cell r="D820" t="str">
            <v>PPR pipe D40, PN10/ Ống PPR D40, PN10</v>
          </cell>
          <cell r="E820" t="str">
            <v>Tiền Phong</v>
          </cell>
          <cell r="L820" t="str">
            <v>m</v>
          </cell>
          <cell r="M820">
            <v>100</v>
          </cell>
          <cell r="N820">
            <v>31836</v>
          </cell>
          <cell r="O820">
            <v>29925</v>
          </cell>
          <cell r="P820">
            <v>32472.720000000001</v>
          </cell>
          <cell r="Q820">
            <v>3247272</v>
          </cell>
          <cell r="R820">
            <v>30523.5</v>
          </cell>
          <cell r="S820">
            <v>3052350</v>
          </cell>
          <cell r="T820">
            <v>62996.22</v>
          </cell>
          <cell r="U820">
            <v>6299622</v>
          </cell>
        </row>
        <row r="821">
          <cell r="A821" t="str">
            <v>BoQ_710</v>
          </cell>
          <cell r="B821">
            <v>710</v>
          </cell>
          <cell r="C821">
            <v>34</v>
          </cell>
          <cell r="D821" t="str">
            <v>PPR pipe D32, PN10/ Ống PPR D32, PN10</v>
          </cell>
          <cell r="E821" t="str">
            <v>Tiền Phong</v>
          </cell>
          <cell r="L821" t="str">
            <v>m</v>
          </cell>
          <cell r="M821">
            <v>90</v>
          </cell>
          <cell r="N821">
            <v>23730</v>
          </cell>
          <cell r="O821">
            <v>26145</v>
          </cell>
          <cell r="P821">
            <v>24204.600000000002</v>
          </cell>
          <cell r="Q821">
            <v>2178414</v>
          </cell>
          <cell r="R821">
            <v>26667.9</v>
          </cell>
          <cell r="S821">
            <v>2400111</v>
          </cell>
          <cell r="T821">
            <v>50872.5</v>
          </cell>
          <cell r="U821">
            <v>4578525</v>
          </cell>
        </row>
        <row r="822">
          <cell r="A822" t="str">
            <v>BoQ_711</v>
          </cell>
          <cell r="B822">
            <v>711</v>
          </cell>
          <cell r="C822">
            <v>35</v>
          </cell>
          <cell r="D822" t="str">
            <v>PPR pipe D25, PN10/ Ống PPR D25, PN10</v>
          </cell>
          <cell r="E822" t="str">
            <v>Tiền Phong</v>
          </cell>
          <cell r="L822" t="str">
            <v>m</v>
          </cell>
          <cell r="M822">
            <v>172</v>
          </cell>
          <cell r="N822">
            <v>18312</v>
          </cell>
          <cell r="O822">
            <v>22680</v>
          </cell>
          <cell r="P822">
            <v>18678.240000000002</v>
          </cell>
          <cell r="Q822">
            <v>3212657.2800000003</v>
          </cell>
          <cell r="R822">
            <v>23133.600000000002</v>
          </cell>
          <cell r="S822">
            <v>3978979.2</v>
          </cell>
          <cell r="T822">
            <v>41811.840000000004</v>
          </cell>
          <cell r="U822">
            <v>7191636.4800000004</v>
          </cell>
        </row>
        <row r="823">
          <cell r="A823" t="str">
            <v>BoQ_712</v>
          </cell>
          <cell r="B823">
            <v>712</v>
          </cell>
          <cell r="C823">
            <v>36</v>
          </cell>
          <cell r="D823" t="str">
            <v>PPR cold pipe D20, PN10/ Ống PPR D20, PN10</v>
          </cell>
          <cell r="E823" t="str">
            <v>Tiền Phong</v>
          </cell>
          <cell r="L823" t="str">
            <v>m</v>
          </cell>
          <cell r="M823">
            <v>104</v>
          </cell>
          <cell r="N823">
            <v>10248</v>
          </cell>
          <cell r="O823">
            <v>19845</v>
          </cell>
          <cell r="P823">
            <v>10452.960000000001</v>
          </cell>
          <cell r="Q823">
            <v>1087107.8400000001</v>
          </cell>
          <cell r="R823">
            <v>20241.900000000001</v>
          </cell>
          <cell r="S823">
            <v>2105157.6</v>
          </cell>
          <cell r="T823">
            <v>30694.86</v>
          </cell>
          <cell r="U823">
            <v>3192265.44</v>
          </cell>
        </row>
        <row r="824">
          <cell r="A824" t="str">
            <v>BoQ_713</v>
          </cell>
          <cell r="B824">
            <v>713</v>
          </cell>
          <cell r="C824">
            <v>37</v>
          </cell>
          <cell r="D824" t="str">
            <v>PPR hot pipe D20, PN20/ Ống PPR D20, PN20</v>
          </cell>
          <cell r="E824" t="str">
            <v>Tiền Phong</v>
          </cell>
          <cell r="L824" t="str">
            <v>m</v>
          </cell>
          <cell r="M824">
            <v>100</v>
          </cell>
          <cell r="N824">
            <v>12684</v>
          </cell>
          <cell r="O824">
            <v>19845</v>
          </cell>
          <cell r="P824">
            <v>12937.68</v>
          </cell>
          <cell r="Q824">
            <v>1293768</v>
          </cell>
          <cell r="R824">
            <v>20241.900000000001</v>
          </cell>
          <cell r="S824">
            <v>2024190.0000000002</v>
          </cell>
          <cell r="T824">
            <v>33179.58</v>
          </cell>
          <cell r="U824">
            <v>3317958</v>
          </cell>
        </row>
        <row r="825">
          <cell r="A825" t="str">
            <v>BoQ_714</v>
          </cell>
          <cell r="B825">
            <v>714</v>
          </cell>
          <cell r="C825">
            <v>38</v>
          </cell>
          <cell r="D825" t="str">
            <v>Plant watering hose d20
Vòi nước tưới cây d20</v>
          </cell>
          <cell r="L825" t="str">
            <v>cái</v>
          </cell>
          <cell r="M825">
            <v>12</v>
          </cell>
          <cell r="N825">
            <v>135300</v>
          </cell>
          <cell r="O825">
            <v>50000</v>
          </cell>
          <cell r="P825">
            <v>138006</v>
          </cell>
          <cell r="Q825">
            <v>1656072</v>
          </cell>
          <cell r="R825">
            <v>51000</v>
          </cell>
          <cell r="S825">
            <v>612000</v>
          </cell>
          <cell r="T825">
            <v>189006</v>
          </cell>
          <cell r="U825">
            <v>2268072</v>
          </cell>
        </row>
        <row r="826">
          <cell r="A826" t="str">
            <v>BoQ_715</v>
          </cell>
          <cell r="B826">
            <v>715</v>
          </cell>
          <cell r="C826">
            <v>39</v>
          </cell>
          <cell r="D826" t="str">
            <v>PPR Fitting/ Phụ kiện PPR</v>
          </cell>
          <cell r="E826" t="str">
            <v>VN</v>
          </cell>
          <cell r="L826" t="str">
            <v>Lot</v>
          </cell>
          <cell r="M826">
            <v>1</v>
          </cell>
          <cell r="N826">
            <v>16554115</v>
          </cell>
          <cell r="O826">
            <v>0</v>
          </cell>
          <cell r="P826">
            <v>16885197.300000001</v>
          </cell>
          <cell r="Q826">
            <v>16885197.300000001</v>
          </cell>
          <cell r="R826">
            <v>0</v>
          </cell>
          <cell r="S826">
            <v>0</v>
          </cell>
          <cell r="T826">
            <v>16885197.300000001</v>
          </cell>
          <cell r="U826">
            <v>16885197.300000001</v>
          </cell>
        </row>
        <row r="827">
          <cell r="A827" t="str">
            <v>BoQ_716</v>
          </cell>
          <cell r="B827">
            <v>716</v>
          </cell>
          <cell r="C827">
            <v>40</v>
          </cell>
          <cell r="D827" t="str">
            <v>Testing and commissioning
(Kiểm tra và vận hành thử)</v>
          </cell>
          <cell r="E827" t="str">
            <v>VN</v>
          </cell>
          <cell r="L827" t="str">
            <v>Lot</v>
          </cell>
          <cell r="M827">
            <v>1</v>
          </cell>
          <cell r="O827">
            <v>3000000</v>
          </cell>
          <cell r="P827">
            <v>0</v>
          </cell>
          <cell r="Q827">
            <v>0</v>
          </cell>
          <cell r="R827">
            <v>3060000</v>
          </cell>
          <cell r="S827">
            <v>3060000</v>
          </cell>
          <cell r="T827">
            <v>3060000</v>
          </cell>
          <cell r="U827">
            <v>3060000</v>
          </cell>
        </row>
        <row r="828">
          <cell r="A828" t="str">
            <v>BoQ_717</v>
          </cell>
          <cell r="B828">
            <v>717</v>
          </cell>
          <cell r="C828">
            <v>41</v>
          </cell>
          <cell r="D828" t="str">
            <v>Hanger, Support (Gông đai + vít + nở)</v>
          </cell>
          <cell r="E828" t="str">
            <v>VN</v>
          </cell>
          <cell r="L828" t="str">
            <v>Lot</v>
          </cell>
          <cell r="M828">
            <v>1</v>
          </cell>
          <cell r="N828">
            <v>3310823</v>
          </cell>
          <cell r="O828">
            <v>0</v>
          </cell>
          <cell r="P828">
            <v>3377039.46</v>
          </cell>
          <cell r="Q828">
            <v>3377039.46</v>
          </cell>
          <cell r="R828">
            <v>0</v>
          </cell>
          <cell r="S828">
            <v>0</v>
          </cell>
          <cell r="T828">
            <v>3377039.46</v>
          </cell>
          <cell r="U828">
            <v>3377039.46</v>
          </cell>
        </row>
        <row r="829">
          <cell r="A829" t="str">
            <v>BoQ_718</v>
          </cell>
          <cell r="B829">
            <v>718</v>
          </cell>
          <cell r="C829">
            <v>42</v>
          </cell>
          <cell r="D829" t="str">
            <v>Excavation and backfill/ Công tác đào đắp</v>
          </cell>
          <cell r="E829" t="str">
            <v>VN</v>
          </cell>
          <cell r="L829" t="str">
            <v>Lot</v>
          </cell>
          <cell r="M829">
            <v>1</v>
          </cell>
          <cell r="O829">
            <v>22678477</v>
          </cell>
          <cell r="P829">
            <v>0</v>
          </cell>
          <cell r="Q829">
            <v>0</v>
          </cell>
          <cell r="R829">
            <v>23132046.539999999</v>
          </cell>
          <cell r="S829">
            <v>23132046.539999999</v>
          </cell>
          <cell r="T829">
            <v>23132046.539999999</v>
          </cell>
          <cell r="U829">
            <v>23132046.539999999</v>
          </cell>
        </row>
        <row r="830">
          <cell r="A830" t="str">
            <v>BoQ_719</v>
          </cell>
          <cell r="B830">
            <v>719</v>
          </cell>
          <cell r="C830">
            <v>43</v>
          </cell>
          <cell r="D830" t="str">
            <v>Protection for underground pipe where across the road/ Bảo vệ ống ngầm qua đường. Ống thép D100</v>
          </cell>
          <cell r="E830" t="str">
            <v>VN</v>
          </cell>
          <cell r="L830" t="str">
            <v>Lot</v>
          </cell>
          <cell r="M830">
            <v>1</v>
          </cell>
          <cell r="N830">
            <v>8700000</v>
          </cell>
          <cell r="O830">
            <v>785400</v>
          </cell>
          <cell r="P830">
            <v>8874000</v>
          </cell>
          <cell r="Q830">
            <v>8874000</v>
          </cell>
          <cell r="R830">
            <v>801108</v>
          </cell>
          <cell r="S830">
            <v>801108</v>
          </cell>
          <cell r="T830">
            <v>9675108</v>
          </cell>
          <cell r="U830">
            <v>9675108</v>
          </cell>
        </row>
        <row r="831">
          <cell r="A831" t="str">
            <v>BoQ_720</v>
          </cell>
          <cell r="B831">
            <v>720</v>
          </cell>
          <cell r="C831">
            <v>44</v>
          </cell>
          <cell r="D831" t="str">
            <v>Accessories / Vật tư phụ</v>
          </cell>
          <cell r="L831" t="str">
            <v>Lot</v>
          </cell>
          <cell r="M831">
            <v>1</v>
          </cell>
          <cell r="N831">
            <v>9932469</v>
          </cell>
          <cell r="O831">
            <v>0</v>
          </cell>
          <cell r="P831">
            <v>10131118.380000001</v>
          </cell>
          <cell r="Q831">
            <v>10131118.380000001</v>
          </cell>
          <cell r="R831">
            <v>0</v>
          </cell>
          <cell r="S831">
            <v>0</v>
          </cell>
          <cell r="T831">
            <v>10131118.380000001</v>
          </cell>
          <cell r="U831">
            <v>10131118.380000001</v>
          </cell>
        </row>
        <row r="832">
          <cell r="A832" t="str">
            <v>BoQ_721</v>
          </cell>
          <cell r="B832">
            <v>721</v>
          </cell>
          <cell r="C832">
            <v>45</v>
          </cell>
          <cell r="D832" t="str">
            <v>Vận chuyển
Transportation</v>
          </cell>
          <cell r="L832" t="str">
            <v>Lot</v>
          </cell>
          <cell r="M832">
            <v>1</v>
          </cell>
          <cell r="N832">
            <v>0</v>
          </cell>
          <cell r="O832">
            <v>3000000</v>
          </cell>
          <cell r="P832">
            <v>0</v>
          </cell>
          <cell r="Q832">
            <v>0</v>
          </cell>
          <cell r="R832">
            <v>3060000</v>
          </cell>
          <cell r="S832">
            <v>3060000</v>
          </cell>
          <cell r="T832">
            <v>3060000</v>
          </cell>
          <cell r="U832">
            <v>3060000</v>
          </cell>
        </row>
        <row r="833">
          <cell r="D833" t="str">
            <v xml:space="preserve">
WASTE WATER SYSTEM (INSIDE BUILDING)
HỆ THỐNG NƯỚC THẢI TRONG NHÀ
</v>
          </cell>
        </row>
        <row r="834">
          <cell r="D834" t="str">
            <v>Sanitary pipe
Ống thoát vệ sinh</v>
          </cell>
        </row>
        <row r="835">
          <cell r="A835" t="str">
            <v>BoQ_722</v>
          </cell>
          <cell r="B835">
            <v>722</v>
          </cell>
          <cell r="C835">
            <v>42</v>
          </cell>
          <cell r="D835" t="str">
            <v>Pipe uPVC D180 Thickness class 2
Ống nhựa uPVC D180, độ dày C2</v>
          </cell>
          <cell r="E835" t="str">
            <v>Tiền Phong</v>
          </cell>
          <cell r="L835" t="str">
            <v>m</v>
          </cell>
          <cell r="M835">
            <v>45</v>
          </cell>
          <cell r="N835">
            <v>210527</v>
          </cell>
          <cell r="O835">
            <v>75758</v>
          </cell>
          <cell r="P835">
            <v>214737.54</v>
          </cell>
          <cell r="Q835">
            <v>9663189.3000000007</v>
          </cell>
          <cell r="R835">
            <v>77273.16</v>
          </cell>
          <cell r="S835">
            <v>3477292.2</v>
          </cell>
          <cell r="T835">
            <v>292010.7</v>
          </cell>
          <cell r="U835">
            <v>13140481.5</v>
          </cell>
        </row>
        <row r="836">
          <cell r="A836" t="str">
            <v>BoQ_723</v>
          </cell>
          <cell r="B836">
            <v>723</v>
          </cell>
          <cell r="C836">
            <v>43</v>
          </cell>
          <cell r="D836" t="str">
            <v>Pipe uPVC D160 Thickness class 2
Ống nhựa uPVC D160, độ dày C2</v>
          </cell>
          <cell r="E836" t="str">
            <v>Tiền Phong</v>
          </cell>
          <cell r="L836" t="str">
            <v>m</v>
          </cell>
          <cell r="M836">
            <v>104</v>
          </cell>
          <cell r="N836">
            <v>166599</v>
          </cell>
          <cell r="O836">
            <v>63126</v>
          </cell>
          <cell r="P836">
            <v>169930.98</v>
          </cell>
          <cell r="Q836">
            <v>17672821.920000002</v>
          </cell>
          <cell r="R836">
            <v>64388.520000000004</v>
          </cell>
          <cell r="S836">
            <v>6696406.0800000001</v>
          </cell>
          <cell r="T836">
            <v>234319.5</v>
          </cell>
          <cell r="U836">
            <v>24369228</v>
          </cell>
        </row>
        <row r="837">
          <cell r="A837" t="str">
            <v>BoQ_724</v>
          </cell>
          <cell r="B837">
            <v>724</v>
          </cell>
          <cell r="C837">
            <v>44</v>
          </cell>
          <cell r="D837" t="str">
            <v>Pipe uPVC D110 Thickness class 2
Ống nhựa uPVC D110, độ dày C2</v>
          </cell>
          <cell r="E837" t="str">
            <v>Tiền Phong</v>
          </cell>
          <cell r="L837" t="str">
            <v>m</v>
          </cell>
          <cell r="M837">
            <v>160</v>
          </cell>
          <cell r="N837">
            <v>80368</v>
          </cell>
          <cell r="O837">
            <v>36540</v>
          </cell>
          <cell r="P837">
            <v>81975.360000000001</v>
          </cell>
          <cell r="Q837">
            <v>13116057.6</v>
          </cell>
          <cell r="R837">
            <v>37270.800000000003</v>
          </cell>
          <cell r="S837">
            <v>5963328</v>
          </cell>
          <cell r="T837">
            <v>119246.16</v>
          </cell>
          <cell r="U837">
            <v>19079385.600000001</v>
          </cell>
        </row>
        <row r="838">
          <cell r="A838" t="str">
            <v>BoQ_725</v>
          </cell>
          <cell r="B838">
            <v>725</v>
          </cell>
          <cell r="C838">
            <v>45</v>
          </cell>
          <cell r="D838" t="str">
            <v>Pipe uPVC D90 Thickness class 2
Ống nhựa uPVC D90, độ dày C2</v>
          </cell>
          <cell r="E838" t="str">
            <v>Tiền Phong</v>
          </cell>
          <cell r="L838" t="str">
            <v>m</v>
          </cell>
          <cell r="M838">
            <v>82</v>
          </cell>
          <cell r="N838">
            <v>54842</v>
          </cell>
          <cell r="O838">
            <v>30540</v>
          </cell>
          <cell r="P838">
            <v>55938.840000000004</v>
          </cell>
          <cell r="Q838">
            <v>4586984.88</v>
          </cell>
          <cell r="R838">
            <v>31150.799999999999</v>
          </cell>
          <cell r="S838">
            <v>2554365.6</v>
          </cell>
          <cell r="T838">
            <v>87089.64</v>
          </cell>
          <cell r="U838">
            <v>7141350.4799999995</v>
          </cell>
        </row>
        <row r="839">
          <cell r="A839" t="str">
            <v>BoQ_726</v>
          </cell>
          <cell r="B839">
            <v>726</v>
          </cell>
          <cell r="C839">
            <v>46</v>
          </cell>
          <cell r="D839" t="str">
            <v>Pipe uPVC D42 Thickness class 2
Ống nhựa uPVC D42, độ dày C2</v>
          </cell>
          <cell r="E839" t="str">
            <v>Tiền Phong</v>
          </cell>
          <cell r="L839" t="str">
            <v>m</v>
          </cell>
          <cell r="M839">
            <v>58</v>
          </cell>
          <cell r="N839">
            <v>20385</v>
          </cell>
          <cell r="O839">
            <v>14711</v>
          </cell>
          <cell r="P839">
            <v>20792.7</v>
          </cell>
          <cell r="Q839">
            <v>1205976.6000000001</v>
          </cell>
          <cell r="R839">
            <v>15005.220000000001</v>
          </cell>
          <cell r="S839">
            <v>870302.76</v>
          </cell>
          <cell r="T839">
            <v>35797.919999999998</v>
          </cell>
          <cell r="U839">
            <v>2076279.3599999999</v>
          </cell>
        </row>
        <row r="840">
          <cell r="A840" t="str">
            <v>BoQ_727</v>
          </cell>
          <cell r="B840">
            <v>727</v>
          </cell>
          <cell r="C840">
            <v>47</v>
          </cell>
          <cell r="D840" t="str">
            <v xml:space="preserve">uPVC Fitting/ Phụ kiện uPVC </v>
          </cell>
          <cell r="E840" t="str">
            <v>VN</v>
          </cell>
          <cell r="L840" t="str">
            <v>Lot</v>
          </cell>
          <cell r="M840">
            <v>1</v>
          </cell>
          <cell r="N840">
            <v>8700000</v>
          </cell>
          <cell r="O840">
            <v>785400</v>
          </cell>
          <cell r="P840">
            <v>8874000</v>
          </cell>
          <cell r="Q840">
            <v>8874000</v>
          </cell>
          <cell r="R840">
            <v>801108</v>
          </cell>
          <cell r="S840">
            <v>801108</v>
          </cell>
          <cell r="T840">
            <v>9675108</v>
          </cell>
          <cell r="U840">
            <v>9675108</v>
          </cell>
        </row>
        <row r="841">
          <cell r="A841" t="str">
            <v>BoQ_728</v>
          </cell>
          <cell r="B841">
            <v>728</v>
          </cell>
          <cell r="C841">
            <v>48</v>
          </cell>
          <cell r="D841" t="str">
            <v>Protection for underground pipe where across the road/ Bảo vệ ống ngầm qua đường, ống thép dày 3,2mm</v>
          </cell>
          <cell r="E841" t="str">
            <v>VN</v>
          </cell>
          <cell r="L841" t="str">
            <v>Lot</v>
          </cell>
          <cell r="M841">
            <v>1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</row>
        <row r="842">
          <cell r="A842" t="str">
            <v>BoQ_729</v>
          </cell>
          <cell r="B842">
            <v>729</v>
          </cell>
          <cell r="C842">
            <v>49</v>
          </cell>
          <cell r="D842" t="str">
            <v>Excavation and backfill/ Công tác đào đắp</v>
          </cell>
          <cell r="E842" t="str">
            <v>VN</v>
          </cell>
          <cell r="L842" t="str">
            <v>Lot</v>
          </cell>
          <cell r="M842">
            <v>1</v>
          </cell>
          <cell r="N842">
            <v>0</v>
          </cell>
          <cell r="O842">
            <v>22678477</v>
          </cell>
          <cell r="P842">
            <v>0</v>
          </cell>
          <cell r="Q842">
            <v>0</v>
          </cell>
          <cell r="R842">
            <v>23132046.539999999</v>
          </cell>
          <cell r="S842">
            <v>23132046.539999999</v>
          </cell>
          <cell r="T842">
            <v>23132046.539999999</v>
          </cell>
          <cell r="U842">
            <v>23132046.539999999</v>
          </cell>
        </row>
        <row r="843">
          <cell r="A843" t="str">
            <v>BoQ_730</v>
          </cell>
          <cell r="B843">
            <v>730</v>
          </cell>
          <cell r="C843">
            <v>50</v>
          </cell>
          <cell r="D843" t="str">
            <v>Drilling core Draining the food preparation area
Khoan rút lõi Thoát sàn khu chuẩn bị thức ăn</v>
          </cell>
          <cell r="L843" t="str">
            <v>cái</v>
          </cell>
          <cell r="M843">
            <v>2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</row>
        <row r="844">
          <cell r="A844" t="str">
            <v>BoQ_731</v>
          </cell>
          <cell r="B844">
            <v>731</v>
          </cell>
          <cell r="C844">
            <v>50</v>
          </cell>
          <cell r="D844" t="str">
            <v>Thoát sàn khu chuẩn bị đồ ăn
Floor trap for preparation area</v>
          </cell>
          <cell r="L844" t="str">
            <v>cái</v>
          </cell>
          <cell r="M844">
            <v>2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</row>
        <row r="845">
          <cell r="D845" t="str">
            <v>Sanitary equipments/ Thiết bị vệ sinh</v>
          </cell>
        </row>
        <row r="846">
          <cell r="A846" t="str">
            <v>BoQ_732</v>
          </cell>
          <cell r="B846">
            <v>732</v>
          </cell>
          <cell r="C846">
            <v>53</v>
          </cell>
          <cell r="D846" t="str">
            <v xml:space="preserve">Water closet / Xí bệt </v>
          </cell>
          <cell r="E846" t="str">
            <v xml:space="preserve">INAX </v>
          </cell>
          <cell r="L846" t="str">
            <v>Set</v>
          </cell>
          <cell r="M846">
            <v>33</v>
          </cell>
          <cell r="N846">
            <v>8100000</v>
          </cell>
          <cell r="O846">
            <v>450000</v>
          </cell>
          <cell r="P846">
            <v>8262000</v>
          </cell>
          <cell r="Q846">
            <v>272646000</v>
          </cell>
          <cell r="R846">
            <v>459000</v>
          </cell>
          <cell r="S846">
            <v>15147000</v>
          </cell>
          <cell r="T846">
            <v>8721000</v>
          </cell>
          <cell r="U846">
            <v>287793000</v>
          </cell>
        </row>
        <row r="847">
          <cell r="A847" t="str">
            <v>BoQ_733</v>
          </cell>
          <cell r="B847">
            <v>733</v>
          </cell>
          <cell r="C847">
            <v>54</v>
          </cell>
          <cell r="D847" t="str">
            <v xml:space="preserve">Angle Valve T Inox / Van khóa Inox Chữ T </v>
          </cell>
          <cell r="E847" t="str">
            <v>INAX</v>
          </cell>
          <cell r="L847" t="str">
            <v>Set</v>
          </cell>
          <cell r="M847">
            <v>33</v>
          </cell>
          <cell r="N847">
            <v>16000</v>
          </cell>
          <cell r="O847">
            <v>50000</v>
          </cell>
          <cell r="P847">
            <v>16320</v>
          </cell>
          <cell r="Q847">
            <v>538560</v>
          </cell>
          <cell r="R847">
            <v>51000</v>
          </cell>
          <cell r="S847">
            <v>1683000</v>
          </cell>
          <cell r="T847">
            <v>67320</v>
          </cell>
          <cell r="U847">
            <v>2221560</v>
          </cell>
        </row>
        <row r="848">
          <cell r="A848" t="str">
            <v>BoQ_734</v>
          </cell>
          <cell r="B848">
            <v>734</v>
          </cell>
          <cell r="C848">
            <v>54</v>
          </cell>
          <cell r="D848" t="str">
            <v>Angle Valve T Inox / Xi phông xí bệt</v>
          </cell>
          <cell r="E848" t="str">
            <v>INAX</v>
          </cell>
          <cell r="L848" t="str">
            <v>Set</v>
          </cell>
          <cell r="M848">
            <v>33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</row>
        <row r="849">
          <cell r="A849" t="str">
            <v>BoQ_735</v>
          </cell>
          <cell r="B849">
            <v>735</v>
          </cell>
          <cell r="C849">
            <v>54</v>
          </cell>
          <cell r="D849" t="str">
            <v>Flexible Spray/ Vòi xịt</v>
          </cell>
          <cell r="E849" t="str">
            <v>INAX</v>
          </cell>
          <cell r="L849" t="str">
            <v>Set</v>
          </cell>
          <cell r="M849">
            <v>33</v>
          </cell>
          <cell r="N849">
            <v>270000</v>
          </cell>
          <cell r="O849">
            <v>50000</v>
          </cell>
          <cell r="P849">
            <v>275400</v>
          </cell>
          <cell r="Q849">
            <v>9088200</v>
          </cell>
          <cell r="R849">
            <v>51000</v>
          </cell>
          <cell r="S849">
            <v>1683000</v>
          </cell>
          <cell r="T849">
            <v>326400</v>
          </cell>
          <cell r="U849">
            <v>10771200</v>
          </cell>
        </row>
        <row r="850">
          <cell r="A850" t="str">
            <v>BoQ_736</v>
          </cell>
          <cell r="B850">
            <v>736</v>
          </cell>
          <cell r="C850">
            <v>56</v>
          </cell>
          <cell r="D850" t="str">
            <v xml:space="preserve">Paper Holder / Hộp đựng giấy </v>
          </cell>
          <cell r="E850" t="str">
            <v>INAX</v>
          </cell>
          <cell r="L850" t="str">
            <v>Set</v>
          </cell>
          <cell r="M850">
            <v>33</v>
          </cell>
          <cell r="N850">
            <v>590000</v>
          </cell>
          <cell r="O850">
            <v>50000</v>
          </cell>
          <cell r="P850">
            <v>601800</v>
          </cell>
          <cell r="Q850">
            <v>19859400</v>
          </cell>
          <cell r="R850">
            <v>51000</v>
          </cell>
          <cell r="S850">
            <v>1683000</v>
          </cell>
          <cell r="T850">
            <v>652800</v>
          </cell>
          <cell r="U850">
            <v>21542400</v>
          </cell>
        </row>
        <row r="851">
          <cell r="A851" t="str">
            <v>BoQ_737</v>
          </cell>
          <cell r="B851">
            <v>737</v>
          </cell>
          <cell r="C851">
            <v>57</v>
          </cell>
          <cell r="D851" t="str">
            <v xml:space="preserve">Urinal / Bồn tiểu nam </v>
          </cell>
          <cell r="E851" t="str">
            <v>INAX</v>
          </cell>
          <cell r="L851" t="str">
            <v>Set</v>
          </cell>
          <cell r="M851">
            <v>13</v>
          </cell>
          <cell r="N851">
            <v>1510000</v>
          </cell>
          <cell r="O851">
            <v>350000</v>
          </cell>
          <cell r="P851">
            <v>1540200</v>
          </cell>
          <cell r="Q851">
            <v>20022600</v>
          </cell>
          <cell r="R851">
            <v>357000</v>
          </cell>
          <cell r="S851">
            <v>4641000</v>
          </cell>
          <cell r="T851">
            <v>1897200</v>
          </cell>
          <cell r="U851">
            <v>24663600</v>
          </cell>
        </row>
        <row r="852">
          <cell r="A852" t="str">
            <v>BoQ_738</v>
          </cell>
          <cell r="B852">
            <v>738</v>
          </cell>
          <cell r="C852">
            <v>58</v>
          </cell>
          <cell r="D852" t="str">
            <v>Automatic Flush valve /Van xả tự động tiểu nam</v>
          </cell>
          <cell r="E852" t="str">
            <v>INAX</v>
          </cell>
          <cell r="L852" t="str">
            <v>Set</v>
          </cell>
          <cell r="M852">
            <v>13</v>
          </cell>
          <cell r="N852">
            <v>4100000</v>
          </cell>
          <cell r="O852">
            <v>100000</v>
          </cell>
          <cell r="P852">
            <v>4182000</v>
          </cell>
          <cell r="Q852">
            <v>54366000</v>
          </cell>
          <cell r="R852">
            <v>102000</v>
          </cell>
          <cell r="S852">
            <v>1326000</v>
          </cell>
          <cell r="T852">
            <v>4284000</v>
          </cell>
          <cell r="U852">
            <v>55692000</v>
          </cell>
        </row>
        <row r="853">
          <cell r="A853" t="str">
            <v>BoQ_739</v>
          </cell>
          <cell r="B853">
            <v>739</v>
          </cell>
          <cell r="C853">
            <v>59</v>
          </cell>
          <cell r="D853" t="str">
            <v>Lavatory/ Chậu rửa</v>
          </cell>
          <cell r="E853" t="str">
            <v>INAX</v>
          </cell>
          <cell r="L853" t="str">
            <v>Set</v>
          </cell>
          <cell r="M853">
            <v>16</v>
          </cell>
          <cell r="N853">
            <v>893000</v>
          </cell>
          <cell r="O853">
            <v>250000</v>
          </cell>
          <cell r="P853">
            <v>910860</v>
          </cell>
          <cell r="Q853">
            <v>14573760</v>
          </cell>
          <cell r="R853">
            <v>255000</v>
          </cell>
          <cell r="S853">
            <v>4080000</v>
          </cell>
          <cell r="T853">
            <v>1165860</v>
          </cell>
          <cell r="U853">
            <v>18653760</v>
          </cell>
        </row>
        <row r="854">
          <cell r="A854" t="str">
            <v>BoQ_740</v>
          </cell>
          <cell r="B854">
            <v>740</v>
          </cell>
          <cell r="C854">
            <v>60</v>
          </cell>
          <cell r="D854" t="str">
            <v>Automatic Faucet for Lavatory / Vòi chậu rửa tự động</v>
          </cell>
          <cell r="E854" t="str">
            <v>INAX</v>
          </cell>
          <cell r="L854" t="str">
            <v>Set</v>
          </cell>
          <cell r="M854">
            <v>16</v>
          </cell>
          <cell r="N854">
            <v>8240000</v>
          </cell>
          <cell r="O854">
            <v>250000</v>
          </cell>
          <cell r="P854">
            <v>8404800</v>
          </cell>
          <cell r="Q854">
            <v>134476800</v>
          </cell>
          <cell r="R854">
            <v>255000</v>
          </cell>
          <cell r="S854">
            <v>4080000</v>
          </cell>
          <cell r="T854">
            <v>8659800</v>
          </cell>
          <cell r="U854">
            <v>138556800</v>
          </cell>
        </row>
        <row r="855">
          <cell r="A855" t="str">
            <v>BoQ_741</v>
          </cell>
          <cell r="B855">
            <v>741</v>
          </cell>
          <cell r="C855">
            <v>60</v>
          </cell>
          <cell r="D855" t="str">
            <v>Chậu rửa tay inox tại lối vào Canteen
Stainess steel lavabo at Canteen</v>
          </cell>
          <cell r="L855" t="str">
            <v>set</v>
          </cell>
          <cell r="M855">
            <v>8</v>
          </cell>
          <cell r="N855">
            <v>5000000</v>
          </cell>
          <cell r="O855">
            <v>250000</v>
          </cell>
          <cell r="P855">
            <v>5100000</v>
          </cell>
          <cell r="Q855">
            <v>40800000</v>
          </cell>
          <cell r="R855">
            <v>255000</v>
          </cell>
          <cell r="S855">
            <v>2040000</v>
          </cell>
          <cell r="T855">
            <v>5355000</v>
          </cell>
          <cell r="U855">
            <v>42840000</v>
          </cell>
        </row>
        <row r="856">
          <cell r="A856" t="str">
            <v>BoQ_742</v>
          </cell>
          <cell r="B856">
            <v>742</v>
          </cell>
          <cell r="C856">
            <v>60</v>
          </cell>
          <cell r="D856" t="str">
            <v>Vòi chậu rửa tự động
Automatic Water tap</v>
          </cell>
          <cell r="L856" t="str">
            <v>set</v>
          </cell>
          <cell r="M856">
            <v>8</v>
          </cell>
          <cell r="N856">
            <v>8240000</v>
          </cell>
          <cell r="O856">
            <v>250000</v>
          </cell>
          <cell r="P856">
            <v>8404800</v>
          </cell>
          <cell r="Q856">
            <v>67238400</v>
          </cell>
          <cell r="R856">
            <v>255000</v>
          </cell>
          <cell r="S856">
            <v>2040000</v>
          </cell>
          <cell r="T856">
            <v>8659800</v>
          </cell>
          <cell r="U856">
            <v>69278400</v>
          </cell>
        </row>
        <row r="857">
          <cell r="A857" t="str">
            <v>BoQ_743</v>
          </cell>
          <cell r="B857">
            <v>743</v>
          </cell>
          <cell r="C857">
            <v>60</v>
          </cell>
          <cell r="D857" t="str">
            <v>Ngăn tách mỡ inox 304 dung tích 50L KT: 500x350x320mm</v>
          </cell>
          <cell r="E857" t="str">
            <v>bỏ</v>
          </cell>
          <cell r="L857" t="str">
            <v>set</v>
          </cell>
          <cell r="M857">
            <v>0</v>
          </cell>
          <cell r="N857">
            <v>7500000</v>
          </cell>
          <cell r="O857">
            <v>1250000</v>
          </cell>
          <cell r="P857">
            <v>7650000</v>
          </cell>
          <cell r="Q857">
            <v>0</v>
          </cell>
          <cell r="R857">
            <v>1275000</v>
          </cell>
          <cell r="S857">
            <v>0</v>
          </cell>
          <cell r="T857">
            <v>8925000</v>
          </cell>
          <cell r="U857">
            <v>0</v>
          </cell>
        </row>
        <row r="858">
          <cell r="A858" t="str">
            <v>BoQ_744</v>
          </cell>
          <cell r="B858">
            <v>744</v>
          </cell>
          <cell r="C858">
            <v>60</v>
          </cell>
          <cell r="D858" t="str">
            <v xml:space="preserve">Ptrap and flexible connection Lavabo /Xiphong </v>
          </cell>
          <cell r="E858" t="str">
            <v>INAX</v>
          </cell>
          <cell r="L858" t="str">
            <v>Set</v>
          </cell>
          <cell r="M858">
            <v>16</v>
          </cell>
          <cell r="N858">
            <v>480000</v>
          </cell>
          <cell r="O858">
            <v>50000</v>
          </cell>
          <cell r="P858">
            <v>489600</v>
          </cell>
          <cell r="Q858">
            <v>7833600</v>
          </cell>
          <cell r="R858">
            <v>51000</v>
          </cell>
          <cell r="S858">
            <v>816000</v>
          </cell>
          <cell r="T858">
            <v>540600</v>
          </cell>
          <cell r="U858">
            <v>8649600</v>
          </cell>
        </row>
        <row r="859">
          <cell r="A859" t="str">
            <v>BoQ_745</v>
          </cell>
          <cell r="B859">
            <v>745</v>
          </cell>
          <cell r="C859">
            <v>60</v>
          </cell>
          <cell r="D859" t="str">
            <v>Floor drain D90/ Thoát sàn D90</v>
          </cell>
          <cell r="E859" t="str">
            <v>INAX</v>
          </cell>
          <cell r="L859" t="str">
            <v>Ea</v>
          </cell>
          <cell r="M859">
            <v>12</v>
          </cell>
          <cell r="N859">
            <v>225000</v>
          </cell>
          <cell r="O859">
            <v>80000</v>
          </cell>
          <cell r="P859">
            <v>229500</v>
          </cell>
          <cell r="Q859">
            <v>2754000</v>
          </cell>
          <cell r="R859">
            <v>81600</v>
          </cell>
          <cell r="S859">
            <v>979200</v>
          </cell>
          <cell r="T859">
            <v>311100</v>
          </cell>
          <cell r="U859">
            <v>3733200</v>
          </cell>
        </row>
        <row r="860">
          <cell r="A860" t="str">
            <v>BoQ_746</v>
          </cell>
          <cell r="B860">
            <v>746</v>
          </cell>
          <cell r="C860">
            <v>66</v>
          </cell>
          <cell r="D860" t="str">
            <v>Heater Ariston 100L/ Bình nóng lạnh Ariston 100L</v>
          </cell>
          <cell r="E860" t="str">
            <v>ARISTON, FERORI</v>
          </cell>
          <cell r="L860" t="str">
            <v>Ea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</row>
        <row r="861">
          <cell r="A861" t="str">
            <v>BoQ_747</v>
          </cell>
          <cell r="B861">
            <v>747</v>
          </cell>
          <cell r="C861">
            <v>67</v>
          </cell>
          <cell r="D861" t="str">
            <v>Heater Ariston 30L/ Bình nóng lạnh Ariston 30L</v>
          </cell>
          <cell r="E861" t="str">
            <v>ARISTON, FERORI</v>
          </cell>
          <cell r="L861" t="str">
            <v>Ea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</row>
        <row r="862">
          <cell r="A862" t="str">
            <v>BoQ_748</v>
          </cell>
          <cell r="B862">
            <v>748</v>
          </cell>
          <cell r="C862">
            <v>68</v>
          </cell>
          <cell r="D862" t="str">
            <v>Garden faucet DN15/ Vòi nước DN15</v>
          </cell>
          <cell r="E862" t="str">
            <v>VN</v>
          </cell>
          <cell r="L862" t="str">
            <v>Ea</v>
          </cell>
          <cell r="M862">
            <v>6</v>
          </cell>
          <cell r="N862">
            <v>50000</v>
          </cell>
          <cell r="O862">
            <v>50000</v>
          </cell>
          <cell r="P862">
            <v>51000</v>
          </cell>
          <cell r="Q862">
            <v>306000</v>
          </cell>
          <cell r="R862">
            <v>51000</v>
          </cell>
          <cell r="S862">
            <v>306000</v>
          </cell>
          <cell r="T862">
            <v>102000</v>
          </cell>
          <cell r="U862">
            <v>612000</v>
          </cell>
        </row>
        <row r="863">
          <cell r="A863" t="str">
            <v>BoQ_749</v>
          </cell>
          <cell r="B863">
            <v>749</v>
          </cell>
          <cell r="C863">
            <v>69</v>
          </cell>
          <cell r="D863" t="str">
            <v>Marble table and support for lavabo/
Bàn đá và giá chịu lực cho chậu rửa</v>
          </cell>
          <cell r="E863" t="str">
            <v>VN</v>
          </cell>
          <cell r="L863" t="str">
            <v>m</v>
          </cell>
          <cell r="M863">
            <v>12.2</v>
          </cell>
          <cell r="N863">
            <v>950000</v>
          </cell>
          <cell r="O863">
            <v>250000</v>
          </cell>
          <cell r="P863">
            <v>969000</v>
          </cell>
          <cell r="Q863">
            <v>11821800</v>
          </cell>
          <cell r="R863">
            <v>255000</v>
          </cell>
          <cell r="S863">
            <v>3111000</v>
          </cell>
          <cell r="T863">
            <v>1224000</v>
          </cell>
          <cell r="U863">
            <v>14932800</v>
          </cell>
        </row>
        <row r="864">
          <cell r="A864" t="str">
            <v>BoQ_750</v>
          </cell>
          <cell r="B864">
            <v>750</v>
          </cell>
          <cell r="C864">
            <v>70</v>
          </cell>
          <cell r="D864" t="str">
            <v>Mirror for lavatory/ Gương cho chậu rửa</v>
          </cell>
          <cell r="E864" t="str">
            <v>VN</v>
          </cell>
          <cell r="L864" t="str">
            <v>m</v>
          </cell>
          <cell r="M864">
            <v>16</v>
          </cell>
          <cell r="N864">
            <v>550000</v>
          </cell>
          <cell r="O864">
            <v>250000</v>
          </cell>
          <cell r="P864">
            <v>561000</v>
          </cell>
          <cell r="Q864">
            <v>8976000</v>
          </cell>
          <cell r="R864">
            <v>255000</v>
          </cell>
          <cell r="S864">
            <v>4080000</v>
          </cell>
          <cell r="T864">
            <v>816000</v>
          </cell>
          <cell r="U864">
            <v>13056000</v>
          </cell>
        </row>
        <row r="865">
          <cell r="A865" t="str">
            <v>BoQ_751</v>
          </cell>
          <cell r="B865">
            <v>751</v>
          </cell>
          <cell r="C865">
            <v>71</v>
          </cell>
          <cell r="D865" t="str">
            <v>Other expenses: screws, glue,…
Chi phí khác: vít, keo,…</v>
          </cell>
          <cell r="E865" t="str">
            <v>VN</v>
          </cell>
          <cell r="L865" t="str">
            <v>Lot</v>
          </cell>
          <cell r="M865">
            <v>1</v>
          </cell>
          <cell r="N865">
            <v>30290272</v>
          </cell>
          <cell r="O865">
            <v>0</v>
          </cell>
          <cell r="P865">
            <v>30896077.440000001</v>
          </cell>
          <cell r="Q865">
            <v>30896077.440000001</v>
          </cell>
          <cell r="R865">
            <v>0</v>
          </cell>
          <cell r="S865">
            <v>0</v>
          </cell>
          <cell r="T865">
            <v>30896077.440000001</v>
          </cell>
          <cell r="U865">
            <v>30896077.440000001</v>
          </cell>
        </row>
        <row r="866">
          <cell r="A866" t="str">
            <v>BoQ_752</v>
          </cell>
          <cell r="B866">
            <v>752</v>
          </cell>
          <cell r="C866">
            <v>72</v>
          </cell>
          <cell r="D866" t="str">
            <v>Transportation fee/ Phí vận chuyển</v>
          </cell>
          <cell r="E866" t="str">
            <v>VN</v>
          </cell>
          <cell r="L866" t="str">
            <v>Lot</v>
          </cell>
          <cell r="M866">
            <v>1</v>
          </cell>
          <cell r="N866">
            <v>0</v>
          </cell>
          <cell r="O866">
            <v>10000000</v>
          </cell>
          <cell r="P866">
            <v>0</v>
          </cell>
          <cell r="Q866">
            <v>0</v>
          </cell>
          <cell r="R866">
            <v>10200000</v>
          </cell>
          <cell r="S866">
            <v>10200000</v>
          </cell>
          <cell r="T866">
            <v>10200000</v>
          </cell>
          <cell r="U866">
            <v>10200000</v>
          </cell>
        </row>
        <row r="867">
          <cell r="D867" t="str">
            <v>ELECTRICAL WORKS</v>
          </cell>
          <cell r="U867">
            <v>11077160756.706154</v>
          </cell>
          <cell r="V867">
            <v>471368.54283855972</v>
          </cell>
        </row>
        <row r="869">
          <cell r="C869">
            <v>1</v>
          </cell>
          <cell r="D869" t="str">
            <v>HIGH VOLTAGE INCOMING &amp; SUB STATION WORKS</v>
          </cell>
        </row>
        <row r="870">
          <cell r="C870" t="str">
            <v>A</v>
          </cell>
          <cell r="D870" t="str">
            <v>HV Incoming
Đầu vào trung thế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</row>
        <row r="871">
          <cell r="A871" t="str">
            <v>BoQ_753</v>
          </cell>
          <cell r="B871">
            <v>753</v>
          </cell>
          <cell r="C871">
            <v>1</v>
          </cell>
          <cell r="D871" t="str">
            <v>Recloser 630A-35kV and Acessories 
Cầu dao phụ tải tự động Recloser 630A-35kV và phụ kiện</v>
          </cell>
          <cell r="L871" t="str">
            <v>set</v>
          </cell>
          <cell r="M871">
            <v>1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W871" t="str">
            <v>Schneider</v>
          </cell>
        </row>
        <row r="872">
          <cell r="A872" t="str">
            <v>BoQ_754</v>
          </cell>
          <cell r="B872">
            <v>754</v>
          </cell>
          <cell r="C872">
            <v>2</v>
          </cell>
          <cell r="D872" t="str">
            <v>Support for Recloser
Giá đỡ cầu dao phụ tải tự động Recloser</v>
          </cell>
          <cell r="L872" t="str">
            <v>set</v>
          </cell>
          <cell r="M872">
            <v>1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</row>
        <row r="873">
          <cell r="A873" t="str">
            <v>BoQ_755</v>
          </cell>
          <cell r="B873">
            <v>755</v>
          </cell>
          <cell r="C873">
            <v>3</v>
          </cell>
          <cell r="D873" t="str">
            <v xml:space="preserve">Control panel Recloser 630A-35kV 
Tủ điểu khiển cho Recloser 630A-35kV </v>
          </cell>
          <cell r="L873" t="str">
            <v>set</v>
          </cell>
          <cell r="M873">
            <v>1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</row>
        <row r="874">
          <cell r="A874" t="str">
            <v>BoQ_756</v>
          </cell>
          <cell r="B874">
            <v>756</v>
          </cell>
          <cell r="C874">
            <v>4</v>
          </cell>
          <cell r="D874" t="str">
            <v>Cầu dao cách ly 35kV 35kV
Isolation breaker</v>
          </cell>
          <cell r="L874" t="str">
            <v>set</v>
          </cell>
          <cell r="M874">
            <v>1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</row>
        <row r="875">
          <cell r="A875" t="str">
            <v>BoQ_757</v>
          </cell>
          <cell r="B875">
            <v>757</v>
          </cell>
          <cell r="C875">
            <v>5</v>
          </cell>
          <cell r="D875" t="str">
            <v>Cầu chì PK 35kv, Kèm xà đỡ cầu chì</v>
          </cell>
          <cell r="L875" t="str">
            <v>set</v>
          </cell>
          <cell r="M875">
            <v>1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</row>
        <row r="876">
          <cell r="A876" t="str">
            <v>BoQ_758</v>
          </cell>
          <cell r="B876">
            <v>758</v>
          </cell>
          <cell r="C876">
            <v>6</v>
          </cell>
          <cell r="D876" t="str">
            <v>Lightning arrester 35kV-10kA
Bộ chống sét 35Kv-10kA</v>
          </cell>
          <cell r="L876" t="str">
            <v>set</v>
          </cell>
          <cell r="M876">
            <v>1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</row>
        <row r="877">
          <cell r="A877" t="str">
            <v>BoQ_759</v>
          </cell>
          <cell r="B877">
            <v>759</v>
          </cell>
          <cell r="C877">
            <v>7</v>
          </cell>
          <cell r="D877" t="str">
            <v>Support for LA
Giá đỡ chống sét van</v>
          </cell>
          <cell r="L877" t="str">
            <v>set</v>
          </cell>
          <cell r="M877">
            <v>1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</row>
        <row r="878">
          <cell r="A878" t="str">
            <v>BoQ_760</v>
          </cell>
          <cell r="B878">
            <v>760</v>
          </cell>
          <cell r="C878">
            <v>8</v>
          </cell>
          <cell r="D878" t="str">
            <v>Pin insualator
Sứ đỡ Plolyme</v>
          </cell>
          <cell r="L878" t="str">
            <v>set</v>
          </cell>
          <cell r="M878">
            <v>3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</row>
        <row r="879">
          <cell r="A879" t="str">
            <v>BoQ_761</v>
          </cell>
          <cell r="B879">
            <v>761</v>
          </cell>
          <cell r="C879">
            <v>9</v>
          </cell>
          <cell r="D879" t="str">
            <v>Pin Insulator
Giá đỡ cho sứ cách điện</v>
          </cell>
          <cell r="L879" t="str">
            <v>set</v>
          </cell>
          <cell r="M879">
            <v>1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</row>
        <row r="880">
          <cell r="A880" t="str">
            <v>BoQ_762</v>
          </cell>
          <cell r="B880">
            <v>762</v>
          </cell>
          <cell r="C880">
            <v>10</v>
          </cell>
          <cell r="D880" t="str">
            <v>Cable 35Kv CU/XLPE/DSTA/PVC 3Cx240mm2</v>
          </cell>
          <cell r="E880" t="str">
            <v>Tận dụng cáp trung thế 3x70</v>
          </cell>
          <cell r="L880" t="str">
            <v>m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</row>
        <row r="881">
          <cell r="A881" t="str">
            <v>BoQ_763</v>
          </cell>
          <cell r="B881">
            <v>763</v>
          </cell>
          <cell r="C881">
            <v>11</v>
          </cell>
          <cell r="D881" t="str">
            <v>Dây nhôm AC 120/19
Aluminium wiring AC 120/19</v>
          </cell>
          <cell r="L881" t="str">
            <v>m</v>
          </cell>
          <cell r="M881">
            <v>90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</row>
        <row r="882">
          <cell r="A882" t="str">
            <v>BoQ_764</v>
          </cell>
          <cell r="B882">
            <v>764</v>
          </cell>
          <cell r="C882">
            <v>12</v>
          </cell>
          <cell r="D882" t="str">
            <v>Dây nhôm bọc HDPE 120
Aluminium wiring with HDPE cover</v>
          </cell>
          <cell r="L882" t="str">
            <v>m</v>
          </cell>
          <cell r="M882">
            <v>90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</row>
        <row r="883">
          <cell r="A883" t="str">
            <v>BoQ_765</v>
          </cell>
          <cell r="B883">
            <v>765</v>
          </cell>
          <cell r="C883">
            <v>13</v>
          </cell>
          <cell r="D883" t="str">
            <v>Tiếp địa tại điểm đấu
Earthing connection</v>
          </cell>
          <cell r="L883" t="str">
            <v>Pcs</v>
          </cell>
          <cell r="M883">
            <v>1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</row>
        <row r="884">
          <cell r="A884" t="str">
            <v>BoQ_766</v>
          </cell>
          <cell r="B884">
            <v>766</v>
          </cell>
          <cell r="C884">
            <v>14</v>
          </cell>
          <cell r="D884" t="str">
            <v>Tay giật cầu dao</v>
          </cell>
          <cell r="L884" t="str">
            <v>Pcs</v>
          </cell>
          <cell r="M884">
            <v>1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</row>
        <row r="885">
          <cell r="A885" t="str">
            <v>BoQ_767</v>
          </cell>
          <cell r="B885">
            <v>767</v>
          </cell>
          <cell r="C885">
            <v>15</v>
          </cell>
          <cell r="D885" t="str">
            <v>Manhole 1000x1000x800
Hố ga 1000x1000x800</v>
          </cell>
          <cell r="L885" t="str">
            <v>pcs</v>
          </cell>
          <cell r="M885">
            <v>3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</row>
        <row r="886">
          <cell r="A886" t="str">
            <v>BoQ_768</v>
          </cell>
          <cell r="B886">
            <v>768</v>
          </cell>
          <cell r="C886">
            <v>16</v>
          </cell>
          <cell r="D886" t="str">
            <v>Terminal Kit 3Cx240mm2
Đầu cốt trung thế 3Cx240mm2</v>
          </cell>
          <cell r="E886" t="str">
            <v>Tận dụng cáp trung thế 3x70</v>
          </cell>
          <cell r="L886" t="str">
            <v>set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</row>
        <row r="887">
          <cell r="A887" t="str">
            <v>BoQ_769</v>
          </cell>
          <cell r="B887">
            <v>769</v>
          </cell>
          <cell r="C887">
            <v>17</v>
          </cell>
          <cell r="D887" t="str">
            <v>Wire support
Xà đỡ đầu cáp</v>
          </cell>
          <cell r="L887" t="str">
            <v>set</v>
          </cell>
          <cell r="M887">
            <v>1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</row>
        <row r="888">
          <cell r="A888" t="str">
            <v>BoQ_770</v>
          </cell>
          <cell r="B888">
            <v>770</v>
          </cell>
          <cell r="C888">
            <v>18</v>
          </cell>
          <cell r="D888" t="str">
            <v>Flexible HDPE Pipe D230/175
Ống xoắn HDPE D230/175</v>
          </cell>
          <cell r="L888" t="str">
            <v>m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</row>
        <row r="889">
          <cell r="A889" t="str">
            <v>BoQ_771</v>
          </cell>
          <cell r="B889">
            <v>771</v>
          </cell>
          <cell r="C889">
            <v>19</v>
          </cell>
          <cell r="D889" t="str">
            <v>Cắt đường  và hoàn trả đường để đi cáp ngầm
Cut the road and return to install cable</v>
          </cell>
          <cell r="L889" t="str">
            <v>lot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</row>
        <row r="890">
          <cell r="A890" t="str">
            <v>BoQ_772</v>
          </cell>
          <cell r="B890">
            <v>772</v>
          </cell>
          <cell r="C890">
            <v>20</v>
          </cell>
          <cell r="D890" t="str">
            <v>Warning tape
Băng cảnh báo cáp ngầm</v>
          </cell>
          <cell r="L890" t="str">
            <v>m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</row>
        <row r="891">
          <cell r="A891" t="str">
            <v>BoQ_773</v>
          </cell>
          <cell r="B891">
            <v>773</v>
          </cell>
          <cell r="C891">
            <v>21</v>
          </cell>
          <cell r="D891" t="str">
            <v>Warning ceramic piles
Sứ cảnh báo cáp ngầm</v>
          </cell>
          <cell r="L891" t="str">
            <v>pcs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</row>
        <row r="892">
          <cell r="A892" t="str">
            <v>BoQ_774</v>
          </cell>
          <cell r="B892">
            <v>774</v>
          </cell>
          <cell r="C892">
            <v>22</v>
          </cell>
          <cell r="D892" t="str">
            <v>Tape Brick
Gạch bảo vệ cáp</v>
          </cell>
          <cell r="L892" t="str">
            <v>pcs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</row>
        <row r="893">
          <cell r="A893" t="str">
            <v>BoQ_775</v>
          </cell>
          <cell r="B893">
            <v>775</v>
          </cell>
          <cell r="C893">
            <v>23</v>
          </cell>
          <cell r="D893" t="str">
            <v>Excavation &amp; Backfilling
Đào lấp đất</v>
          </cell>
          <cell r="L893" t="str">
            <v>m3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</row>
        <row r="894">
          <cell r="A894" t="str">
            <v>BoQ_776</v>
          </cell>
          <cell r="B894">
            <v>776</v>
          </cell>
          <cell r="C894">
            <v>24</v>
          </cell>
          <cell r="D894" t="str">
            <v>Accessories for above
Vật tư phụ</v>
          </cell>
          <cell r="L894" t="str">
            <v>lot</v>
          </cell>
          <cell r="M894">
            <v>1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</row>
        <row r="895">
          <cell r="A895" t="str">
            <v>BoQ_777</v>
          </cell>
          <cell r="B895">
            <v>777</v>
          </cell>
          <cell r="C895">
            <v>25</v>
          </cell>
          <cell r="D895" t="str">
            <v>Transportation fee
Phí vận chuyển</v>
          </cell>
          <cell r="L895" t="str">
            <v>lot</v>
          </cell>
          <cell r="M895">
            <v>1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</row>
        <row r="896">
          <cell r="A896" t="str">
            <v>BoQ_778</v>
          </cell>
          <cell r="B896">
            <v>778</v>
          </cell>
          <cell r="C896" t="str">
            <v>*</v>
          </cell>
          <cell r="D896" t="str">
            <v>Document and Design fee.
Phí thiết kế và tài liệu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</row>
        <row r="897">
          <cell r="A897" t="str">
            <v>BoQ_779</v>
          </cell>
          <cell r="B897">
            <v>779</v>
          </cell>
          <cell r="C897">
            <v>21</v>
          </cell>
          <cell r="D897" t="str">
            <v>Equipment and materials testing fee
Phí thí nghiệm hiệu chỉnh</v>
          </cell>
          <cell r="L897" t="str">
            <v>lot</v>
          </cell>
          <cell r="M897">
            <v>1</v>
          </cell>
          <cell r="N897">
            <v>0</v>
          </cell>
          <cell r="O897">
            <v>45000000</v>
          </cell>
          <cell r="P897">
            <v>0</v>
          </cell>
          <cell r="Q897">
            <v>0</v>
          </cell>
          <cell r="R897">
            <v>45900000</v>
          </cell>
          <cell r="S897">
            <v>45900000</v>
          </cell>
          <cell r="T897">
            <v>45900000</v>
          </cell>
          <cell r="U897">
            <v>45900000</v>
          </cell>
        </row>
        <row r="898">
          <cell r="A898" t="str">
            <v>BoQ_780</v>
          </cell>
          <cell r="B898">
            <v>780</v>
          </cell>
          <cell r="C898">
            <v>22</v>
          </cell>
          <cell r="D898" t="str">
            <v>Design fee &amp; approved fee (with Power Company)
Phí giám sát công trình điện &amp; nghiệm thu (với Điện lực)</v>
          </cell>
          <cell r="L898" t="str">
            <v>lot</v>
          </cell>
          <cell r="M898">
            <v>1</v>
          </cell>
          <cell r="N898">
            <v>0</v>
          </cell>
          <cell r="O898">
            <v>100000000</v>
          </cell>
          <cell r="P898">
            <v>0</v>
          </cell>
          <cell r="Q898">
            <v>0</v>
          </cell>
          <cell r="R898">
            <v>102000000</v>
          </cell>
          <cell r="S898">
            <v>102000000</v>
          </cell>
          <cell r="T898">
            <v>102000000</v>
          </cell>
          <cell r="U898">
            <v>102000000</v>
          </cell>
        </row>
        <row r="899">
          <cell r="A899" t="str">
            <v>BoQ_781</v>
          </cell>
          <cell r="B899">
            <v>781</v>
          </cell>
          <cell r="C899">
            <v>23</v>
          </cell>
          <cell r="D899" t="str">
            <v>Testing &amp; commissioning fee
Phí kiểm tra và chạy thử</v>
          </cell>
          <cell r="L899" t="str">
            <v>lot</v>
          </cell>
          <cell r="M899">
            <v>1</v>
          </cell>
          <cell r="N899">
            <v>0</v>
          </cell>
          <cell r="O899">
            <v>30000000</v>
          </cell>
          <cell r="P899">
            <v>0</v>
          </cell>
          <cell r="Q899">
            <v>0</v>
          </cell>
          <cell r="R899">
            <v>30600000</v>
          </cell>
          <cell r="S899">
            <v>30600000</v>
          </cell>
          <cell r="T899">
            <v>30600000</v>
          </cell>
          <cell r="U899">
            <v>30600000</v>
          </cell>
        </row>
        <row r="900">
          <cell r="A900" t="str">
            <v>BoQ_782</v>
          </cell>
          <cell r="B900">
            <v>782</v>
          </cell>
          <cell r="C900">
            <v>24</v>
          </cell>
          <cell r="D900" t="str">
            <v>Cable 35Kv CU/XLPE/DSTA/PVC 3Cx70mm2</v>
          </cell>
          <cell r="F900" t="str">
            <v>m</v>
          </cell>
          <cell r="L900" t="str">
            <v>m</v>
          </cell>
          <cell r="N900">
            <v>797598</v>
          </cell>
          <cell r="O900">
            <v>71400</v>
          </cell>
          <cell r="P900">
            <v>813549.96</v>
          </cell>
          <cell r="Q900">
            <v>0</v>
          </cell>
          <cell r="R900">
            <v>72828</v>
          </cell>
          <cell r="S900">
            <v>0</v>
          </cell>
          <cell r="T900">
            <v>886377.96</v>
          </cell>
          <cell r="U900">
            <v>0</v>
          </cell>
        </row>
        <row r="901">
          <cell r="A901" t="str">
            <v>BoQ_783</v>
          </cell>
          <cell r="B901">
            <v>783</v>
          </cell>
          <cell r="C901">
            <v>25</v>
          </cell>
          <cell r="D901" t="str">
            <v>Terminal Kit 3Cx70mm2 T-PLug
Đầu cốt trung thế 3Cx70mm2</v>
          </cell>
          <cell r="F901" t="str">
            <v>set</v>
          </cell>
          <cell r="L901" t="str">
            <v>set</v>
          </cell>
          <cell r="N901">
            <v>14367816</v>
          </cell>
          <cell r="O901">
            <v>2298851</v>
          </cell>
          <cell r="P901">
            <v>14655172.32</v>
          </cell>
          <cell r="Q901">
            <v>0</v>
          </cell>
          <cell r="R901">
            <v>2344828.02</v>
          </cell>
          <cell r="S901">
            <v>0</v>
          </cell>
          <cell r="T901">
            <v>17000000.34</v>
          </cell>
          <cell r="U901">
            <v>0</v>
          </cell>
        </row>
        <row r="902">
          <cell r="A902" t="str">
            <v>BoQ_784</v>
          </cell>
          <cell r="B902">
            <v>784</v>
          </cell>
          <cell r="C902">
            <v>26</v>
          </cell>
          <cell r="D902" t="str">
            <v>Terminal Kit 3Cx70mm2
Đầu cốt trung thế 3Cx70mm2</v>
          </cell>
          <cell r="F902" t="str">
            <v>set</v>
          </cell>
          <cell r="L902" t="str">
            <v>set</v>
          </cell>
          <cell r="N902">
            <v>5977011</v>
          </cell>
          <cell r="O902">
            <v>1724138</v>
          </cell>
          <cell r="P902">
            <v>6096551.2199999997</v>
          </cell>
          <cell r="Q902">
            <v>0</v>
          </cell>
          <cell r="R902">
            <v>1758620.76</v>
          </cell>
          <cell r="S902">
            <v>0</v>
          </cell>
          <cell r="T902">
            <v>7855171.9799999995</v>
          </cell>
          <cell r="U902">
            <v>0</v>
          </cell>
        </row>
        <row r="903">
          <cell r="C903" t="str">
            <v>B</v>
          </cell>
          <cell r="D903" t="str">
            <v>SUBSTATION WORKS
CÔNG VIỆC TRẠM ĐIỆN</v>
          </cell>
        </row>
        <row r="904">
          <cell r="C904" t="str">
            <v>*</v>
          </cell>
          <cell r="D904" t="str">
            <v>HV panel works
Tủ điện trung thế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</row>
        <row r="905">
          <cell r="A905" t="str">
            <v>BoQ_785</v>
          </cell>
          <cell r="B905">
            <v>785</v>
          </cell>
          <cell r="C905">
            <v>24</v>
          </cell>
          <cell r="D905" t="str">
            <v>Tủ RMU
RMU cabinet</v>
          </cell>
          <cell r="E905" t="str">
            <v>Type open</v>
          </cell>
          <cell r="L905" t="str">
            <v>Panel</v>
          </cell>
          <cell r="M905">
            <v>1</v>
          </cell>
          <cell r="N905">
            <v>856250000</v>
          </cell>
          <cell r="O905">
            <v>1875000</v>
          </cell>
          <cell r="P905">
            <v>873375000</v>
          </cell>
          <cell r="Q905">
            <v>873375000</v>
          </cell>
          <cell r="R905">
            <v>1912500</v>
          </cell>
          <cell r="S905">
            <v>1912500</v>
          </cell>
          <cell r="T905">
            <v>875287500</v>
          </cell>
          <cell r="U905">
            <v>875287500</v>
          </cell>
          <cell r="W905" t="str">
            <v>LS</v>
          </cell>
        </row>
        <row r="906">
          <cell r="A906" t="str">
            <v>BoQ_786</v>
          </cell>
          <cell r="B906">
            <v>786</v>
          </cell>
          <cell r="C906">
            <v>25</v>
          </cell>
          <cell r="D906" t="str">
            <v xml:space="preserve">H.V  Incoming Panel </v>
          </cell>
          <cell r="E906" t="str">
            <v>LBS-35kV-630A</v>
          </cell>
          <cell r="L906" t="str">
            <v>set</v>
          </cell>
          <cell r="M906">
            <v>1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</row>
        <row r="907">
          <cell r="A907" t="str">
            <v>BoQ_787</v>
          </cell>
          <cell r="B907">
            <v>787</v>
          </cell>
          <cell r="C907">
            <v>26</v>
          </cell>
          <cell r="D907" t="str">
            <v>H.V  Outgoing Panel</v>
          </cell>
          <cell r="E907" t="str">
            <v>VCB-35kV</v>
          </cell>
          <cell r="L907" t="str">
            <v>set</v>
          </cell>
          <cell r="M907">
            <v>3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</row>
        <row r="908">
          <cell r="A908" t="str">
            <v>BoQ_788</v>
          </cell>
          <cell r="B908">
            <v>788</v>
          </cell>
          <cell r="C908">
            <v>27</v>
          </cell>
          <cell r="D908" t="str">
            <v>H.V  measurement Panel</v>
          </cell>
          <cell r="L908" t="str">
            <v>set</v>
          </cell>
          <cell r="M908">
            <v>1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</row>
        <row r="909">
          <cell r="A909" t="str">
            <v>BoQ_789</v>
          </cell>
          <cell r="B909">
            <v>789</v>
          </cell>
          <cell r="C909">
            <v>28</v>
          </cell>
          <cell r="D909" t="str">
            <v>Foundation for HV Panel
Bệ tủ điện trung thế</v>
          </cell>
          <cell r="L909" t="str">
            <v>lot</v>
          </cell>
          <cell r="M909">
            <v>1</v>
          </cell>
          <cell r="N909">
            <v>5000000</v>
          </cell>
          <cell r="O909">
            <v>0</v>
          </cell>
          <cell r="P909">
            <v>5100000</v>
          </cell>
          <cell r="Q909">
            <v>5100000</v>
          </cell>
          <cell r="R909">
            <v>0</v>
          </cell>
          <cell r="S909">
            <v>0</v>
          </cell>
          <cell r="T909">
            <v>5100000</v>
          </cell>
          <cell r="U909">
            <v>5100000</v>
          </cell>
        </row>
        <row r="910">
          <cell r="A910" t="str">
            <v>BoQ_790</v>
          </cell>
          <cell r="B910">
            <v>790</v>
          </cell>
          <cell r="C910">
            <v>29</v>
          </cell>
          <cell r="D910" t="str">
            <v>Accessories
Phụ kiện</v>
          </cell>
          <cell r="L910" t="str">
            <v>lot</v>
          </cell>
          <cell r="M910">
            <v>1</v>
          </cell>
          <cell r="N910">
            <v>6718000</v>
          </cell>
          <cell r="O910">
            <v>0</v>
          </cell>
          <cell r="P910">
            <v>6852360</v>
          </cell>
          <cell r="Q910">
            <v>6852360</v>
          </cell>
          <cell r="R910">
            <v>0</v>
          </cell>
          <cell r="S910">
            <v>0</v>
          </cell>
          <cell r="T910">
            <v>6852360</v>
          </cell>
          <cell r="U910">
            <v>6852360</v>
          </cell>
        </row>
        <row r="911">
          <cell r="A911" t="str">
            <v>BoQ_791</v>
          </cell>
          <cell r="B911">
            <v>791</v>
          </cell>
          <cell r="C911">
            <v>30</v>
          </cell>
          <cell r="D911" t="str">
            <v>Transportation Fee
Phí vận chuyển</v>
          </cell>
          <cell r="L911" t="str">
            <v>lot</v>
          </cell>
          <cell r="M911">
            <v>1</v>
          </cell>
          <cell r="N911">
            <v>0</v>
          </cell>
          <cell r="O911">
            <v>2000000</v>
          </cell>
          <cell r="P911">
            <v>0</v>
          </cell>
          <cell r="Q911">
            <v>0</v>
          </cell>
          <cell r="R911">
            <v>2040000</v>
          </cell>
          <cell r="S911">
            <v>2040000</v>
          </cell>
          <cell r="T911">
            <v>2040000</v>
          </cell>
          <cell r="U911">
            <v>2040000</v>
          </cell>
        </row>
        <row r="912">
          <cell r="C912" t="str">
            <v>*</v>
          </cell>
          <cell r="D912" t="str">
            <v>Transformer.
Máy biến áp.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</row>
        <row r="913">
          <cell r="A913" t="str">
            <v>BoQ_792</v>
          </cell>
          <cell r="B913">
            <v>792</v>
          </cell>
          <cell r="C913">
            <v>31</v>
          </cell>
          <cell r="D913" t="str">
            <v>Lắp đặt máy biến áp 1500kVA- 35KV/0.4KV (Δ/Y)
Transformer 1500kVA- 35KV/0.4KV (Δ/Y)</v>
          </cell>
          <cell r="L913" t="str">
            <v>lot</v>
          </cell>
          <cell r="M913">
            <v>1</v>
          </cell>
          <cell r="N913">
            <v>862500000</v>
          </cell>
          <cell r="O913">
            <v>6250000</v>
          </cell>
          <cell r="P913">
            <v>879750000</v>
          </cell>
          <cell r="Q913">
            <v>879750000</v>
          </cell>
          <cell r="R913">
            <v>6375000</v>
          </cell>
          <cell r="S913">
            <v>6375000</v>
          </cell>
          <cell r="T913">
            <v>886125000</v>
          </cell>
          <cell r="U913">
            <v>886125000</v>
          </cell>
          <cell r="W913" t="str">
            <v>MBT</v>
          </cell>
        </row>
        <row r="914">
          <cell r="A914" t="str">
            <v>BoQ_793</v>
          </cell>
          <cell r="B914">
            <v>793</v>
          </cell>
          <cell r="C914">
            <v>32</v>
          </cell>
          <cell r="D914" t="str">
            <v>Accessories &amp; Suport for Transformer
Vật tư phụ máy biến áp</v>
          </cell>
          <cell r="L914" t="str">
            <v>lot</v>
          </cell>
          <cell r="M914">
            <v>1</v>
          </cell>
          <cell r="N914">
            <v>16795000</v>
          </cell>
          <cell r="O914">
            <v>0</v>
          </cell>
          <cell r="P914">
            <v>17130900</v>
          </cell>
          <cell r="Q914">
            <v>17130900</v>
          </cell>
          <cell r="R914">
            <v>0</v>
          </cell>
          <cell r="S914">
            <v>0</v>
          </cell>
          <cell r="T914">
            <v>17130900</v>
          </cell>
          <cell r="U914">
            <v>17130900</v>
          </cell>
        </row>
        <row r="915">
          <cell r="A915" t="str">
            <v>BoQ_794</v>
          </cell>
          <cell r="B915">
            <v>794</v>
          </cell>
          <cell r="C915">
            <v>33</v>
          </cell>
          <cell r="D915" t="str">
            <v>Cu/XLPE/PVC/300mm2
Cáp nối ra tủ hạ thế</v>
          </cell>
          <cell r="E915" t="str">
            <v>300sqmm</v>
          </cell>
          <cell r="L915" t="str">
            <v>m</v>
          </cell>
          <cell r="M915">
            <v>220</v>
          </cell>
          <cell r="N915">
            <v>673412</v>
          </cell>
          <cell r="O915">
            <v>63000</v>
          </cell>
          <cell r="P915">
            <v>686880.24</v>
          </cell>
          <cell r="Q915">
            <v>151113652.80000001</v>
          </cell>
          <cell r="R915">
            <v>64260</v>
          </cell>
          <cell r="S915">
            <v>14137200</v>
          </cell>
          <cell r="T915">
            <v>751140.24</v>
          </cell>
          <cell r="U915">
            <v>165250852.80000001</v>
          </cell>
        </row>
        <row r="916">
          <cell r="A916" t="str">
            <v>BoQ_795</v>
          </cell>
          <cell r="B916">
            <v>795</v>
          </cell>
          <cell r="C916">
            <v>34</v>
          </cell>
          <cell r="D916" t="str">
            <v>Cable plug
Phụ kiện đầu cáp</v>
          </cell>
          <cell r="E916" t="str">
            <v>300sqmm</v>
          </cell>
          <cell r="L916" t="str">
            <v>set</v>
          </cell>
          <cell r="M916">
            <v>3</v>
          </cell>
          <cell r="N916">
            <v>6720000</v>
          </cell>
          <cell r="O916">
            <v>0</v>
          </cell>
          <cell r="P916">
            <v>6854400</v>
          </cell>
          <cell r="Q916">
            <v>20563200</v>
          </cell>
          <cell r="R916">
            <v>0</v>
          </cell>
          <cell r="S916">
            <v>0</v>
          </cell>
          <cell r="T916">
            <v>6854400</v>
          </cell>
          <cell r="U916">
            <v>20563200</v>
          </cell>
        </row>
        <row r="917">
          <cell r="A917" t="str">
            <v>BoQ_796</v>
          </cell>
          <cell r="B917">
            <v>796</v>
          </cell>
          <cell r="C917">
            <v>35</v>
          </cell>
          <cell r="D917" t="str">
            <v>Cable Trench with steel grating cover (W600xD800)
Mương cáp có nắp thép grating (W800xD600)</v>
          </cell>
          <cell r="L917" t="str">
            <v>m</v>
          </cell>
          <cell r="M917">
            <v>15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</row>
        <row r="918">
          <cell r="A918" t="str">
            <v>BoQ_797</v>
          </cell>
          <cell r="B918">
            <v>797</v>
          </cell>
          <cell r="C918">
            <v>36</v>
          </cell>
          <cell r="D918" t="str">
            <v>Foundation for Transformer
Bệ máy biến áp</v>
          </cell>
          <cell r="L918" t="str">
            <v>lot</v>
          </cell>
          <cell r="M918">
            <v>1</v>
          </cell>
          <cell r="N918">
            <v>5000000</v>
          </cell>
          <cell r="O918">
            <v>0</v>
          </cell>
          <cell r="P918">
            <v>5100000</v>
          </cell>
          <cell r="Q918">
            <v>5100000</v>
          </cell>
          <cell r="R918">
            <v>0</v>
          </cell>
          <cell r="S918">
            <v>0</v>
          </cell>
          <cell r="T918">
            <v>5100000</v>
          </cell>
          <cell r="U918">
            <v>5100000</v>
          </cell>
        </row>
        <row r="919">
          <cell r="D919" t="str">
            <v>Earth system for substation
Hệ thống nối đất trạm biến áp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</row>
        <row r="920">
          <cell r="A920" t="str">
            <v>BoQ_798</v>
          </cell>
          <cell r="B920">
            <v>798</v>
          </cell>
          <cell r="C920">
            <v>555</v>
          </cell>
          <cell r="D920" t="str">
            <v>Earth Terminal Panel ET- Panel
Tủ tiếp địa</v>
          </cell>
          <cell r="L920" t="str">
            <v>set</v>
          </cell>
          <cell r="M920">
            <v>1</v>
          </cell>
          <cell r="N920">
            <v>2550000</v>
          </cell>
          <cell r="O920">
            <v>80000</v>
          </cell>
          <cell r="P920">
            <v>2601000</v>
          </cell>
          <cell r="Q920">
            <v>2601000</v>
          </cell>
          <cell r="R920">
            <v>81600</v>
          </cell>
          <cell r="S920">
            <v>81600</v>
          </cell>
          <cell r="T920">
            <v>2682600</v>
          </cell>
          <cell r="U920">
            <v>2682600</v>
          </cell>
        </row>
        <row r="921">
          <cell r="A921" t="str">
            <v>BoQ_799</v>
          </cell>
          <cell r="B921">
            <v>799</v>
          </cell>
          <cell r="C921">
            <v>556</v>
          </cell>
          <cell r="D921" t="str">
            <v>Copper-plated grounding rod D16, L=2.4m
Cọc tiếp địa mạ đồng D16,L=2.4m</v>
          </cell>
          <cell r="L921" t="str">
            <v>set</v>
          </cell>
          <cell r="M921">
            <v>12</v>
          </cell>
          <cell r="N921">
            <v>275000</v>
          </cell>
          <cell r="O921">
            <v>62500</v>
          </cell>
          <cell r="P921">
            <v>280500</v>
          </cell>
          <cell r="Q921">
            <v>3366000</v>
          </cell>
          <cell r="R921">
            <v>63750</v>
          </cell>
          <cell r="S921">
            <v>765000</v>
          </cell>
          <cell r="T921">
            <v>344250</v>
          </cell>
          <cell r="U921">
            <v>4131000</v>
          </cell>
        </row>
        <row r="922">
          <cell r="A922" t="str">
            <v>BoQ_800</v>
          </cell>
          <cell r="B922">
            <v>800</v>
          </cell>
          <cell r="C922">
            <v>557</v>
          </cell>
          <cell r="D922" t="str">
            <v>Copper-plated grounding rod D16, L=1.0m
Cọc tiếp địa mạ đồng D16,L=1m</v>
          </cell>
          <cell r="L922" t="str">
            <v>set</v>
          </cell>
          <cell r="M922">
            <v>2</v>
          </cell>
          <cell r="N922">
            <v>150000</v>
          </cell>
          <cell r="O922">
            <v>62500</v>
          </cell>
          <cell r="P922">
            <v>153000</v>
          </cell>
          <cell r="Q922">
            <v>306000</v>
          </cell>
          <cell r="R922">
            <v>63750</v>
          </cell>
          <cell r="S922">
            <v>127500</v>
          </cell>
          <cell r="T922">
            <v>216750</v>
          </cell>
          <cell r="U922">
            <v>433500</v>
          </cell>
        </row>
        <row r="923">
          <cell r="A923" t="str">
            <v>BoQ_801</v>
          </cell>
          <cell r="B923">
            <v>801</v>
          </cell>
          <cell r="C923">
            <v>557</v>
          </cell>
          <cell r="D923" t="str">
            <v>Wire Cu/PVC 1Cx50mm2
Cáp đồng Cu/PVC 1CX50mm2</v>
          </cell>
          <cell r="L923" t="str">
            <v>m</v>
          </cell>
          <cell r="M923">
            <v>70</v>
          </cell>
          <cell r="N923">
            <v>105371</v>
          </cell>
          <cell r="O923">
            <v>18600</v>
          </cell>
          <cell r="P923">
            <v>107478.42</v>
          </cell>
          <cell r="Q923">
            <v>7523489.3999999994</v>
          </cell>
          <cell r="R923">
            <v>18972</v>
          </cell>
          <cell r="S923">
            <v>1328040</v>
          </cell>
          <cell r="T923">
            <v>126450.42</v>
          </cell>
          <cell r="U923">
            <v>8851529.4000000004</v>
          </cell>
        </row>
        <row r="924">
          <cell r="A924" t="str">
            <v>BoQ_802</v>
          </cell>
          <cell r="B924">
            <v>802</v>
          </cell>
          <cell r="C924">
            <v>558</v>
          </cell>
          <cell r="D924" t="str">
            <v>Wire Cu/PVC 1CX300mm2
Cáp đồng Cu/PVC 1CX300mm2</v>
          </cell>
          <cell r="L924" t="str">
            <v>m</v>
          </cell>
          <cell r="M924">
            <v>70</v>
          </cell>
          <cell r="N924">
            <v>668069</v>
          </cell>
          <cell r="O924">
            <v>63000</v>
          </cell>
          <cell r="P924">
            <v>681430.38</v>
          </cell>
          <cell r="Q924">
            <v>47700126.600000001</v>
          </cell>
          <cell r="R924">
            <v>64260</v>
          </cell>
          <cell r="S924">
            <v>4498200</v>
          </cell>
          <cell r="T924">
            <v>745690.38</v>
          </cell>
          <cell r="U924">
            <v>52198326.600000001</v>
          </cell>
        </row>
        <row r="925">
          <cell r="A925" t="str">
            <v>BoQ_803</v>
          </cell>
          <cell r="B925">
            <v>803</v>
          </cell>
          <cell r="C925">
            <v>559</v>
          </cell>
          <cell r="D925" t="str">
            <v xml:space="preserve"> Bare copper cable M70mm2
Dây đồng trần M70mm2</v>
          </cell>
          <cell r="L925" t="str">
            <v>m</v>
          </cell>
          <cell r="M925">
            <v>80</v>
          </cell>
          <cell r="N925">
            <v>246631</v>
          </cell>
          <cell r="O925">
            <v>53923</v>
          </cell>
          <cell r="P925">
            <v>251563.62</v>
          </cell>
          <cell r="Q925">
            <v>20125089.600000001</v>
          </cell>
          <cell r="R925">
            <v>55001.46</v>
          </cell>
          <cell r="S925">
            <v>4400116.8</v>
          </cell>
          <cell r="T925">
            <v>306565.08</v>
          </cell>
          <cell r="U925">
            <v>24525206.400000002</v>
          </cell>
        </row>
        <row r="926">
          <cell r="A926" t="str">
            <v>BoQ_804</v>
          </cell>
          <cell r="B926">
            <v>804</v>
          </cell>
          <cell r="C926">
            <v>560</v>
          </cell>
          <cell r="D926" t="str">
            <v>Wire Cu/PVC 1Cx6mm2
Dây điện Cu/PVC 1Cx6mm2</v>
          </cell>
          <cell r="L926" t="str">
            <v>m</v>
          </cell>
          <cell r="M926">
            <v>80</v>
          </cell>
          <cell r="N926">
            <v>17000</v>
          </cell>
          <cell r="O926">
            <v>4250</v>
          </cell>
          <cell r="P926">
            <v>17340</v>
          </cell>
          <cell r="Q926">
            <v>1387200</v>
          </cell>
          <cell r="R926">
            <v>4335</v>
          </cell>
          <cell r="S926">
            <v>346800</v>
          </cell>
          <cell r="T926">
            <v>21675</v>
          </cell>
          <cell r="U926">
            <v>1734000</v>
          </cell>
        </row>
        <row r="927">
          <cell r="A927" t="str">
            <v>BoQ_805</v>
          </cell>
          <cell r="B927">
            <v>805</v>
          </cell>
          <cell r="C927">
            <v>561</v>
          </cell>
          <cell r="D927" t="str">
            <v>Thermochemical welds
Mối hàn hóa nhiệt</v>
          </cell>
          <cell r="L927" t="str">
            <v>pcs</v>
          </cell>
          <cell r="M927">
            <v>14</v>
          </cell>
          <cell r="N927">
            <v>150000</v>
          </cell>
          <cell r="O927">
            <v>62500</v>
          </cell>
          <cell r="P927">
            <v>153000</v>
          </cell>
          <cell r="Q927">
            <v>2142000</v>
          </cell>
          <cell r="R927">
            <v>63750</v>
          </cell>
          <cell r="S927">
            <v>892500</v>
          </cell>
          <cell r="T927">
            <v>216750</v>
          </cell>
          <cell r="U927">
            <v>3034500</v>
          </cell>
        </row>
        <row r="928">
          <cell r="A928" t="str">
            <v>BoQ_806</v>
          </cell>
          <cell r="B928">
            <v>806</v>
          </cell>
          <cell r="C928">
            <v>562</v>
          </cell>
          <cell r="D928" t="str">
            <v>Box for tesing of earth resistance
Hộp kiểm tra</v>
          </cell>
          <cell r="L928" t="str">
            <v>pcs</v>
          </cell>
          <cell r="M928">
            <v>1</v>
          </cell>
          <cell r="N928">
            <v>312500</v>
          </cell>
          <cell r="O928">
            <v>125000</v>
          </cell>
          <cell r="P928">
            <v>318750</v>
          </cell>
          <cell r="Q928">
            <v>318750</v>
          </cell>
          <cell r="R928">
            <v>127500</v>
          </cell>
          <cell r="S928">
            <v>127500</v>
          </cell>
          <cell r="T928">
            <v>446250</v>
          </cell>
          <cell r="U928">
            <v>446250</v>
          </cell>
        </row>
        <row r="929">
          <cell r="A929" t="str">
            <v>BoQ_807</v>
          </cell>
          <cell r="B929">
            <v>807</v>
          </cell>
          <cell r="C929">
            <v>563</v>
          </cell>
          <cell r="D929" t="str">
            <v>Excavation soil
Đào đất</v>
          </cell>
          <cell r="L929" t="str">
            <v>m3</v>
          </cell>
          <cell r="M929">
            <v>120</v>
          </cell>
          <cell r="N929">
            <v>0</v>
          </cell>
          <cell r="O929">
            <v>25000</v>
          </cell>
          <cell r="P929">
            <v>0</v>
          </cell>
          <cell r="Q929">
            <v>0</v>
          </cell>
          <cell r="R929">
            <v>25500</v>
          </cell>
          <cell r="S929">
            <v>3060000</v>
          </cell>
          <cell r="T929">
            <v>25500</v>
          </cell>
          <cell r="U929">
            <v>3060000</v>
          </cell>
        </row>
        <row r="930">
          <cell r="A930" t="str">
            <v>BoQ_808</v>
          </cell>
          <cell r="B930">
            <v>808</v>
          </cell>
          <cell r="C930">
            <v>564</v>
          </cell>
          <cell r="D930" t="str">
            <v>Back fill
Lấp đất</v>
          </cell>
          <cell r="L930" t="str">
            <v>m3</v>
          </cell>
          <cell r="M930">
            <v>120</v>
          </cell>
          <cell r="N930">
            <v>0</v>
          </cell>
          <cell r="O930">
            <v>25000</v>
          </cell>
          <cell r="P930">
            <v>0</v>
          </cell>
          <cell r="Q930">
            <v>0</v>
          </cell>
          <cell r="R930">
            <v>25500</v>
          </cell>
          <cell r="S930">
            <v>3060000</v>
          </cell>
          <cell r="T930">
            <v>25500</v>
          </cell>
          <cell r="U930">
            <v>3060000</v>
          </cell>
        </row>
        <row r="931">
          <cell r="A931" t="str">
            <v>BoQ_809</v>
          </cell>
          <cell r="B931">
            <v>809</v>
          </cell>
          <cell r="C931">
            <v>565</v>
          </cell>
          <cell r="D931" t="str">
            <v>Accessories
Phụ kiện</v>
          </cell>
          <cell r="L931" t="str">
            <v>pcs</v>
          </cell>
          <cell r="M931">
            <v>1</v>
          </cell>
          <cell r="N931">
            <v>12500000</v>
          </cell>
          <cell r="O931">
            <v>0</v>
          </cell>
          <cell r="P931">
            <v>12750000</v>
          </cell>
          <cell r="Q931">
            <v>12750000</v>
          </cell>
          <cell r="R931">
            <v>0</v>
          </cell>
          <cell r="S931">
            <v>0</v>
          </cell>
          <cell r="T931">
            <v>12750000</v>
          </cell>
          <cell r="U931">
            <v>12750000</v>
          </cell>
        </row>
        <row r="932">
          <cell r="C932" t="str">
            <v>C</v>
          </cell>
          <cell r="D932" t="str">
            <v xml:space="preserve">GENERATOR
Máy phát điện </v>
          </cell>
        </row>
        <row r="933">
          <cell r="A933" t="str">
            <v>BoQ_810</v>
          </cell>
          <cell r="B933">
            <v>810</v>
          </cell>
          <cell r="C933">
            <v>566</v>
          </cell>
          <cell r="D933" t="str">
            <v>Generator 800kVA, without sound insulator
Máy phát điện 800 kVA, không bao gồm vỏ cách âm</v>
          </cell>
          <cell r="L933" t="str">
            <v>set</v>
          </cell>
          <cell r="M933">
            <v>1</v>
          </cell>
          <cell r="N933">
            <v>1623000000</v>
          </cell>
          <cell r="O933">
            <v>25000000</v>
          </cell>
          <cell r="P933">
            <v>1655460000</v>
          </cell>
          <cell r="Q933">
            <v>1655460000</v>
          </cell>
          <cell r="R933">
            <v>25500000</v>
          </cell>
          <cell r="S933">
            <v>25500000</v>
          </cell>
          <cell r="T933">
            <v>1680960000</v>
          </cell>
          <cell r="U933">
            <v>1680960000</v>
          </cell>
          <cell r="W933" t="str">
            <v>TLPower, Fadi</v>
          </cell>
        </row>
        <row r="934">
          <cell r="A934" t="str">
            <v>BoQ_811</v>
          </cell>
          <cell r="B934">
            <v>811</v>
          </cell>
          <cell r="C934">
            <v>567</v>
          </cell>
          <cell r="D934" t="str">
            <v>Bồn dầu cho máy phát
Diesel tank</v>
          </cell>
          <cell r="L934" t="str">
            <v>lot</v>
          </cell>
          <cell r="M934">
            <v>1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</row>
        <row r="935">
          <cell r="A935" t="str">
            <v>BoQ_812</v>
          </cell>
          <cell r="B935">
            <v>812</v>
          </cell>
          <cell r="C935">
            <v>568</v>
          </cell>
          <cell r="D935" t="str">
            <v>Hệ thống bơm cấp dầu vào bồn, từ bồn đến máy phát
Diesel pump system: to tank, and from tank to genset</v>
          </cell>
          <cell r="L935" t="str">
            <v>lot</v>
          </cell>
          <cell r="M935">
            <v>1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</row>
        <row r="936">
          <cell r="A936" t="str">
            <v>BoQ_813</v>
          </cell>
          <cell r="B936">
            <v>813</v>
          </cell>
          <cell r="C936">
            <v>569</v>
          </cell>
          <cell r="D936" t="str">
            <v>Louver nan thoáng</v>
          </cell>
          <cell r="L936" t="str">
            <v>lot</v>
          </cell>
          <cell r="M936">
            <v>1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</row>
        <row r="937">
          <cell r="A937" t="str">
            <v>BoQ_814</v>
          </cell>
          <cell r="B937">
            <v>814</v>
          </cell>
          <cell r="C937">
            <v>570</v>
          </cell>
          <cell r="D937" t="str">
            <v xml:space="preserve">Panel ATS interlock
Tủ ATS với khóa liên động </v>
          </cell>
          <cell r="L937" t="str">
            <v>set</v>
          </cell>
          <cell r="M937">
            <v>1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</row>
        <row r="938">
          <cell r="A938" t="str">
            <v>BoQ_815</v>
          </cell>
          <cell r="B938">
            <v>815</v>
          </cell>
          <cell r="C938">
            <v>571</v>
          </cell>
          <cell r="D938" t="str">
            <v>Vận chuyển, hạ máy
Transportation, lift genset</v>
          </cell>
          <cell r="L938" t="str">
            <v>lot</v>
          </cell>
          <cell r="M938">
            <v>1</v>
          </cell>
          <cell r="N938">
            <v>0</v>
          </cell>
          <cell r="O938">
            <v>20000000</v>
          </cell>
          <cell r="P938">
            <v>0</v>
          </cell>
          <cell r="Q938">
            <v>0</v>
          </cell>
          <cell r="R938">
            <v>20400000</v>
          </cell>
          <cell r="S938">
            <v>20400000</v>
          </cell>
          <cell r="T938">
            <v>20400000</v>
          </cell>
          <cell r="U938">
            <v>20400000</v>
          </cell>
        </row>
        <row r="939">
          <cell r="C939" t="str">
            <v>D</v>
          </cell>
          <cell r="D939" t="str">
            <v>Distribution Panel works
Công việc tủ điện</v>
          </cell>
        </row>
        <row r="940">
          <cell r="A940" t="str">
            <v>BoQ_816</v>
          </cell>
          <cell r="B940">
            <v>816</v>
          </cell>
          <cell r="C940">
            <v>572</v>
          </cell>
          <cell r="D940" t="str">
            <v>DISTRIBUTION PANEL MDB (Main ACB 4P 1600A )
Tủ điện phân phối MDB (Tủ cải tạo lại)</v>
          </cell>
          <cell r="E940" t="str">
            <v>MDB</v>
          </cell>
          <cell r="L940" t="str">
            <v>set</v>
          </cell>
          <cell r="M940">
            <v>1</v>
          </cell>
          <cell r="N940">
            <v>156182000</v>
          </cell>
          <cell r="O940">
            <v>25000000</v>
          </cell>
          <cell r="P940">
            <v>159305640</v>
          </cell>
          <cell r="Q940">
            <v>159305640</v>
          </cell>
          <cell r="R940">
            <v>25500000</v>
          </cell>
          <cell r="S940">
            <v>25500000</v>
          </cell>
          <cell r="T940">
            <v>184805640</v>
          </cell>
          <cell r="U940">
            <v>184805640</v>
          </cell>
        </row>
        <row r="941">
          <cell r="A941" t="str">
            <v>BoQ_817</v>
          </cell>
          <cell r="B941">
            <v>817</v>
          </cell>
          <cell r="C941">
            <v>573</v>
          </cell>
          <cell r="D941" t="str">
            <v>DISTRIBUTION PANEL MSB-1 (Main ACB 4P 2500A 85KVA)
Tủ điện phân phối MSB1</v>
          </cell>
          <cell r="E941" t="str">
            <v>MSB1</v>
          </cell>
          <cell r="L941" t="str">
            <v>set</v>
          </cell>
          <cell r="M941">
            <v>1</v>
          </cell>
          <cell r="N941">
            <v>135888000</v>
          </cell>
          <cell r="O941">
            <v>6250000</v>
          </cell>
          <cell r="P941">
            <v>138605760</v>
          </cell>
          <cell r="Q941">
            <v>138605760</v>
          </cell>
          <cell r="R941">
            <v>6375000</v>
          </cell>
          <cell r="S941">
            <v>6375000</v>
          </cell>
          <cell r="T941">
            <v>144980760</v>
          </cell>
          <cell r="U941">
            <v>144980760</v>
          </cell>
          <cell r="W941" t="str">
            <v>LS</v>
          </cell>
        </row>
        <row r="942">
          <cell r="A942" t="str">
            <v>BoQ_818</v>
          </cell>
          <cell r="B942">
            <v>818</v>
          </cell>
          <cell r="C942">
            <v>574</v>
          </cell>
          <cell r="D942" t="str">
            <v>Current transformer 2500/5A
 Máy biến dòng 2500/5A</v>
          </cell>
          <cell r="E942" t="str">
            <v>CTx12</v>
          </cell>
          <cell r="L942" t="str">
            <v>ea</v>
          </cell>
          <cell r="M942">
            <v>1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</row>
        <row r="943">
          <cell r="A943" t="str">
            <v>BoQ_819</v>
          </cell>
          <cell r="B943">
            <v>819</v>
          </cell>
          <cell r="C943">
            <v>575</v>
          </cell>
          <cell r="D943" t="str">
            <v>Multi-meter PM ( A, V, KW…)
Máy đo đa năng</v>
          </cell>
          <cell r="L943" t="str">
            <v>ea</v>
          </cell>
          <cell r="M943">
            <v>1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</row>
        <row r="944">
          <cell r="A944" t="str">
            <v>BoQ_820</v>
          </cell>
          <cell r="B944">
            <v>820</v>
          </cell>
          <cell r="C944">
            <v>576</v>
          </cell>
          <cell r="D944" t="str">
            <v>DISTRIBUTION PANEL -TĐ-SX (Main ACB 4P 2000A 85KVA )
Tủ điện phân phối TD-SX</v>
          </cell>
          <cell r="E944" t="str">
            <v>TĐ-SX tủ sản xuất tổng</v>
          </cell>
          <cell r="L944" t="str">
            <v>set</v>
          </cell>
          <cell r="M944">
            <v>1</v>
          </cell>
          <cell r="N944">
            <v>0</v>
          </cell>
          <cell r="O944">
            <v>4375000</v>
          </cell>
          <cell r="P944">
            <v>0</v>
          </cell>
          <cell r="Q944">
            <v>0</v>
          </cell>
          <cell r="R944">
            <v>4462500</v>
          </cell>
          <cell r="S944">
            <v>4462500</v>
          </cell>
          <cell r="T944">
            <v>4462500</v>
          </cell>
          <cell r="U944">
            <v>4462500</v>
          </cell>
        </row>
        <row r="945">
          <cell r="A945" t="str">
            <v>BoQ_821</v>
          </cell>
          <cell r="B945">
            <v>821</v>
          </cell>
          <cell r="C945">
            <v>577</v>
          </cell>
          <cell r="D945" t="str">
            <v>Current transformer 2000/5A
 Máy biến dòng 2000/5A</v>
          </cell>
          <cell r="E945" t="str">
            <v>CTx12</v>
          </cell>
          <cell r="L945" t="str">
            <v>set</v>
          </cell>
          <cell r="M945">
            <v>1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</row>
        <row r="946">
          <cell r="A946" t="str">
            <v>BoQ_822</v>
          </cell>
          <cell r="B946">
            <v>822</v>
          </cell>
          <cell r="C946">
            <v>578</v>
          </cell>
          <cell r="D946" t="str">
            <v>Vận chuyển, nâng  hạ tủ
Transportation, lift DB</v>
          </cell>
          <cell r="L946" t="str">
            <v>lot</v>
          </cell>
          <cell r="M946">
            <v>1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</row>
        <row r="947">
          <cell r="A947" t="str">
            <v>BoQ_823</v>
          </cell>
          <cell r="B947">
            <v>823</v>
          </cell>
          <cell r="C947">
            <v>579</v>
          </cell>
          <cell r="D947" t="str">
            <v>Dịch chuyển tủ tổng hạ thế của máy 1000kva hiện trạng</v>
          </cell>
          <cell r="L947" t="str">
            <v>lot</v>
          </cell>
          <cell r="M947">
            <v>1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</row>
        <row r="948">
          <cell r="A948" t="str">
            <v>BoQ_824</v>
          </cell>
          <cell r="B948">
            <v>824</v>
          </cell>
          <cell r="C948" t="str">
            <v>*</v>
          </cell>
          <cell r="D948" t="str">
            <v xml:space="preserve">Compensate capacitor
Khoang Tụ bù 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</row>
        <row r="949">
          <cell r="A949" t="str">
            <v>BoQ_825</v>
          </cell>
          <cell r="B949">
            <v>825</v>
          </cell>
          <cell r="C949">
            <v>580</v>
          </cell>
          <cell r="D949" t="str">
            <v>Compensate capacitor
Tụ bù 600Kvar</v>
          </cell>
          <cell r="E949" t="str">
            <v>Phần tủ MSB1</v>
          </cell>
          <cell r="L949" t="str">
            <v>ea</v>
          </cell>
          <cell r="M949">
            <v>1</v>
          </cell>
          <cell r="N949">
            <v>164627000</v>
          </cell>
          <cell r="O949">
            <v>6250000</v>
          </cell>
          <cell r="P949">
            <v>167919540</v>
          </cell>
          <cell r="Q949">
            <v>167919540</v>
          </cell>
          <cell r="R949">
            <v>6375000</v>
          </cell>
          <cell r="S949">
            <v>6375000</v>
          </cell>
          <cell r="T949">
            <v>174294540</v>
          </cell>
          <cell r="U949">
            <v>174294540</v>
          </cell>
        </row>
        <row r="950">
          <cell r="A950" t="str">
            <v>BoQ_826</v>
          </cell>
          <cell r="B950">
            <v>826</v>
          </cell>
          <cell r="C950">
            <v>581</v>
          </cell>
          <cell r="D950" t="str">
            <v>Compensate capacitor
Tụ bù 350Kvar</v>
          </cell>
          <cell r="E950" t="str">
            <v>Phần tủ sản xuất</v>
          </cell>
          <cell r="L950" t="str">
            <v>ea</v>
          </cell>
          <cell r="M950">
            <v>1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</row>
        <row r="951">
          <cell r="A951" t="str">
            <v>BoQ_827</v>
          </cell>
          <cell r="B951">
            <v>827</v>
          </cell>
          <cell r="C951">
            <v>582</v>
          </cell>
          <cell r="D951" t="str">
            <v>TĐ T1</v>
          </cell>
          <cell r="E951" t="str">
            <v>Main MCCB 4P 200AF/200AT</v>
          </cell>
          <cell r="L951" t="str">
            <v>set</v>
          </cell>
          <cell r="M951">
            <v>1</v>
          </cell>
          <cell r="N951">
            <v>26864000</v>
          </cell>
          <cell r="O951">
            <v>1875000</v>
          </cell>
          <cell r="P951">
            <v>27401280</v>
          </cell>
          <cell r="Q951">
            <v>27401280</v>
          </cell>
          <cell r="R951">
            <v>1912500</v>
          </cell>
          <cell r="S951">
            <v>1912500</v>
          </cell>
          <cell r="T951">
            <v>29313780</v>
          </cell>
          <cell r="U951">
            <v>29313780</v>
          </cell>
          <cell r="W951" t="str">
            <v>LS</v>
          </cell>
        </row>
        <row r="952">
          <cell r="A952" t="str">
            <v>BoQ_828</v>
          </cell>
          <cell r="B952">
            <v>828</v>
          </cell>
          <cell r="C952">
            <v>583</v>
          </cell>
          <cell r="D952" t="str">
            <v>TĐ T2</v>
          </cell>
          <cell r="E952" t="str">
            <v>Main MCCB 4P 300AF/300AT</v>
          </cell>
          <cell r="L952" t="str">
            <v>set</v>
          </cell>
          <cell r="M952">
            <v>1</v>
          </cell>
          <cell r="N952">
            <v>63536000</v>
          </cell>
          <cell r="O952">
            <v>1875000</v>
          </cell>
          <cell r="P952">
            <v>64806720</v>
          </cell>
          <cell r="Q952">
            <v>64806720</v>
          </cell>
          <cell r="R952">
            <v>1912500</v>
          </cell>
          <cell r="S952">
            <v>1912500</v>
          </cell>
          <cell r="T952">
            <v>66719220</v>
          </cell>
          <cell r="U952">
            <v>66719220</v>
          </cell>
          <cell r="W952" t="str">
            <v>LS</v>
          </cell>
        </row>
        <row r="953">
          <cell r="A953" t="str">
            <v>BoQ_829</v>
          </cell>
          <cell r="B953">
            <v>829</v>
          </cell>
          <cell r="C953">
            <v>584</v>
          </cell>
          <cell r="D953" t="str">
            <v>TĐ T3</v>
          </cell>
          <cell r="E953" t="str">
            <v>Main MCCB 4P 400AF/400AT</v>
          </cell>
          <cell r="L953" t="str">
            <v>set</v>
          </cell>
          <cell r="M953">
            <v>1</v>
          </cell>
          <cell r="N953">
            <v>70507000</v>
          </cell>
          <cell r="O953">
            <v>1875000</v>
          </cell>
          <cell r="P953">
            <v>71917140</v>
          </cell>
          <cell r="Q953">
            <v>71917140</v>
          </cell>
          <cell r="R953">
            <v>1912500</v>
          </cell>
          <cell r="S953">
            <v>1912500</v>
          </cell>
          <cell r="T953">
            <v>73829640</v>
          </cell>
          <cell r="U953">
            <v>73829640</v>
          </cell>
          <cell r="W953" t="str">
            <v>LS</v>
          </cell>
        </row>
        <row r="954">
          <cell r="A954" t="str">
            <v>BoQ_830</v>
          </cell>
          <cell r="B954">
            <v>830</v>
          </cell>
          <cell r="C954">
            <v>585</v>
          </cell>
          <cell r="D954" t="str">
            <v>TĐ T4</v>
          </cell>
          <cell r="E954" t="str">
            <v>Main MCCB 4P 100AF/100AT</v>
          </cell>
          <cell r="L954" t="str">
            <v>set</v>
          </cell>
          <cell r="M954">
            <v>1</v>
          </cell>
          <cell r="N954">
            <v>34370000</v>
          </cell>
          <cell r="O954">
            <v>1875000</v>
          </cell>
          <cell r="P954">
            <v>35057400</v>
          </cell>
          <cell r="Q954">
            <v>35057400</v>
          </cell>
          <cell r="R954">
            <v>1912500</v>
          </cell>
          <cell r="S954">
            <v>1912500</v>
          </cell>
          <cell r="T954">
            <v>36969900</v>
          </cell>
          <cell r="U954">
            <v>36969900</v>
          </cell>
          <cell r="W954" t="str">
            <v>LS</v>
          </cell>
        </row>
        <row r="955">
          <cell r="A955" t="str">
            <v>BoQ_831</v>
          </cell>
          <cell r="B955">
            <v>831</v>
          </cell>
          <cell r="C955">
            <v>586</v>
          </cell>
          <cell r="D955" t="str">
            <v>TĐ T5</v>
          </cell>
          <cell r="E955" t="str">
            <v>Main MCCB 4P 150AF/150AT</v>
          </cell>
          <cell r="L955" t="str">
            <v>set</v>
          </cell>
          <cell r="M955">
            <v>1</v>
          </cell>
          <cell r="N955">
            <v>35589000</v>
          </cell>
          <cell r="O955">
            <v>1875000</v>
          </cell>
          <cell r="P955">
            <v>36300780</v>
          </cell>
          <cell r="Q955">
            <v>36300780</v>
          </cell>
          <cell r="R955">
            <v>1912500</v>
          </cell>
          <cell r="S955">
            <v>1912500</v>
          </cell>
          <cell r="T955">
            <v>38213280</v>
          </cell>
          <cell r="U955">
            <v>38213280</v>
          </cell>
          <cell r="W955" t="str">
            <v>LS</v>
          </cell>
        </row>
        <row r="956">
          <cell r="A956" t="str">
            <v>BoQ_832</v>
          </cell>
          <cell r="B956">
            <v>832</v>
          </cell>
          <cell r="C956">
            <v>587</v>
          </cell>
          <cell r="D956" t="str">
            <v>TĐ T6 (DUST COLLECTOR)</v>
          </cell>
          <cell r="E956" t="str">
            <v>Main MCCB 4P 400AF/400AT</v>
          </cell>
          <cell r="L956" t="str">
            <v>set</v>
          </cell>
          <cell r="M956">
            <v>1</v>
          </cell>
          <cell r="N956">
            <v>32480000</v>
          </cell>
          <cell r="O956">
            <v>1875000</v>
          </cell>
          <cell r="P956">
            <v>33129600</v>
          </cell>
          <cell r="Q956">
            <v>33129600</v>
          </cell>
          <cell r="R956">
            <v>1912500</v>
          </cell>
          <cell r="S956">
            <v>1912500</v>
          </cell>
          <cell r="T956">
            <v>35042100</v>
          </cell>
          <cell r="U956">
            <v>35042100</v>
          </cell>
          <cell r="W956" t="str">
            <v>LS</v>
          </cell>
        </row>
        <row r="957">
          <cell r="A957" t="str">
            <v>BoQ_833</v>
          </cell>
          <cell r="B957">
            <v>833</v>
          </cell>
          <cell r="C957">
            <v>588</v>
          </cell>
          <cell r="D957" t="str">
            <v>TĐ TĐ7 (TỦ HVAC)</v>
          </cell>
          <cell r="E957" t="str">
            <v>Main MCCB 4P 400AF/400AT</v>
          </cell>
          <cell r="L957" t="str">
            <v>set</v>
          </cell>
          <cell r="M957">
            <v>0</v>
          </cell>
          <cell r="N957">
            <v>42181000</v>
          </cell>
          <cell r="O957">
            <v>3125000</v>
          </cell>
          <cell r="P957">
            <v>43024620</v>
          </cell>
          <cell r="Q957">
            <v>0</v>
          </cell>
          <cell r="R957">
            <v>3187500</v>
          </cell>
          <cell r="S957">
            <v>0</v>
          </cell>
          <cell r="T957">
            <v>46212120</v>
          </cell>
          <cell r="U957">
            <v>0</v>
          </cell>
          <cell r="W957" t="str">
            <v>LS</v>
          </cell>
        </row>
        <row r="958">
          <cell r="A958" t="str">
            <v>BoQ_834</v>
          </cell>
          <cell r="B958">
            <v>834</v>
          </cell>
          <cell r="C958">
            <v>589</v>
          </cell>
          <cell r="D958" t="str">
            <v>TĐ T8</v>
          </cell>
          <cell r="E958" t="str">
            <v>Main MCCB 4P 50AF/40AT</v>
          </cell>
          <cell r="L958" t="str">
            <v>set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W958" t="str">
            <v>LS</v>
          </cell>
        </row>
        <row r="959">
          <cell r="A959" t="str">
            <v>BoQ_835</v>
          </cell>
          <cell r="B959">
            <v>835</v>
          </cell>
          <cell r="C959">
            <v>590</v>
          </cell>
          <cell r="D959" t="str">
            <v>TĐ T9</v>
          </cell>
          <cell r="E959" t="str">
            <v>Main MCCB 4P 630AF/630AT</v>
          </cell>
          <cell r="L959" t="str">
            <v>set</v>
          </cell>
          <cell r="M959">
            <v>1</v>
          </cell>
          <cell r="N959">
            <v>0</v>
          </cell>
          <cell r="O959">
            <v>3125000</v>
          </cell>
          <cell r="P959">
            <v>0</v>
          </cell>
          <cell r="Q959">
            <v>0</v>
          </cell>
          <cell r="R959">
            <v>3187500</v>
          </cell>
          <cell r="S959">
            <v>3187500</v>
          </cell>
          <cell r="T959">
            <v>3187500</v>
          </cell>
          <cell r="U959">
            <v>3187500</v>
          </cell>
          <cell r="W959" t="str">
            <v>LS</v>
          </cell>
        </row>
        <row r="960">
          <cell r="A960" t="str">
            <v>BoQ_836</v>
          </cell>
          <cell r="B960">
            <v>836</v>
          </cell>
          <cell r="C960">
            <v>591</v>
          </cell>
          <cell r="D960" t="str">
            <v>Tủ sản xuất tận dụng lại
Reuse production cabinets</v>
          </cell>
          <cell r="E960" t="str">
            <v>Tận dụng lại tủ điện sản xuất hiện có Take advantage of existing electrical cabinets</v>
          </cell>
          <cell r="L960" t="str">
            <v>set</v>
          </cell>
          <cell r="M960">
            <v>4</v>
          </cell>
          <cell r="N960">
            <v>0</v>
          </cell>
          <cell r="O960">
            <v>3125000</v>
          </cell>
          <cell r="P960">
            <v>0</v>
          </cell>
          <cell r="Q960">
            <v>0</v>
          </cell>
          <cell r="R960">
            <v>3187500</v>
          </cell>
          <cell r="S960">
            <v>12750000</v>
          </cell>
          <cell r="T960">
            <v>3187500</v>
          </cell>
          <cell r="U960">
            <v>12750000</v>
          </cell>
          <cell r="W960" t="str">
            <v>LS</v>
          </cell>
        </row>
        <row r="961">
          <cell r="A961" t="str">
            <v>BoQ_837</v>
          </cell>
          <cell r="B961">
            <v>837</v>
          </cell>
          <cell r="C961">
            <v>591</v>
          </cell>
          <cell r="D961" t="str">
            <v>TĐ Máy hút ẩm</v>
          </cell>
          <cell r="E961" t="str">
            <v>Main MCCB 4P 1600AF/1600AT</v>
          </cell>
          <cell r="L961" t="str">
            <v>set</v>
          </cell>
          <cell r="M961">
            <v>1</v>
          </cell>
          <cell r="N961">
            <v>100081000</v>
          </cell>
          <cell r="O961">
            <v>4375000</v>
          </cell>
          <cell r="P961">
            <v>102082620</v>
          </cell>
          <cell r="Q961">
            <v>102082620</v>
          </cell>
          <cell r="R961">
            <v>4462500</v>
          </cell>
          <cell r="S961">
            <v>4462500</v>
          </cell>
          <cell r="T961">
            <v>106545120</v>
          </cell>
          <cell r="U961">
            <v>106545120</v>
          </cell>
          <cell r="W961" t="str">
            <v>LS</v>
          </cell>
        </row>
        <row r="962">
          <cell r="A962" t="str">
            <v>BoQ_838</v>
          </cell>
          <cell r="B962">
            <v>838</v>
          </cell>
          <cell r="C962">
            <v>592</v>
          </cell>
          <cell r="D962" t="str">
            <v>TĐ-CO (Máy nén khí)</v>
          </cell>
          <cell r="E962" t="str">
            <v>Main MCCB 4P 400AF/3500AT</v>
          </cell>
          <cell r="L962" t="str">
            <v>set</v>
          </cell>
          <cell r="M962">
            <v>1</v>
          </cell>
          <cell r="N962">
            <v>0</v>
          </cell>
          <cell r="O962">
            <v>1875000</v>
          </cell>
          <cell r="P962">
            <v>0</v>
          </cell>
          <cell r="Q962">
            <v>0</v>
          </cell>
          <cell r="R962">
            <v>1912500</v>
          </cell>
          <cell r="S962">
            <v>1912500</v>
          </cell>
          <cell r="T962">
            <v>1912500</v>
          </cell>
          <cell r="U962">
            <v>1912500</v>
          </cell>
          <cell r="W962" t="str">
            <v>LS</v>
          </cell>
        </row>
        <row r="963">
          <cell r="A963" t="str">
            <v>BoQ_839</v>
          </cell>
          <cell r="B963">
            <v>839</v>
          </cell>
          <cell r="C963">
            <v>593</v>
          </cell>
          <cell r="D963" t="str">
            <v>TĐ-Vacuum</v>
          </cell>
          <cell r="E963" t="str">
            <v>Main MCCB 4P 50AF/50AT</v>
          </cell>
          <cell r="L963" t="str">
            <v>set</v>
          </cell>
          <cell r="M963">
            <v>1</v>
          </cell>
          <cell r="N963">
            <v>10449000</v>
          </cell>
          <cell r="O963">
            <v>1875000</v>
          </cell>
          <cell r="P963">
            <v>10657980</v>
          </cell>
          <cell r="Q963">
            <v>10657980</v>
          </cell>
          <cell r="R963">
            <v>1912500</v>
          </cell>
          <cell r="S963">
            <v>1912500</v>
          </cell>
          <cell r="T963">
            <v>12570480</v>
          </cell>
          <cell r="U963">
            <v>12570480</v>
          </cell>
          <cell r="W963" t="str">
            <v>LS</v>
          </cell>
        </row>
        <row r="964">
          <cell r="A964" t="str">
            <v>BoQ_840</v>
          </cell>
          <cell r="B964">
            <v>840</v>
          </cell>
          <cell r="C964">
            <v>594</v>
          </cell>
          <cell r="D964" t="str">
            <v>TĐ -Smoke</v>
          </cell>
          <cell r="E964" t="str">
            <v>Main MCCB 4P 150AF/150AT</v>
          </cell>
          <cell r="L964" t="str">
            <v>set</v>
          </cell>
          <cell r="M964">
            <v>1</v>
          </cell>
          <cell r="N964">
            <v>14388000</v>
          </cell>
          <cell r="O964">
            <v>1875000</v>
          </cell>
          <cell r="P964">
            <v>14675760</v>
          </cell>
          <cell r="Q964">
            <v>14675760</v>
          </cell>
          <cell r="R964">
            <v>1912500</v>
          </cell>
          <cell r="S964">
            <v>1912500</v>
          </cell>
          <cell r="T964">
            <v>16588260</v>
          </cell>
          <cell r="U964">
            <v>16588260</v>
          </cell>
          <cell r="W964" t="str">
            <v>LS</v>
          </cell>
        </row>
        <row r="965">
          <cell r="A965" t="str">
            <v>BoQ_841</v>
          </cell>
          <cell r="B965">
            <v>841</v>
          </cell>
          <cell r="C965">
            <v>595</v>
          </cell>
          <cell r="D965" t="str">
            <v>TĐ -Pump sinh hoạt</v>
          </cell>
          <cell r="E965" t="str">
            <v>Main MCCB 4P 50AF/30AT</v>
          </cell>
          <cell r="L965" t="str">
            <v>set</v>
          </cell>
          <cell r="M965">
            <v>1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W965" t="str">
            <v>LS</v>
          </cell>
        </row>
        <row r="966">
          <cell r="A966" t="str">
            <v>BoQ_842</v>
          </cell>
          <cell r="B966">
            <v>842</v>
          </cell>
          <cell r="C966">
            <v>596</v>
          </cell>
          <cell r="D966" t="str">
            <v>TĐ -CS (tủ tổng Chiếu sáng sản xuất)</v>
          </cell>
          <cell r="E966" t="str">
            <v>Main MCCB 4P 150AF/150AT</v>
          </cell>
          <cell r="L966" t="str">
            <v>set</v>
          </cell>
          <cell r="M966">
            <v>1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W966" t="str">
            <v>LS</v>
          </cell>
        </row>
        <row r="967">
          <cell r="A967" t="str">
            <v>BoQ_843</v>
          </cell>
          <cell r="B967">
            <v>843</v>
          </cell>
          <cell r="C967">
            <v>597</v>
          </cell>
          <cell r="D967" t="str">
            <v xml:space="preserve">TĐ-LP1 (chiếu sáng khu sản xuất) </v>
          </cell>
          <cell r="E967" t="str">
            <v>Main MCCB 4P 100AF/100AT</v>
          </cell>
          <cell r="L967" t="str">
            <v>set</v>
          </cell>
          <cell r="M967">
            <v>1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W967" t="str">
            <v>LS</v>
          </cell>
        </row>
        <row r="968">
          <cell r="A968" t="str">
            <v>BoQ_844</v>
          </cell>
          <cell r="B968">
            <v>844</v>
          </cell>
          <cell r="C968">
            <v>598</v>
          </cell>
          <cell r="D968" t="str">
            <v>Tủ điều khiển chiếu sáng</v>
          </cell>
          <cell r="M968">
            <v>1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W968" t="str">
            <v>LS</v>
          </cell>
        </row>
        <row r="969">
          <cell r="A969" t="str">
            <v>BoQ_845</v>
          </cell>
          <cell r="B969">
            <v>845</v>
          </cell>
          <cell r="C969">
            <v>599</v>
          </cell>
          <cell r="D969" t="str">
            <v>TĐ-LP2 (chiếu sáng khu kho)</v>
          </cell>
          <cell r="E969" t="str">
            <v>Main MCCB 4P 50AF/30AT</v>
          </cell>
          <cell r="L969" t="str">
            <v>set</v>
          </cell>
          <cell r="M969">
            <v>1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W969" t="str">
            <v>LS</v>
          </cell>
        </row>
        <row r="970">
          <cell r="A970" t="str">
            <v>BoQ_846</v>
          </cell>
          <cell r="B970">
            <v>846</v>
          </cell>
          <cell r="C970">
            <v>600</v>
          </cell>
          <cell r="D970" t="str">
            <v>TĐ-T8 (chiếu sáng khu văn phòng tầng 1)</v>
          </cell>
          <cell r="E970" t="str">
            <v>Main MCCB 4P 150AF/150AT</v>
          </cell>
          <cell r="L970" t="str">
            <v>set</v>
          </cell>
          <cell r="M970">
            <v>1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W970" t="str">
            <v>LS</v>
          </cell>
        </row>
        <row r="971">
          <cell r="A971" t="str">
            <v>BoQ_847</v>
          </cell>
          <cell r="B971">
            <v>847</v>
          </cell>
          <cell r="C971">
            <v>601</v>
          </cell>
          <cell r="D971" t="str">
            <v>TĐ-LP4 (chiếu sáng khu canteen tầng 2)</v>
          </cell>
          <cell r="E971" t="str">
            <v>Main MCCB 4P 50AF/40AT</v>
          </cell>
          <cell r="L971" t="str">
            <v>set</v>
          </cell>
          <cell r="M971">
            <v>1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W971" t="str">
            <v>LS</v>
          </cell>
        </row>
        <row r="972">
          <cell r="A972" t="str">
            <v>BoQ_848</v>
          </cell>
          <cell r="B972">
            <v>848</v>
          </cell>
          <cell r="C972">
            <v>602</v>
          </cell>
          <cell r="D972" t="str">
            <v xml:space="preserve">Tận dụng lại tủ chiếu sáng hiện có
</v>
          </cell>
          <cell r="L972" t="str">
            <v>set</v>
          </cell>
          <cell r="M972">
            <v>2</v>
          </cell>
          <cell r="O972">
            <v>1250000</v>
          </cell>
          <cell r="P972">
            <v>0</v>
          </cell>
          <cell r="Q972">
            <v>0</v>
          </cell>
          <cell r="R972">
            <v>1275000</v>
          </cell>
          <cell r="S972">
            <v>2550000</v>
          </cell>
          <cell r="T972">
            <v>1275000</v>
          </cell>
          <cell r="U972">
            <v>2550000</v>
          </cell>
        </row>
        <row r="973">
          <cell r="A973" t="str">
            <v>BoQ_849</v>
          </cell>
          <cell r="B973">
            <v>849</v>
          </cell>
          <cell r="C973">
            <v>603</v>
          </cell>
          <cell r="D973" t="str">
            <v>TĐ-NHÀ XE</v>
          </cell>
          <cell r="L973" t="str">
            <v>set</v>
          </cell>
          <cell r="M973">
            <v>1</v>
          </cell>
          <cell r="N973">
            <v>8415000</v>
          </cell>
          <cell r="O973">
            <v>750000</v>
          </cell>
          <cell r="P973">
            <v>8583300</v>
          </cell>
          <cell r="Q973">
            <v>8583300</v>
          </cell>
          <cell r="R973">
            <v>765000</v>
          </cell>
          <cell r="S973">
            <v>765000</v>
          </cell>
          <cell r="T973">
            <v>9348300</v>
          </cell>
          <cell r="U973">
            <v>9348300</v>
          </cell>
          <cell r="W973" t="str">
            <v>LS</v>
          </cell>
        </row>
        <row r="974">
          <cell r="A974" t="str">
            <v>BoQ_850</v>
          </cell>
          <cell r="B974">
            <v>850</v>
          </cell>
          <cell r="C974">
            <v>604</v>
          </cell>
          <cell r="D974" t="str">
            <v>TĐ-PHỤ TRỢ</v>
          </cell>
          <cell r="E974" t="str">
            <v>Main MCCB 4P 50AF/30AT</v>
          </cell>
          <cell r="L974" t="str">
            <v>set</v>
          </cell>
          <cell r="M974">
            <v>1</v>
          </cell>
          <cell r="N974">
            <v>8415000</v>
          </cell>
          <cell r="O974">
            <v>750000</v>
          </cell>
          <cell r="P974">
            <v>8583300</v>
          </cell>
          <cell r="Q974">
            <v>8583300</v>
          </cell>
          <cell r="R974">
            <v>765000</v>
          </cell>
          <cell r="S974">
            <v>765000</v>
          </cell>
          <cell r="T974">
            <v>9348300</v>
          </cell>
          <cell r="U974">
            <v>9348300</v>
          </cell>
          <cell r="W974" t="str">
            <v>LS</v>
          </cell>
        </row>
        <row r="975">
          <cell r="A975" t="str">
            <v>BoQ_851</v>
          </cell>
          <cell r="B975">
            <v>851</v>
          </cell>
          <cell r="C975">
            <v>605</v>
          </cell>
          <cell r="D975" t="str">
            <v>TĐ -Pump bơm nước sinh hoạt</v>
          </cell>
          <cell r="E975" t="str">
            <v>Main MCCB 4P 50AF/30AT</v>
          </cell>
          <cell r="L975" t="str">
            <v>set</v>
          </cell>
          <cell r="M975">
            <v>1</v>
          </cell>
          <cell r="N975">
            <v>12640000</v>
          </cell>
          <cell r="O975">
            <v>750000</v>
          </cell>
          <cell r="P975">
            <v>12892800</v>
          </cell>
          <cell r="Q975">
            <v>12892800</v>
          </cell>
          <cell r="R975">
            <v>765000</v>
          </cell>
          <cell r="S975">
            <v>765000</v>
          </cell>
          <cell r="T975">
            <v>13657800</v>
          </cell>
          <cell r="U975">
            <v>13657800</v>
          </cell>
          <cell r="W975" t="str">
            <v>LS</v>
          </cell>
        </row>
        <row r="976">
          <cell r="A976" t="str">
            <v>BoQ_852</v>
          </cell>
          <cell r="B976">
            <v>852</v>
          </cell>
          <cell r="C976">
            <v>606</v>
          </cell>
          <cell r="D976" t="str">
            <v>TĐ - Cửa cuốn</v>
          </cell>
          <cell r="E976" t="str">
            <v>Main MCCB 4P 50AF/30AT</v>
          </cell>
          <cell r="L976" t="str">
            <v>set</v>
          </cell>
          <cell r="M976">
            <v>1</v>
          </cell>
          <cell r="N976">
            <v>8415000</v>
          </cell>
          <cell r="O976">
            <v>750000</v>
          </cell>
          <cell r="P976">
            <v>8583300</v>
          </cell>
          <cell r="Q976">
            <v>8583300</v>
          </cell>
          <cell r="R976">
            <v>765000</v>
          </cell>
          <cell r="S976">
            <v>765000</v>
          </cell>
          <cell r="T976">
            <v>9348300</v>
          </cell>
          <cell r="U976">
            <v>9348300</v>
          </cell>
          <cell r="W976" t="str">
            <v>LS</v>
          </cell>
        </row>
        <row r="977">
          <cell r="A977" t="str">
            <v>BoQ_853</v>
          </cell>
          <cell r="B977">
            <v>853</v>
          </cell>
          <cell r="C977">
            <v>607</v>
          </cell>
          <cell r="D977" t="str">
            <v>Vật tư phụ cho tủ / Miscellaneous material for above</v>
          </cell>
          <cell r="L977" t="str">
            <v>lot</v>
          </cell>
          <cell r="M977">
            <v>1</v>
          </cell>
          <cell r="O977">
            <v>5000000</v>
          </cell>
          <cell r="P977">
            <v>0</v>
          </cell>
          <cell r="Q977">
            <v>0</v>
          </cell>
          <cell r="R977">
            <v>5100000</v>
          </cell>
          <cell r="S977">
            <v>5100000</v>
          </cell>
          <cell r="T977">
            <v>5100000</v>
          </cell>
          <cell r="U977">
            <v>5100000</v>
          </cell>
          <cell r="W977" t="str">
            <v>LS</v>
          </cell>
        </row>
        <row r="978">
          <cell r="A978" t="str">
            <v>BoQ_854</v>
          </cell>
          <cell r="B978">
            <v>854</v>
          </cell>
          <cell r="C978">
            <v>608</v>
          </cell>
          <cell r="D978" t="str">
            <v>Vận chuyển, nâng  hạ tủ
Transportation, lift DB</v>
          </cell>
          <cell r="L978" t="str">
            <v>lot</v>
          </cell>
          <cell r="M978">
            <v>1</v>
          </cell>
          <cell r="O978">
            <v>10000000</v>
          </cell>
          <cell r="P978">
            <v>0</v>
          </cell>
          <cell r="Q978">
            <v>0</v>
          </cell>
          <cell r="R978">
            <v>10200000</v>
          </cell>
          <cell r="S978">
            <v>10200000</v>
          </cell>
          <cell r="T978">
            <v>10200000</v>
          </cell>
          <cell r="U978">
            <v>10200000</v>
          </cell>
        </row>
        <row r="979">
          <cell r="C979" t="str">
            <v>E</v>
          </cell>
          <cell r="D979" t="str">
            <v>Cable works,Cable ladder
Cáp điện, thang máng cáp</v>
          </cell>
        </row>
        <row r="980">
          <cell r="A980" t="str">
            <v>BoQ_855</v>
          </cell>
          <cell r="B980">
            <v>855</v>
          </cell>
          <cell r="C980">
            <v>609</v>
          </cell>
          <cell r="D980" t="str">
            <v>Cu/XLPE/PVC Cable for MSB1
Cấp cho tủ MSB</v>
          </cell>
          <cell r="E980" t="str">
            <v>300SQMM-1C</v>
          </cell>
          <cell r="L980" t="str">
            <v>m</v>
          </cell>
          <cell r="M980">
            <v>302.40000000000003</v>
          </cell>
          <cell r="N980">
            <v>673412</v>
          </cell>
          <cell r="O980">
            <v>63000</v>
          </cell>
          <cell r="P980">
            <v>686880.24</v>
          </cell>
          <cell r="Q980">
            <v>207712584.57600003</v>
          </cell>
          <cell r="R980">
            <v>64260</v>
          </cell>
          <cell r="S980">
            <v>19432224.000000004</v>
          </cell>
          <cell r="T980">
            <v>751140.24</v>
          </cell>
          <cell r="U980">
            <v>227144808.57600003</v>
          </cell>
          <cell r="W980" t="str">
            <v>LS/Cadisun</v>
          </cell>
        </row>
        <row r="981">
          <cell r="A981" t="str">
            <v>BoQ_856</v>
          </cell>
          <cell r="B981">
            <v>856</v>
          </cell>
          <cell r="C981">
            <v>610</v>
          </cell>
          <cell r="D981" t="str">
            <v>Cu/XLPE/PVC Cable for GENERATOR
Cấp cho máy phát điện</v>
          </cell>
          <cell r="E981" t="str">
            <v>300SQMM-1C</v>
          </cell>
          <cell r="L981" t="str">
            <v>m</v>
          </cell>
          <cell r="M981">
            <v>588</v>
          </cell>
          <cell r="N981">
            <v>673412</v>
          </cell>
          <cell r="O981">
            <v>63000</v>
          </cell>
          <cell r="P981">
            <v>686880.24</v>
          </cell>
          <cell r="Q981">
            <v>403885581.12</v>
          </cell>
          <cell r="R981">
            <v>64260</v>
          </cell>
          <cell r="S981">
            <v>37784880</v>
          </cell>
          <cell r="T981">
            <v>751140.24</v>
          </cell>
          <cell r="U981">
            <v>441670461.12</v>
          </cell>
          <cell r="W981" t="str">
            <v>LS/Cadisun</v>
          </cell>
        </row>
        <row r="982">
          <cell r="A982" t="str">
            <v>BoQ_857</v>
          </cell>
          <cell r="B982">
            <v>857</v>
          </cell>
          <cell r="C982">
            <v>611</v>
          </cell>
          <cell r="D982" t="str">
            <v>Cu/XLPE/PVC Cable for TĐ - Sản xuất tổng
Cấp cho tủ điện sản xuất TĐ-Sản xuất tổng</v>
          </cell>
          <cell r="E982" t="str">
            <v>300SQMM-1C</v>
          </cell>
          <cell r="L982" t="str">
            <v>m</v>
          </cell>
          <cell r="M982">
            <v>630</v>
          </cell>
          <cell r="N982">
            <v>673412</v>
          </cell>
          <cell r="O982">
            <v>63000</v>
          </cell>
          <cell r="P982">
            <v>686880.24</v>
          </cell>
          <cell r="Q982">
            <v>432734551.19999999</v>
          </cell>
          <cell r="R982">
            <v>64260</v>
          </cell>
          <cell r="S982">
            <v>40483800</v>
          </cell>
          <cell r="T982">
            <v>751140.24</v>
          </cell>
          <cell r="U982">
            <v>473218351.19999999</v>
          </cell>
          <cell r="W982" t="str">
            <v>LS/Cadisun</v>
          </cell>
        </row>
        <row r="983">
          <cell r="A983" t="str">
            <v>BoQ_858</v>
          </cell>
          <cell r="B983">
            <v>858</v>
          </cell>
          <cell r="C983">
            <v>612</v>
          </cell>
          <cell r="D983" t="str">
            <v>Tiếp địa cho tủ 
Earth for Panel</v>
          </cell>
          <cell r="E983" t="str">
            <v>Cọc, hệ thống tiếp địa</v>
          </cell>
          <cell r="L983" t="str">
            <v>Lot</v>
          </cell>
          <cell r="M983">
            <v>1.05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</row>
        <row r="984">
          <cell r="A984" t="str">
            <v>BoQ_859</v>
          </cell>
          <cell r="B984">
            <v>859</v>
          </cell>
          <cell r="C984">
            <v>613</v>
          </cell>
          <cell r="D984" t="str">
            <v>Cu/XLPE/PVC Cable for TĐ -T1
Cấp cho tủ điện sản xuất TĐ-SX1</v>
          </cell>
          <cell r="E984" t="str">
            <v>95SQMM-1C</v>
          </cell>
          <cell r="L984" t="str">
            <v>m</v>
          </cell>
          <cell r="M984">
            <v>399</v>
          </cell>
          <cell r="N984">
            <v>211176</v>
          </cell>
          <cell r="O984">
            <v>29900</v>
          </cell>
          <cell r="P984">
            <v>215399.52</v>
          </cell>
          <cell r="Q984">
            <v>85944408.479999989</v>
          </cell>
          <cell r="R984">
            <v>30498</v>
          </cell>
          <cell r="S984">
            <v>12168702</v>
          </cell>
          <cell r="T984">
            <v>245897.52</v>
          </cell>
          <cell r="U984">
            <v>98113110.479999989</v>
          </cell>
          <cell r="W984" t="str">
            <v>LS/Cadisun</v>
          </cell>
        </row>
        <row r="985">
          <cell r="A985" t="str">
            <v>BoQ_860</v>
          </cell>
          <cell r="B985">
            <v>860</v>
          </cell>
          <cell r="C985">
            <v>614</v>
          </cell>
          <cell r="D985" t="str">
            <v>Cu/PVC Earth Cable
Cáp tiếp địa</v>
          </cell>
          <cell r="E985" t="str">
            <v>50SQMM-1C</v>
          </cell>
          <cell r="L985" t="str">
            <v>m</v>
          </cell>
          <cell r="M985">
            <v>104.73750000000001</v>
          </cell>
          <cell r="N985">
            <v>105371</v>
          </cell>
          <cell r="O985">
            <v>18600</v>
          </cell>
          <cell r="P985">
            <v>107478.42</v>
          </cell>
          <cell r="Q985">
            <v>11257021.014750002</v>
          </cell>
          <cell r="R985">
            <v>18972</v>
          </cell>
          <cell r="S985">
            <v>1987079.8500000003</v>
          </cell>
          <cell r="T985">
            <v>126450.42</v>
          </cell>
          <cell r="U985">
            <v>13244100.864750002</v>
          </cell>
          <cell r="W985" t="str">
            <v>LS/Cadisun</v>
          </cell>
        </row>
        <row r="986">
          <cell r="A986" t="str">
            <v>BoQ_861</v>
          </cell>
          <cell r="B986">
            <v>861</v>
          </cell>
          <cell r="C986">
            <v>615</v>
          </cell>
          <cell r="D986" t="str">
            <v>Cu/XLPE/PVC Cable for TĐ -T2
Cấp cho tủ điện sản xuất TĐ-T2</v>
          </cell>
          <cell r="E986" t="str">
            <v>150SQMM-1C</v>
          </cell>
          <cell r="L986" t="str">
            <v>m</v>
          </cell>
          <cell r="M986">
            <v>310.8</v>
          </cell>
          <cell r="N986">
            <v>329471</v>
          </cell>
          <cell r="O986">
            <v>46600</v>
          </cell>
          <cell r="P986">
            <v>336060.42</v>
          </cell>
          <cell r="Q986">
            <v>104447578.536</v>
          </cell>
          <cell r="R986">
            <v>47532</v>
          </cell>
          <cell r="S986">
            <v>14772945.6</v>
          </cell>
          <cell r="T986">
            <v>383592.42</v>
          </cell>
          <cell r="U986">
            <v>119220524.13599999</v>
          </cell>
          <cell r="W986" t="str">
            <v>LS/Cadisun</v>
          </cell>
        </row>
        <row r="987">
          <cell r="A987" t="str">
            <v>BoQ_862</v>
          </cell>
          <cell r="B987">
            <v>862</v>
          </cell>
          <cell r="D987" t="str">
            <v>Cu/PVC Earth Cable
Cáp tiếp địa</v>
          </cell>
          <cell r="E987" t="str">
            <v>95SQMM-1C</v>
          </cell>
          <cell r="L987" t="str">
            <v>m</v>
          </cell>
          <cell r="M987">
            <v>81.585000000000008</v>
          </cell>
          <cell r="N987">
            <v>208580</v>
          </cell>
          <cell r="O987">
            <v>29900</v>
          </cell>
          <cell r="P987">
            <v>212751.6</v>
          </cell>
          <cell r="Q987">
            <v>17357339.286000002</v>
          </cell>
          <cell r="R987">
            <v>30498</v>
          </cell>
          <cell r="S987">
            <v>2488179.33</v>
          </cell>
          <cell r="T987">
            <v>243249.6</v>
          </cell>
          <cell r="U987">
            <v>19845518.616000004</v>
          </cell>
        </row>
        <row r="988">
          <cell r="A988" t="str">
            <v>BoQ_863</v>
          </cell>
          <cell r="B988">
            <v>863</v>
          </cell>
          <cell r="C988">
            <v>616</v>
          </cell>
          <cell r="D988" t="str">
            <v>Cu/XLPE/PVC Cable for TĐ -T3
Cấp cho tủ điện sản xuất TĐ-T3</v>
          </cell>
          <cell r="E988" t="str">
            <v>185SQMM-1C</v>
          </cell>
          <cell r="L988" t="str">
            <v>m</v>
          </cell>
          <cell r="M988">
            <v>562.80000000000007</v>
          </cell>
          <cell r="N988">
            <v>409848</v>
          </cell>
          <cell r="O988">
            <v>48500</v>
          </cell>
          <cell r="P988">
            <v>418044.96</v>
          </cell>
          <cell r="Q988">
            <v>235275703.48800004</v>
          </cell>
          <cell r="R988">
            <v>49470</v>
          </cell>
          <cell r="S988">
            <v>27841716.000000004</v>
          </cell>
          <cell r="T988">
            <v>467514.96</v>
          </cell>
          <cell r="U988">
            <v>263117419.48800004</v>
          </cell>
          <cell r="W988" t="str">
            <v>LS/Cadisun</v>
          </cell>
        </row>
        <row r="989">
          <cell r="A989" t="str">
            <v>BoQ_864</v>
          </cell>
          <cell r="B989">
            <v>864</v>
          </cell>
          <cell r="C989">
            <v>617</v>
          </cell>
          <cell r="D989" t="str">
            <v>Cu/PVC Earth Cable
Cáp tiếp địa</v>
          </cell>
          <cell r="E989" t="str">
            <v>120SQMM-1C</v>
          </cell>
          <cell r="L989" t="str">
            <v>m</v>
          </cell>
          <cell r="M989">
            <v>147.73500000000001</v>
          </cell>
          <cell r="N989">
            <v>262121</v>
          </cell>
          <cell r="O989">
            <v>36500</v>
          </cell>
          <cell r="P989">
            <v>267363.42</v>
          </cell>
          <cell r="Q989">
            <v>39498934.853700005</v>
          </cell>
          <cell r="R989">
            <v>37230</v>
          </cell>
          <cell r="S989">
            <v>5500174.0500000007</v>
          </cell>
          <cell r="T989">
            <v>304593.42</v>
          </cell>
          <cell r="U989">
            <v>44999108.903700002</v>
          </cell>
          <cell r="W989" t="str">
            <v>LS/Cadisun</v>
          </cell>
        </row>
        <row r="990">
          <cell r="A990" t="str">
            <v>BoQ_865</v>
          </cell>
          <cell r="B990">
            <v>865</v>
          </cell>
          <cell r="D990" t="str">
            <v>Cu/XLPE/PVC Cable for TĐ -T4
Cấp cho tủ điện sản xuất TĐ-T4</v>
          </cell>
          <cell r="E990" t="str">
            <v>50SQMM-1C</v>
          </cell>
          <cell r="L990" t="str">
            <v>m</v>
          </cell>
          <cell r="M990">
            <v>562.80000000000007</v>
          </cell>
          <cell r="N990">
            <v>107336</v>
          </cell>
          <cell r="O990">
            <v>18600</v>
          </cell>
          <cell r="P990">
            <v>109482.72</v>
          </cell>
          <cell r="Q990">
            <v>61616874.816000007</v>
          </cell>
          <cell r="R990">
            <v>18972</v>
          </cell>
          <cell r="S990">
            <v>10677441.600000001</v>
          </cell>
          <cell r="T990">
            <v>128454.72</v>
          </cell>
          <cell r="U990">
            <v>72294316.416000009</v>
          </cell>
        </row>
        <row r="991">
          <cell r="A991" t="str">
            <v>BoQ_866</v>
          </cell>
          <cell r="B991">
            <v>866</v>
          </cell>
          <cell r="C991">
            <v>618</v>
          </cell>
          <cell r="D991" t="str">
            <v>Cu/PVC Earth Cable
Cáp tiếp địa</v>
          </cell>
          <cell r="E991" t="str">
            <v>25SQMM-1C</v>
          </cell>
          <cell r="L991" t="str">
            <v>m</v>
          </cell>
          <cell r="M991">
            <v>147.73500000000001</v>
          </cell>
          <cell r="N991">
            <v>55741</v>
          </cell>
          <cell r="O991">
            <v>12400</v>
          </cell>
          <cell r="P991">
            <v>56855.82</v>
          </cell>
          <cell r="Q991">
            <v>8399594.5677000005</v>
          </cell>
          <cell r="R991">
            <v>12648</v>
          </cell>
          <cell r="S991">
            <v>1868552.2800000003</v>
          </cell>
          <cell r="T991">
            <v>69503.820000000007</v>
          </cell>
          <cell r="U991">
            <v>10268146.847700002</v>
          </cell>
          <cell r="W991" t="str">
            <v>LS/Cadisun</v>
          </cell>
        </row>
        <row r="992">
          <cell r="A992" t="str">
            <v>BoQ_867</v>
          </cell>
          <cell r="B992">
            <v>867</v>
          </cell>
          <cell r="C992">
            <v>619</v>
          </cell>
          <cell r="D992" t="str">
            <v>Cu/XLPE/PVC Cable for TĐ -T5
Cấp cho tủ điện sản xuất TĐ-T5</v>
          </cell>
          <cell r="E992" t="str">
            <v>70SQMM-1C</v>
          </cell>
          <cell r="L992" t="str">
            <v>m</v>
          </cell>
          <cell r="M992">
            <v>352.8</v>
          </cell>
          <cell r="N992">
            <v>152721</v>
          </cell>
          <cell r="O992">
            <v>23200</v>
          </cell>
          <cell r="P992">
            <v>155775.42000000001</v>
          </cell>
          <cell r="Q992">
            <v>54957568.176000006</v>
          </cell>
          <cell r="R992">
            <v>23664</v>
          </cell>
          <cell r="S992">
            <v>8348659.2000000002</v>
          </cell>
          <cell r="T992">
            <v>179439.42</v>
          </cell>
          <cell r="U992">
            <v>63306227.376000009</v>
          </cell>
          <cell r="W992" t="str">
            <v>LS/Cadisun</v>
          </cell>
        </row>
        <row r="993">
          <cell r="A993" t="str">
            <v>BoQ_868</v>
          </cell>
          <cell r="B993">
            <v>868</v>
          </cell>
          <cell r="C993">
            <v>620</v>
          </cell>
          <cell r="D993" t="str">
            <v>Cu/PVC Earth Cable
Cáp tiếp địa</v>
          </cell>
          <cell r="E993" t="str">
            <v>35SQMM-1C</v>
          </cell>
          <cell r="L993" t="str">
            <v>m</v>
          </cell>
          <cell r="M993">
            <v>92.610000000000014</v>
          </cell>
          <cell r="N993">
            <v>77033</v>
          </cell>
          <cell r="O993">
            <v>15100</v>
          </cell>
          <cell r="P993">
            <v>78573.66</v>
          </cell>
          <cell r="Q993">
            <v>7276706.6526000015</v>
          </cell>
          <cell r="R993">
            <v>15402</v>
          </cell>
          <cell r="S993">
            <v>1426379.2200000002</v>
          </cell>
          <cell r="T993">
            <v>93975.66</v>
          </cell>
          <cell r="U993">
            <v>8703085.8726000022</v>
          </cell>
          <cell r="W993" t="str">
            <v>LS/Cadisun</v>
          </cell>
        </row>
        <row r="994">
          <cell r="A994" t="str">
            <v>BoQ_869</v>
          </cell>
          <cell r="B994">
            <v>869</v>
          </cell>
          <cell r="C994">
            <v>621</v>
          </cell>
          <cell r="D994" t="str">
            <v>Cu/XLPE/PVC Cable for TĐ -T6 (DUST COLLECTOR)
Cấp cho tủ điện sản xuất TĐ-T6</v>
          </cell>
          <cell r="E994" t="str">
            <v>185SQMM-1C</v>
          </cell>
          <cell r="L994" t="str">
            <v>m</v>
          </cell>
          <cell r="M994">
            <v>520.80000000000007</v>
          </cell>
          <cell r="N994">
            <v>409848</v>
          </cell>
          <cell r="O994">
            <v>48500</v>
          </cell>
          <cell r="P994">
            <v>418044.96</v>
          </cell>
          <cell r="Q994">
            <v>217717815.16800004</v>
          </cell>
          <cell r="R994">
            <v>49470</v>
          </cell>
          <cell r="S994">
            <v>25763976.000000004</v>
          </cell>
          <cell r="T994">
            <v>467514.96</v>
          </cell>
          <cell r="U994">
            <v>243481791.16800004</v>
          </cell>
          <cell r="W994" t="str">
            <v>LS/Cadisun</v>
          </cell>
        </row>
        <row r="995">
          <cell r="A995" t="str">
            <v>BoQ_870</v>
          </cell>
          <cell r="B995">
            <v>870</v>
          </cell>
          <cell r="C995">
            <v>622</v>
          </cell>
          <cell r="D995" t="str">
            <v>Cu/PVC Earth Cable
Cáp tiếp địa</v>
          </cell>
          <cell r="E995" t="str">
            <v>120SQMM-1C</v>
          </cell>
          <cell r="L995" t="str">
            <v>m</v>
          </cell>
          <cell r="M995">
            <v>136.71000000000004</v>
          </cell>
          <cell r="N995">
            <v>262121</v>
          </cell>
          <cell r="O995">
            <v>36500</v>
          </cell>
          <cell r="P995">
            <v>267363.42</v>
          </cell>
          <cell r="Q995">
            <v>36551253.148200005</v>
          </cell>
          <cell r="R995">
            <v>37230</v>
          </cell>
          <cell r="S995">
            <v>5089713.3000000017</v>
          </cell>
          <cell r="T995">
            <v>304593.42</v>
          </cell>
          <cell r="U995">
            <v>41640966.44820001</v>
          </cell>
          <cell r="W995" t="str">
            <v>LS/Cadisun</v>
          </cell>
        </row>
        <row r="996">
          <cell r="A996" t="str">
            <v>BoQ_871</v>
          </cell>
          <cell r="B996">
            <v>871</v>
          </cell>
          <cell r="C996">
            <v>623</v>
          </cell>
          <cell r="D996" t="str">
            <v>Cu/XLPE/PVC Cable for TĐ -T7 (HVAC)
Cấp cho tủ điện ĐIỀU HÒA TĐ-T7</v>
          </cell>
          <cell r="E996" t="str">
            <v>300SQMM-1C</v>
          </cell>
          <cell r="L996" t="str">
            <v>m</v>
          </cell>
          <cell r="M996">
            <v>645</v>
          </cell>
          <cell r="N996">
            <v>673412</v>
          </cell>
          <cell r="O996">
            <v>63000</v>
          </cell>
          <cell r="P996">
            <v>686880.24</v>
          </cell>
          <cell r="Q996">
            <v>443037754.80000001</v>
          </cell>
          <cell r="R996">
            <v>64260</v>
          </cell>
          <cell r="S996">
            <v>41447700</v>
          </cell>
          <cell r="T996">
            <v>751140.24</v>
          </cell>
          <cell r="U996">
            <v>484485454.80000001</v>
          </cell>
          <cell r="W996" t="str">
            <v>LS/Cadisun</v>
          </cell>
        </row>
        <row r="997">
          <cell r="A997" t="str">
            <v>BoQ_872</v>
          </cell>
          <cell r="B997">
            <v>872</v>
          </cell>
          <cell r="C997">
            <v>624</v>
          </cell>
          <cell r="D997" t="str">
            <v>Cu/PVC Earth Cable
Cáp tiếp địa</v>
          </cell>
          <cell r="E997" t="str">
            <v>185SQMM-1C</v>
          </cell>
          <cell r="L997" t="str">
            <v>m</v>
          </cell>
          <cell r="M997">
            <v>201.5625</v>
          </cell>
          <cell r="N997">
            <v>405152</v>
          </cell>
          <cell r="O997">
            <v>48500</v>
          </cell>
          <cell r="P997">
            <v>413255.04</v>
          </cell>
          <cell r="Q997">
            <v>83296719</v>
          </cell>
          <cell r="R997">
            <v>49470</v>
          </cell>
          <cell r="S997">
            <v>9971296.875</v>
          </cell>
          <cell r="T997">
            <v>462725.04</v>
          </cell>
          <cell r="U997">
            <v>93268015.875</v>
          </cell>
          <cell r="W997" t="str">
            <v>LS/Cadisun</v>
          </cell>
        </row>
        <row r="998">
          <cell r="A998" t="str">
            <v>BoQ_873</v>
          </cell>
          <cell r="B998">
            <v>873</v>
          </cell>
          <cell r="C998">
            <v>625</v>
          </cell>
          <cell r="D998" t="str">
            <v>Cu/XLPE/PVC Cable for TĐ - T9
Cấp cho tủ điện sản xuất TĐ-T9</v>
          </cell>
          <cell r="E998" t="str">
            <v>300SQMM-1C</v>
          </cell>
          <cell r="L998" t="str">
            <v>m</v>
          </cell>
          <cell r="M998">
            <v>248.4</v>
          </cell>
          <cell r="N998">
            <v>673412</v>
          </cell>
          <cell r="O998">
            <v>63000</v>
          </cell>
          <cell r="P998">
            <v>686880.24</v>
          </cell>
          <cell r="Q998">
            <v>170621051.616</v>
          </cell>
          <cell r="R998">
            <v>64260</v>
          </cell>
          <cell r="S998">
            <v>15962184</v>
          </cell>
          <cell r="T998">
            <v>751140.24</v>
          </cell>
          <cell r="U998">
            <v>186583235.616</v>
          </cell>
          <cell r="W998" t="str">
            <v>LS/Cadisun</v>
          </cell>
        </row>
        <row r="999">
          <cell r="A999" t="str">
            <v>BoQ_874</v>
          </cell>
          <cell r="B999">
            <v>874</v>
          </cell>
          <cell r="D999" t="str">
            <v>Cu/PVC Earth Cable
Cáp tiếp địa</v>
          </cell>
          <cell r="E999" t="str">
            <v>185SQMM-1C</v>
          </cell>
          <cell r="L999" t="str">
            <v>m</v>
          </cell>
          <cell r="M999">
            <v>65.204999999999998</v>
          </cell>
          <cell r="N999">
            <v>405152</v>
          </cell>
          <cell r="O999">
            <v>48500</v>
          </cell>
          <cell r="P999">
            <v>413255.04</v>
          </cell>
          <cell r="Q999">
            <v>26946294.883199997</v>
          </cell>
          <cell r="R999">
            <v>49470</v>
          </cell>
          <cell r="S999">
            <v>3225691.35</v>
          </cell>
          <cell r="T999">
            <v>462725.04</v>
          </cell>
          <cell r="U999">
            <v>30171986.233199999</v>
          </cell>
        </row>
        <row r="1000">
          <cell r="A1000" t="str">
            <v>BoQ_875</v>
          </cell>
          <cell r="B1000">
            <v>875</v>
          </cell>
          <cell r="C1000">
            <v>626</v>
          </cell>
          <cell r="D1000" t="str">
            <v>Cu/XLPE/PVC Cable for TĐ - Máy hút ẩm
Cấp cho tủ điện TĐ-Máy hút ẩm</v>
          </cell>
          <cell r="E1000" t="str">
            <v>240SQMM-1C</v>
          </cell>
          <cell r="L1000" t="str">
            <v>m</v>
          </cell>
          <cell r="M1000">
            <v>1725.4</v>
          </cell>
          <cell r="N1000">
            <v>538970</v>
          </cell>
          <cell r="O1000">
            <v>55700</v>
          </cell>
          <cell r="P1000">
            <v>549749.4</v>
          </cell>
          <cell r="Q1000">
            <v>948537614.76000011</v>
          </cell>
          <cell r="R1000">
            <v>56814</v>
          </cell>
          <cell r="S1000">
            <v>98026875.600000009</v>
          </cell>
          <cell r="T1000">
            <v>606563.4</v>
          </cell>
          <cell r="U1000">
            <v>1046564490.3600001</v>
          </cell>
          <cell r="W1000" t="str">
            <v>LS/Cadisun</v>
          </cell>
        </row>
        <row r="1001">
          <cell r="A1001" t="str">
            <v>BoQ_876</v>
          </cell>
          <cell r="B1001">
            <v>876</v>
          </cell>
          <cell r="C1001">
            <v>627</v>
          </cell>
          <cell r="D1001" t="str">
            <v>Cu/PVC Earth Cable
Cáp tiếp địa</v>
          </cell>
          <cell r="E1001" t="str">
            <v>150SQMM-1C</v>
          </cell>
          <cell r="L1001" t="str">
            <v>m</v>
          </cell>
          <cell r="M1001">
            <v>135.45000000000002</v>
          </cell>
          <cell r="N1001">
            <v>325754</v>
          </cell>
          <cell r="O1001">
            <v>44600</v>
          </cell>
          <cell r="P1001">
            <v>332269.08</v>
          </cell>
          <cell r="Q1001">
            <v>45005846.886000007</v>
          </cell>
          <cell r="R1001">
            <v>45492</v>
          </cell>
          <cell r="S1001">
            <v>6161891.4000000004</v>
          </cell>
          <cell r="T1001">
            <v>377761.08</v>
          </cell>
          <cell r="U1001">
            <v>51167738.286000006</v>
          </cell>
          <cell r="W1001" t="str">
            <v>LS/Cadisun</v>
          </cell>
        </row>
        <row r="1002">
          <cell r="A1002" t="str">
            <v>BoQ_877</v>
          </cell>
          <cell r="B1002">
            <v>877</v>
          </cell>
          <cell r="C1002">
            <v>628</v>
          </cell>
          <cell r="D1002" t="str">
            <v>Cu/XLPE/PVC Cable for TĐ -CO (Máy nén khí)
Cấp cho tủ điện TĐ-CO (Máy nén khí)</v>
          </cell>
          <cell r="E1002" t="str">
            <v>150SQMM-1C</v>
          </cell>
          <cell r="L1002" t="str">
            <v>m</v>
          </cell>
          <cell r="M1002">
            <v>163.80000000000001</v>
          </cell>
          <cell r="N1002">
            <v>329471</v>
          </cell>
          <cell r="O1002">
            <v>44600</v>
          </cell>
          <cell r="P1002">
            <v>336060.42</v>
          </cell>
          <cell r="Q1002">
            <v>55046696.796000004</v>
          </cell>
          <cell r="R1002">
            <v>45492</v>
          </cell>
          <cell r="S1002">
            <v>7451589.6000000006</v>
          </cell>
          <cell r="T1002">
            <v>381552.42</v>
          </cell>
          <cell r="U1002">
            <v>62498286.396000005</v>
          </cell>
          <cell r="W1002" t="str">
            <v>LS/Cadisun</v>
          </cell>
        </row>
        <row r="1003">
          <cell r="A1003" t="str">
            <v>BoQ_878</v>
          </cell>
          <cell r="B1003">
            <v>878</v>
          </cell>
          <cell r="C1003">
            <v>629</v>
          </cell>
          <cell r="D1003" t="str">
            <v>Cu/PVC Earth Cable
Cáp tiếp địa</v>
          </cell>
          <cell r="E1003" t="str">
            <v>95SQMM-1C</v>
          </cell>
          <cell r="L1003" t="str">
            <v>m</v>
          </cell>
          <cell r="M1003">
            <v>40.950000000000003</v>
          </cell>
          <cell r="N1003">
            <v>208580</v>
          </cell>
          <cell r="O1003">
            <v>29900</v>
          </cell>
          <cell r="P1003">
            <v>212751.6</v>
          </cell>
          <cell r="Q1003">
            <v>8712178.0200000014</v>
          </cell>
          <cell r="R1003">
            <v>30498</v>
          </cell>
          <cell r="S1003">
            <v>1248893.1000000001</v>
          </cell>
          <cell r="T1003">
            <v>243249.6</v>
          </cell>
          <cell r="U1003">
            <v>9961071.120000001</v>
          </cell>
          <cell r="W1003" t="str">
            <v>LS/Cadisun</v>
          </cell>
        </row>
        <row r="1004">
          <cell r="A1004" t="str">
            <v>BoQ_879</v>
          </cell>
          <cell r="B1004">
            <v>879</v>
          </cell>
          <cell r="C1004">
            <v>630</v>
          </cell>
          <cell r="D1004" t="str">
            <v>Cu/XLPE/PVC Cable for TĐ-Vacuum
Cấp cho tủ điện TĐ-Vacuum</v>
          </cell>
          <cell r="E1004" t="str">
            <v>25SQMM-1C</v>
          </cell>
          <cell r="L1004" t="str">
            <v>m</v>
          </cell>
          <cell r="M1004">
            <v>220.5</v>
          </cell>
          <cell r="N1004">
            <v>57286</v>
          </cell>
          <cell r="O1004">
            <v>12400</v>
          </cell>
          <cell r="P1004">
            <v>58431.72</v>
          </cell>
          <cell r="Q1004">
            <v>12884194.26</v>
          </cell>
          <cell r="R1004">
            <v>12648</v>
          </cell>
          <cell r="S1004">
            <v>2788884</v>
          </cell>
          <cell r="T1004">
            <v>71079.72</v>
          </cell>
          <cell r="U1004">
            <v>15673078.26</v>
          </cell>
          <cell r="W1004" t="str">
            <v>LS/Cadisun</v>
          </cell>
        </row>
        <row r="1005">
          <cell r="A1005" t="str">
            <v>BoQ_880</v>
          </cell>
          <cell r="B1005">
            <v>880</v>
          </cell>
          <cell r="C1005">
            <v>631</v>
          </cell>
          <cell r="D1005" t="str">
            <v>Cu/PVC Earth Cable
Cáp tiếp địa</v>
          </cell>
          <cell r="E1005" t="str">
            <v>16SQMM-1C</v>
          </cell>
          <cell r="L1005" t="str">
            <v>m</v>
          </cell>
          <cell r="M1005">
            <v>55.125</v>
          </cell>
          <cell r="N1005">
            <v>35956</v>
          </cell>
          <cell r="O1005">
            <v>9800</v>
          </cell>
          <cell r="P1005">
            <v>36675.120000000003</v>
          </cell>
          <cell r="Q1005">
            <v>2021715.9900000002</v>
          </cell>
          <cell r="R1005">
            <v>9996</v>
          </cell>
          <cell r="S1005">
            <v>551029.5</v>
          </cell>
          <cell r="T1005">
            <v>46671.12</v>
          </cell>
          <cell r="U1005">
            <v>2572745.4900000002</v>
          </cell>
          <cell r="W1005" t="str">
            <v>LS/Cadisun</v>
          </cell>
        </row>
        <row r="1006">
          <cell r="A1006" t="str">
            <v>BoQ_881</v>
          </cell>
          <cell r="B1006">
            <v>881</v>
          </cell>
          <cell r="C1006">
            <v>632</v>
          </cell>
          <cell r="D1006" t="str">
            <v>Cu/XLPE/PVC Cable for TĐ-Dust
Cấp cho tủ điện TĐ-Dust</v>
          </cell>
          <cell r="L1006" t="str">
            <v>m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</row>
        <row r="1007">
          <cell r="A1007" t="str">
            <v>BoQ_882</v>
          </cell>
          <cell r="B1007">
            <v>882</v>
          </cell>
          <cell r="C1007">
            <v>633</v>
          </cell>
          <cell r="D1007" t="str">
            <v>Cu/PVC Earth Cable
Cáp tiếp địa</v>
          </cell>
          <cell r="L1007" t="str">
            <v>m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</row>
        <row r="1008">
          <cell r="A1008" t="str">
            <v>BoQ_883</v>
          </cell>
          <cell r="B1008">
            <v>883</v>
          </cell>
          <cell r="C1008">
            <v>634</v>
          </cell>
          <cell r="D1008" t="str">
            <v>Cu/XLPE/PVC Cable for TĐ. THANG MÁY TĐ.TM
Cấp cho tủ điện TĐ. THANG MÁY TĐ.TM</v>
          </cell>
          <cell r="L1008" t="str">
            <v>m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</row>
        <row r="1009">
          <cell r="A1009" t="str">
            <v>BoQ_884</v>
          </cell>
          <cell r="B1009">
            <v>884</v>
          </cell>
          <cell r="C1009">
            <v>635</v>
          </cell>
          <cell r="D1009" t="str">
            <v>Cu/PVC Earth Cable
Cáp tiếp địa</v>
          </cell>
          <cell r="L1009" t="str">
            <v>m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</row>
        <row r="1010">
          <cell r="A1010" t="str">
            <v>BoQ_885</v>
          </cell>
          <cell r="B1010">
            <v>885</v>
          </cell>
          <cell r="C1010">
            <v>636</v>
          </cell>
          <cell r="D1010" t="str">
            <v>Cu/XLPE/PVC/FR Cable for TĐ.SMOKE 
Cấp cho tủ điện quạt hút khói 1( chống cháy)</v>
          </cell>
          <cell r="E1010" t="str">
            <v>50SQMM-1C</v>
          </cell>
          <cell r="L1010" t="str">
            <v>m</v>
          </cell>
          <cell r="M1010">
            <v>756</v>
          </cell>
          <cell r="N1010">
            <v>108677</v>
          </cell>
          <cell r="O1010">
            <v>18600</v>
          </cell>
          <cell r="P1010">
            <v>110850.54000000001</v>
          </cell>
          <cell r="Q1010">
            <v>83803008.24000001</v>
          </cell>
          <cell r="R1010">
            <v>18972</v>
          </cell>
          <cell r="S1010">
            <v>14342832</v>
          </cell>
          <cell r="T1010">
            <v>129822.54000000001</v>
          </cell>
          <cell r="U1010">
            <v>98145840.24000001</v>
          </cell>
          <cell r="W1010" t="str">
            <v>LS/Cadisun</v>
          </cell>
        </row>
        <row r="1011">
          <cell r="A1011" t="str">
            <v>BoQ_886</v>
          </cell>
          <cell r="B1011">
            <v>886</v>
          </cell>
          <cell r="C1011">
            <v>637</v>
          </cell>
          <cell r="D1011" t="str">
            <v>Cu/PVC/Earth Cable
Cáp tiếp địa</v>
          </cell>
          <cell r="E1011" t="str">
            <v>25SQMM-1C</v>
          </cell>
          <cell r="L1011" t="str">
            <v>m</v>
          </cell>
          <cell r="M1011">
            <v>132.30000000000001</v>
          </cell>
          <cell r="N1011">
            <v>55741</v>
          </cell>
          <cell r="O1011">
            <v>12400</v>
          </cell>
          <cell r="P1011">
            <v>56855.82</v>
          </cell>
          <cell r="Q1011">
            <v>7522024.9860000005</v>
          </cell>
          <cell r="R1011">
            <v>12648</v>
          </cell>
          <cell r="S1011">
            <v>1673330.4000000001</v>
          </cell>
          <cell r="T1011">
            <v>69503.820000000007</v>
          </cell>
          <cell r="U1011">
            <v>9195355.3860000018</v>
          </cell>
          <cell r="W1011" t="str">
            <v>LS/Cadisun</v>
          </cell>
        </row>
        <row r="1012">
          <cell r="A1012" t="str">
            <v>BoQ_887</v>
          </cell>
          <cell r="B1012">
            <v>887</v>
          </cell>
          <cell r="C1012">
            <v>638</v>
          </cell>
          <cell r="D1012" t="str">
            <v>Cu/XLPE/PVC Cable for TĐ -Pump sinh hoạt
Cấp cho tủ điện TĐ -Pump sinh hoạt</v>
          </cell>
          <cell r="E1012" t="str">
            <v>16SQMM-1C</v>
          </cell>
          <cell r="L1012" t="str">
            <v>m</v>
          </cell>
          <cell r="M1012">
            <v>163.80000000000001</v>
          </cell>
          <cell r="N1012">
            <v>37297</v>
          </cell>
          <cell r="O1012">
            <v>9800</v>
          </cell>
          <cell r="P1012">
            <v>38042.94</v>
          </cell>
          <cell r="Q1012">
            <v>6231433.5720000006</v>
          </cell>
          <cell r="R1012">
            <v>9996</v>
          </cell>
          <cell r="S1012">
            <v>1637344.8</v>
          </cell>
          <cell r="T1012">
            <v>48038.94</v>
          </cell>
          <cell r="U1012">
            <v>7868778.3720000014</v>
          </cell>
          <cell r="W1012" t="str">
            <v>LS/Cadisun</v>
          </cell>
        </row>
        <row r="1013">
          <cell r="A1013" t="str">
            <v>BoQ_888</v>
          </cell>
          <cell r="B1013">
            <v>888</v>
          </cell>
          <cell r="C1013">
            <v>639</v>
          </cell>
          <cell r="D1013" t="str">
            <v>Cu/PVC Earth Cable
Cáp tiếp địa</v>
          </cell>
          <cell r="E1013" t="str">
            <v>10SQMM-1C</v>
          </cell>
          <cell r="L1013" t="str">
            <v>m</v>
          </cell>
          <cell r="M1013">
            <v>40.950000000000003</v>
          </cell>
          <cell r="N1013">
            <v>23561</v>
          </cell>
          <cell r="O1013">
            <v>7300</v>
          </cell>
          <cell r="P1013">
            <v>24032.22</v>
          </cell>
          <cell r="Q1013">
            <v>984119.4090000001</v>
          </cell>
          <cell r="R1013">
            <v>7446</v>
          </cell>
          <cell r="S1013">
            <v>304913.7</v>
          </cell>
          <cell r="T1013">
            <v>31478.22</v>
          </cell>
          <cell r="U1013">
            <v>1289033.1090000002</v>
          </cell>
          <cell r="W1013" t="str">
            <v>LS/Cadisun</v>
          </cell>
        </row>
        <row r="1014">
          <cell r="A1014" t="str">
            <v>BoQ_889</v>
          </cell>
          <cell r="B1014">
            <v>889</v>
          </cell>
          <cell r="C1014">
            <v>640</v>
          </cell>
          <cell r="D1014" t="str">
            <v>Cu/XLPE/PVC Cable for TĐ -CS (Chiếu sáng tổng Sản xuất)
Cấp cho tủ điện TĐ -CS (Chiếu sáng tổng sản xuất)</v>
          </cell>
          <cell r="E1014" t="str">
            <v>95SQMM-1C</v>
          </cell>
          <cell r="L1014" t="str">
            <v>m</v>
          </cell>
          <cell r="M1014">
            <v>142.80000000000001</v>
          </cell>
          <cell r="N1014">
            <v>211176</v>
          </cell>
          <cell r="O1014">
            <v>29900</v>
          </cell>
          <cell r="P1014">
            <v>215399.52</v>
          </cell>
          <cell r="Q1014">
            <v>30759051.456</v>
          </cell>
          <cell r="R1014">
            <v>30498</v>
          </cell>
          <cell r="S1014">
            <v>4355114.4000000004</v>
          </cell>
          <cell r="T1014">
            <v>245897.52</v>
          </cell>
          <cell r="U1014">
            <v>35114165.855999999</v>
          </cell>
          <cell r="W1014" t="str">
            <v>LS/Cadisun</v>
          </cell>
        </row>
        <row r="1015">
          <cell r="A1015" t="str">
            <v>BoQ_890</v>
          </cell>
          <cell r="B1015">
            <v>890</v>
          </cell>
          <cell r="C1015">
            <v>641</v>
          </cell>
          <cell r="D1015" t="str">
            <v>Cu/PVC Earth Cable
Cáp tiếp địa</v>
          </cell>
          <cell r="E1015" t="str">
            <v>50SQMM-1C</v>
          </cell>
          <cell r="L1015" t="str">
            <v>m</v>
          </cell>
          <cell r="M1015">
            <v>35.700000000000003</v>
          </cell>
          <cell r="N1015">
            <v>105371</v>
          </cell>
          <cell r="O1015">
            <v>18600</v>
          </cell>
          <cell r="P1015">
            <v>107478.42</v>
          </cell>
          <cell r="Q1015">
            <v>3836979.594</v>
          </cell>
          <cell r="R1015">
            <v>18972</v>
          </cell>
          <cell r="S1015">
            <v>677300.4</v>
          </cell>
          <cell r="T1015">
            <v>126450.42</v>
          </cell>
          <cell r="U1015">
            <v>4514279.9939999999</v>
          </cell>
          <cell r="W1015" t="str">
            <v>LS/Cadisun</v>
          </cell>
        </row>
        <row r="1016">
          <cell r="A1016" t="str">
            <v>BoQ_891</v>
          </cell>
          <cell r="B1016">
            <v>891</v>
          </cell>
          <cell r="C1016">
            <v>642</v>
          </cell>
          <cell r="D1016" t="str">
            <v>Cu/XLPE/PVC Cable for TĐ -LP1
Cấp cho tủ điện TĐ -LP1</v>
          </cell>
          <cell r="E1016" t="str">
            <v>50SQMM-1C</v>
          </cell>
          <cell r="L1016" t="str">
            <v>m</v>
          </cell>
          <cell r="M1016">
            <v>172.20000000000002</v>
          </cell>
          <cell r="N1016">
            <v>107336</v>
          </cell>
          <cell r="O1016">
            <v>18600</v>
          </cell>
          <cell r="P1016">
            <v>109482.72</v>
          </cell>
          <cell r="Q1016">
            <v>18852924.384000003</v>
          </cell>
          <cell r="R1016">
            <v>18972</v>
          </cell>
          <cell r="S1016">
            <v>3266978.4000000004</v>
          </cell>
          <cell r="T1016">
            <v>128454.72</v>
          </cell>
          <cell r="U1016">
            <v>22119902.784000002</v>
          </cell>
          <cell r="W1016" t="str">
            <v>LS/Cadisun</v>
          </cell>
        </row>
        <row r="1017">
          <cell r="A1017" t="str">
            <v>BoQ_892</v>
          </cell>
          <cell r="B1017">
            <v>892</v>
          </cell>
          <cell r="C1017">
            <v>643</v>
          </cell>
          <cell r="D1017" t="str">
            <v>Cu/PVC Earth Cable
Cáp tiếp địa</v>
          </cell>
          <cell r="E1017" t="str">
            <v>25SQMM-1C</v>
          </cell>
          <cell r="L1017" t="str">
            <v>m</v>
          </cell>
          <cell r="M1017">
            <v>43.050000000000004</v>
          </cell>
          <cell r="N1017">
            <v>55741</v>
          </cell>
          <cell r="O1017">
            <v>12400</v>
          </cell>
          <cell r="P1017">
            <v>56855.82</v>
          </cell>
          <cell r="Q1017">
            <v>2447643.0510000004</v>
          </cell>
          <cell r="R1017">
            <v>12648</v>
          </cell>
          <cell r="S1017">
            <v>544496.4</v>
          </cell>
          <cell r="T1017">
            <v>69503.820000000007</v>
          </cell>
          <cell r="U1017">
            <v>2992139.4510000008</v>
          </cell>
          <cell r="W1017" t="str">
            <v>LS/Cadisun</v>
          </cell>
        </row>
        <row r="1018">
          <cell r="A1018" t="str">
            <v>BoQ_893</v>
          </cell>
          <cell r="B1018">
            <v>893</v>
          </cell>
          <cell r="C1018">
            <v>644</v>
          </cell>
          <cell r="D1018" t="str">
            <v>Cu/XLPE/PVC Cable for TĐ -LP2
Cấp cho tủ điện TĐ -LP2</v>
          </cell>
          <cell r="E1018" t="str">
            <v>16SQMM-1C</v>
          </cell>
          <cell r="L1018" t="str">
            <v>m</v>
          </cell>
          <cell r="M1018">
            <v>403.20000000000005</v>
          </cell>
          <cell r="N1018">
            <v>37297</v>
          </cell>
          <cell r="O1018">
            <v>9800</v>
          </cell>
          <cell r="P1018">
            <v>38042.94</v>
          </cell>
          <cell r="Q1018">
            <v>15338913.408000004</v>
          </cell>
          <cell r="R1018">
            <v>9996</v>
          </cell>
          <cell r="S1018">
            <v>4030387.2000000007</v>
          </cell>
          <cell r="T1018">
            <v>48038.94</v>
          </cell>
          <cell r="U1018">
            <v>19369300.608000003</v>
          </cell>
          <cell r="W1018" t="str">
            <v>LS/Cadisun</v>
          </cell>
        </row>
        <row r="1019">
          <cell r="A1019" t="str">
            <v>BoQ_894</v>
          </cell>
          <cell r="B1019">
            <v>894</v>
          </cell>
          <cell r="C1019">
            <v>645</v>
          </cell>
          <cell r="D1019" t="str">
            <v>Cu/PVC Earth Cable
Cáp tiếp địa</v>
          </cell>
          <cell r="E1019" t="str">
            <v>10SQMM-1C</v>
          </cell>
          <cell r="L1019" t="str">
            <v>m</v>
          </cell>
          <cell r="M1019">
            <v>100.80000000000001</v>
          </cell>
          <cell r="N1019">
            <v>23561</v>
          </cell>
          <cell r="O1019">
            <v>7300</v>
          </cell>
          <cell r="P1019">
            <v>24032.22</v>
          </cell>
          <cell r="Q1019">
            <v>2422447.7760000005</v>
          </cell>
          <cell r="R1019">
            <v>7446</v>
          </cell>
          <cell r="S1019">
            <v>750556.8</v>
          </cell>
          <cell r="T1019">
            <v>31478.22</v>
          </cell>
          <cell r="U1019">
            <v>3173004.5760000004</v>
          </cell>
          <cell r="W1019" t="str">
            <v>LS/Cadisun</v>
          </cell>
        </row>
        <row r="1020">
          <cell r="A1020" t="str">
            <v>BoQ_895</v>
          </cell>
          <cell r="B1020">
            <v>895</v>
          </cell>
          <cell r="C1020">
            <v>646</v>
          </cell>
          <cell r="D1020" t="str">
            <v>Cu/XLPE/PVC Cable for TĐ -LP4 (CATEEN)
Cấp cho tủ điện TĐ -LP4</v>
          </cell>
          <cell r="E1020" t="str">
            <v>16SQMM-1C</v>
          </cell>
          <cell r="L1020" t="str">
            <v>m</v>
          </cell>
          <cell r="M1020">
            <v>79.8</v>
          </cell>
          <cell r="N1020">
            <v>37297</v>
          </cell>
          <cell r="O1020">
            <v>9800</v>
          </cell>
          <cell r="P1020">
            <v>38042.94</v>
          </cell>
          <cell r="Q1020">
            <v>3035826.6120000002</v>
          </cell>
          <cell r="R1020">
            <v>9996</v>
          </cell>
          <cell r="S1020">
            <v>797680.79999999993</v>
          </cell>
          <cell r="T1020">
            <v>48038.94</v>
          </cell>
          <cell r="U1020">
            <v>3833507.412</v>
          </cell>
          <cell r="W1020" t="str">
            <v>LS/Cadisun</v>
          </cell>
        </row>
        <row r="1021">
          <cell r="A1021" t="str">
            <v>BoQ_896</v>
          </cell>
          <cell r="B1021">
            <v>896</v>
          </cell>
          <cell r="C1021">
            <v>647</v>
          </cell>
          <cell r="D1021" t="str">
            <v>Cu/PVC Earth Cable
Cáp tiếp địa</v>
          </cell>
          <cell r="E1021" t="str">
            <v>10SQMM-1C</v>
          </cell>
          <cell r="L1021" t="str">
            <v>m</v>
          </cell>
          <cell r="M1021">
            <v>19.95</v>
          </cell>
          <cell r="N1021">
            <v>23561</v>
          </cell>
          <cell r="O1021">
            <v>7300</v>
          </cell>
          <cell r="P1021">
            <v>24032.22</v>
          </cell>
          <cell r="Q1021">
            <v>479442.78899999999</v>
          </cell>
          <cell r="R1021">
            <v>7446</v>
          </cell>
          <cell r="S1021">
            <v>148547.69999999998</v>
          </cell>
          <cell r="T1021">
            <v>31478.22</v>
          </cell>
          <cell r="U1021">
            <v>627990.48899999994</v>
          </cell>
          <cell r="W1021" t="str">
            <v>LS/Cadisun</v>
          </cell>
        </row>
        <row r="1022">
          <cell r="A1022" t="str">
            <v>BoQ_897</v>
          </cell>
          <cell r="B1022">
            <v>897</v>
          </cell>
          <cell r="C1022">
            <v>648</v>
          </cell>
          <cell r="D1022" t="str">
            <v>Cu/XLPE/PVC Cable for TĐ -T8 (văn phòng)
Cấp cho tủ điện TĐ -T8</v>
          </cell>
          <cell r="E1022" t="str">
            <v>25SQMM-1C</v>
          </cell>
          <cell r="L1022" t="str">
            <v>m</v>
          </cell>
          <cell r="M1022">
            <v>268.8</v>
          </cell>
          <cell r="N1022">
            <v>57286</v>
          </cell>
          <cell r="O1022">
            <v>12400</v>
          </cell>
          <cell r="P1022">
            <v>58431.72</v>
          </cell>
          <cell r="Q1022">
            <v>15706446.336000001</v>
          </cell>
          <cell r="R1022">
            <v>12648</v>
          </cell>
          <cell r="S1022">
            <v>3399782.4000000004</v>
          </cell>
          <cell r="T1022">
            <v>71079.72</v>
          </cell>
          <cell r="U1022">
            <v>19106228.736000001</v>
          </cell>
          <cell r="W1022" t="str">
            <v>LS/Cadisun</v>
          </cell>
        </row>
        <row r="1023">
          <cell r="A1023" t="str">
            <v>BoQ_898</v>
          </cell>
          <cell r="B1023">
            <v>898</v>
          </cell>
          <cell r="C1023">
            <v>649</v>
          </cell>
          <cell r="D1023" t="str">
            <v>Cu/PVC Earth Cable
Cáp tiếp địa</v>
          </cell>
          <cell r="E1023" t="str">
            <v>16SQMM-1C</v>
          </cell>
          <cell r="L1023" t="str">
            <v>m</v>
          </cell>
          <cell r="M1023">
            <v>67.2</v>
          </cell>
          <cell r="N1023">
            <v>35956</v>
          </cell>
          <cell r="O1023">
            <v>9800</v>
          </cell>
          <cell r="P1023">
            <v>36675.120000000003</v>
          </cell>
          <cell r="Q1023">
            <v>2464568.0640000002</v>
          </cell>
          <cell r="R1023">
            <v>9996</v>
          </cell>
          <cell r="S1023">
            <v>671731.20000000007</v>
          </cell>
          <cell r="T1023">
            <v>46671.12</v>
          </cell>
          <cell r="U1023">
            <v>3136299.2640000004</v>
          </cell>
          <cell r="W1023" t="str">
            <v>LS/Cadisun</v>
          </cell>
        </row>
        <row r="1024">
          <cell r="A1024" t="str">
            <v>BoQ_899</v>
          </cell>
          <cell r="B1024">
            <v>899</v>
          </cell>
          <cell r="C1024">
            <v>650</v>
          </cell>
          <cell r="D1024" t="str">
            <v>Cu/XLPE/PVC Cable for TĐ -NHÀ XE
Cấp cho tủ điện TĐ NHÀ XE</v>
          </cell>
          <cell r="E1024" t="str">
            <v>16SQMM-1C</v>
          </cell>
          <cell r="L1024" t="str">
            <v>m</v>
          </cell>
          <cell r="M1024">
            <v>418.95000000000005</v>
          </cell>
          <cell r="N1024">
            <v>37297</v>
          </cell>
          <cell r="O1024">
            <v>9800</v>
          </cell>
          <cell r="P1024">
            <v>38042.94</v>
          </cell>
          <cell r="Q1024">
            <v>15938089.713000003</v>
          </cell>
          <cell r="R1024">
            <v>9996</v>
          </cell>
          <cell r="S1024">
            <v>4187824.2000000007</v>
          </cell>
          <cell r="T1024">
            <v>48038.94</v>
          </cell>
          <cell r="U1024">
            <v>20125913.913000003</v>
          </cell>
          <cell r="W1024" t="str">
            <v>LS/Cadisun</v>
          </cell>
        </row>
        <row r="1025">
          <cell r="A1025" t="str">
            <v>BoQ_900</v>
          </cell>
          <cell r="B1025">
            <v>900</v>
          </cell>
          <cell r="C1025">
            <v>651</v>
          </cell>
          <cell r="D1025" t="str">
            <v>Cu/PVC Earth Cable
Cáp tiếp địa</v>
          </cell>
          <cell r="E1025" t="str">
            <v>10SQMM-1C</v>
          </cell>
          <cell r="L1025" t="str">
            <v>m</v>
          </cell>
          <cell r="M1025">
            <v>99.75</v>
          </cell>
          <cell r="N1025">
            <v>23561</v>
          </cell>
          <cell r="O1025">
            <v>7300</v>
          </cell>
          <cell r="P1025">
            <v>24032.22</v>
          </cell>
          <cell r="Q1025">
            <v>2397213.9450000003</v>
          </cell>
          <cell r="R1025">
            <v>7446</v>
          </cell>
          <cell r="S1025">
            <v>742738.5</v>
          </cell>
          <cell r="T1025">
            <v>31478.22</v>
          </cell>
          <cell r="U1025">
            <v>3139952.4450000003</v>
          </cell>
          <cell r="W1025" t="str">
            <v>LS/Cadisun</v>
          </cell>
        </row>
        <row r="1026">
          <cell r="A1026" t="str">
            <v>BoQ_901</v>
          </cell>
          <cell r="B1026">
            <v>901</v>
          </cell>
          <cell r="C1026">
            <v>652</v>
          </cell>
          <cell r="D1026" t="str">
            <v>Cu/XLPE/PVC Cable for TĐ-PHỤ TRỢ
Cấp cho tủ điện TĐ-PHỤ TRỢ</v>
          </cell>
          <cell r="E1026" t="str">
            <v>16SQMM-1C</v>
          </cell>
          <cell r="L1026" t="str">
            <v>m</v>
          </cell>
          <cell r="M1026">
            <v>268.8</v>
          </cell>
          <cell r="N1026">
            <v>37297</v>
          </cell>
          <cell r="O1026">
            <v>9800</v>
          </cell>
          <cell r="P1026">
            <v>38042.94</v>
          </cell>
          <cell r="Q1026">
            <v>10225942.272000002</v>
          </cell>
          <cell r="R1026">
            <v>9996</v>
          </cell>
          <cell r="S1026">
            <v>2686924.8000000003</v>
          </cell>
          <cell r="T1026">
            <v>48038.94</v>
          </cell>
          <cell r="U1026">
            <v>12912867.072000001</v>
          </cell>
          <cell r="W1026" t="str">
            <v>LS/Cadisun</v>
          </cell>
        </row>
        <row r="1027">
          <cell r="A1027" t="str">
            <v>BoQ_902</v>
          </cell>
          <cell r="B1027">
            <v>902</v>
          </cell>
          <cell r="C1027">
            <v>653</v>
          </cell>
          <cell r="D1027" t="str">
            <v>Cu/PVC Earth Cable
Cáp tiếp địa</v>
          </cell>
          <cell r="E1027" t="str">
            <v>10SQMM-1C</v>
          </cell>
          <cell r="L1027" t="str">
            <v>m</v>
          </cell>
          <cell r="M1027">
            <v>67.2</v>
          </cell>
          <cell r="N1027">
            <v>23561</v>
          </cell>
          <cell r="O1027">
            <v>7300</v>
          </cell>
          <cell r="P1027">
            <v>24032.22</v>
          </cell>
          <cell r="Q1027">
            <v>1614965.1840000001</v>
          </cell>
          <cell r="R1027">
            <v>7446</v>
          </cell>
          <cell r="S1027">
            <v>500371.20000000001</v>
          </cell>
          <cell r="T1027">
            <v>31478.22</v>
          </cell>
          <cell r="U1027">
            <v>2115336.3840000001</v>
          </cell>
          <cell r="W1027" t="str">
            <v>LS/Cadisun</v>
          </cell>
        </row>
        <row r="1028">
          <cell r="A1028" t="str">
            <v>BoQ_903</v>
          </cell>
          <cell r="B1028">
            <v>903</v>
          </cell>
          <cell r="C1028">
            <v>654</v>
          </cell>
          <cell r="D1028" t="str">
            <v>Cu/XLPE/PVC Cable for TĐ -Pump bơm sinh hoạt và sản xuất
Cấp cho tủ điện TĐ -Pump bơm sinh hoạt</v>
          </cell>
          <cell r="E1028" t="str">
            <v>16SQMM-1C</v>
          </cell>
          <cell r="L1028" t="str">
            <v>m</v>
          </cell>
          <cell r="M1028">
            <v>226.8</v>
          </cell>
          <cell r="N1028">
            <v>37297</v>
          </cell>
          <cell r="O1028">
            <v>9800</v>
          </cell>
          <cell r="P1028">
            <v>38042.94</v>
          </cell>
          <cell r="Q1028">
            <v>8628138.7920000013</v>
          </cell>
          <cell r="R1028">
            <v>9996</v>
          </cell>
          <cell r="S1028">
            <v>2267092.8000000003</v>
          </cell>
          <cell r="T1028">
            <v>48038.94</v>
          </cell>
          <cell r="U1028">
            <v>10895231.592</v>
          </cell>
          <cell r="W1028" t="str">
            <v>LS/Cadisun</v>
          </cell>
        </row>
        <row r="1029">
          <cell r="A1029" t="str">
            <v>BoQ_904</v>
          </cell>
          <cell r="B1029">
            <v>904</v>
          </cell>
          <cell r="C1029">
            <v>655</v>
          </cell>
          <cell r="D1029" t="str">
            <v>Cu/PVC Earth Cable
Cáp tiếp địa</v>
          </cell>
          <cell r="E1029" t="str">
            <v>10SQMM-1C</v>
          </cell>
          <cell r="L1029" t="str">
            <v>m</v>
          </cell>
          <cell r="M1029">
            <v>56.7</v>
          </cell>
          <cell r="N1029">
            <v>23561</v>
          </cell>
          <cell r="O1029">
            <v>7300</v>
          </cell>
          <cell r="P1029">
            <v>24032.22</v>
          </cell>
          <cell r="Q1029">
            <v>1362626.8740000001</v>
          </cell>
          <cell r="R1029">
            <v>7446</v>
          </cell>
          <cell r="S1029">
            <v>422188.2</v>
          </cell>
          <cell r="T1029">
            <v>31478.22</v>
          </cell>
          <cell r="U1029">
            <v>1784815.0740000003</v>
          </cell>
          <cell r="W1029" t="str">
            <v>LS/Cadisun</v>
          </cell>
        </row>
        <row r="1030">
          <cell r="A1030" t="str">
            <v>BoQ_905</v>
          </cell>
          <cell r="B1030">
            <v>905</v>
          </cell>
          <cell r="C1030">
            <v>656</v>
          </cell>
          <cell r="D1030" t="str">
            <v>Cu/XLPE/FR/PVC Cable for TĐ -Pump bơm PCCC
Cấp cho tủ điện TĐ -Pump bơm PCCC</v>
          </cell>
          <cell r="E1030" t="str">
            <v>120SQMM-1C</v>
          </cell>
          <cell r="L1030" t="str">
            <v>m</v>
          </cell>
          <cell r="M1030">
            <v>184.8</v>
          </cell>
          <cell r="N1030">
            <v>251438</v>
          </cell>
          <cell r="O1030">
            <v>36500</v>
          </cell>
          <cell r="P1030">
            <v>256466.76</v>
          </cell>
          <cell r="Q1030">
            <v>47395057.248000003</v>
          </cell>
          <cell r="R1030">
            <v>37230</v>
          </cell>
          <cell r="S1030">
            <v>6880104</v>
          </cell>
          <cell r="T1030">
            <v>293696.76</v>
          </cell>
          <cell r="U1030">
            <v>54275161.248000003</v>
          </cell>
          <cell r="W1030" t="str">
            <v>LS/Cadisun</v>
          </cell>
        </row>
        <row r="1031">
          <cell r="A1031" t="str">
            <v>BoQ_906</v>
          </cell>
          <cell r="B1031">
            <v>906</v>
          </cell>
          <cell r="C1031">
            <v>657</v>
          </cell>
          <cell r="D1031" t="str">
            <v>Cu/PVC Earth Cable
Cáp tiếp địa</v>
          </cell>
          <cell r="E1031" t="str">
            <v>70SQMM-1C</v>
          </cell>
          <cell r="L1031" t="str">
            <v>m</v>
          </cell>
          <cell r="M1031">
            <v>46.2</v>
          </cell>
          <cell r="N1031">
            <v>150294</v>
          </cell>
          <cell r="O1031">
            <v>23200</v>
          </cell>
          <cell r="P1031">
            <v>153299.88</v>
          </cell>
          <cell r="Q1031">
            <v>7082454.4560000002</v>
          </cell>
          <cell r="R1031">
            <v>23664</v>
          </cell>
          <cell r="S1031">
            <v>1093276.8</v>
          </cell>
          <cell r="T1031">
            <v>176963.88</v>
          </cell>
          <cell r="U1031">
            <v>8175731.256000001</v>
          </cell>
          <cell r="W1031" t="str">
            <v>LS/Cadisun</v>
          </cell>
        </row>
        <row r="1032">
          <cell r="A1032" t="str">
            <v>BoQ_907</v>
          </cell>
          <cell r="B1032">
            <v>907</v>
          </cell>
          <cell r="C1032">
            <v>658</v>
          </cell>
          <cell r="D1032" t="str">
            <v>Cu/XLPE/FR/PVC Cable for TĐ  PCCC
Cấp cho tủ điện TĐ - PCCC</v>
          </cell>
          <cell r="E1032" t="str">
            <v>16SQMM-1C</v>
          </cell>
          <cell r="L1032" t="str">
            <v>m</v>
          </cell>
          <cell r="M1032">
            <v>268.8</v>
          </cell>
          <cell r="N1032">
            <v>37837</v>
          </cell>
          <cell r="O1032">
            <v>9800</v>
          </cell>
          <cell r="P1032">
            <v>38593.74</v>
          </cell>
          <cell r="Q1032">
            <v>10373997.311999999</v>
          </cell>
          <cell r="R1032">
            <v>9996</v>
          </cell>
          <cell r="S1032">
            <v>2686924.8000000003</v>
          </cell>
          <cell r="T1032">
            <v>48589.74</v>
          </cell>
          <cell r="U1032">
            <v>13060922.112</v>
          </cell>
          <cell r="W1032" t="str">
            <v>LS/Cadisun</v>
          </cell>
        </row>
        <row r="1033">
          <cell r="A1033" t="str">
            <v>BoQ_908</v>
          </cell>
          <cell r="B1033">
            <v>908</v>
          </cell>
          <cell r="C1033">
            <v>659</v>
          </cell>
          <cell r="D1033" t="str">
            <v>Cu/PVC Earth Cable
Cáp tiếp địa</v>
          </cell>
          <cell r="E1033" t="str">
            <v>10SQMM-1C</v>
          </cell>
          <cell r="L1033" t="str">
            <v>m</v>
          </cell>
          <cell r="M1033">
            <v>67.2</v>
          </cell>
          <cell r="N1033">
            <v>23561</v>
          </cell>
          <cell r="O1033">
            <v>7300</v>
          </cell>
          <cell r="P1033">
            <v>24032.22</v>
          </cell>
          <cell r="Q1033">
            <v>1614965.1840000001</v>
          </cell>
          <cell r="R1033">
            <v>7446</v>
          </cell>
          <cell r="S1033">
            <v>500371.20000000001</v>
          </cell>
          <cell r="T1033">
            <v>31478.22</v>
          </cell>
          <cell r="U1033">
            <v>2115336.3840000001</v>
          </cell>
          <cell r="W1033" t="str">
            <v>LS/Cadisun</v>
          </cell>
        </row>
        <row r="1034">
          <cell r="A1034" t="str">
            <v>BoQ_909</v>
          </cell>
          <cell r="B1034">
            <v>909</v>
          </cell>
          <cell r="C1034">
            <v>660</v>
          </cell>
          <cell r="D1034" t="str">
            <v>Cu/XLPE/PVC Cable for TĐ cửa cuốn
Cấp cho tủ điện TĐ -cửa cuốn</v>
          </cell>
          <cell r="E1034" t="str">
            <v>16SQMM-1C</v>
          </cell>
          <cell r="L1034" t="str">
            <v>m</v>
          </cell>
          <cell r="M1034">
            <v>310.8</v>
          </cell>
          <cell r="N1034">
            <v>37297</v>
          </cell>
          <cell r="O1034">
            <v>9800</v>
          </cell>
          <cell r="P1034">
            <v>38042.94</v>
          </cell>
          <cell r="Q1034">
            <v>11823745.752</v>
          </cell>
          <cell r="R1034">
            <v>9996</v>
          </cell>
          <cell r="S1034">
            <v>3106756.8000000003</v>
          </cell>
          <cell r="T1034">
            <v>48038.94</v>
          </cell>
          <cell r="U1034">
            <v>14930502.552000001</v>
          </cell>
          <cell r="W1034" t="str">
            <v>LS/Cadisun</v>
          </cell>
        </row>
        <row r="1035">
          <cell r="A1035" t="str">
            <v>BoQ_910</v>
          </cell>
          <cell r="B1035">
            <v>910</v>
          </cell>
          <cell r="C1035">
            <v>661</v>
          </cell>
          <cell r="D1035" t="str">
            <v>Cu/PVC Earth Cable
Cáp tiếp địa</v>
          </cell>
          <cell r="E1035" t="str">
            <v>10SQMM-1C</v>
          </cell>
          <cell r="L1035" t="str">
            <v>m</v>
          </cell>
          <cell r="M1035">
            <v>77.7</v>
          </cell>
          <cell r="N1035">
            <v>23561</v>
          </cell>
          <cell r="O1035">
            <v>7300</v>
          </cell>
          <cell r="P1035">
            <v>24032.22</v>
          </cell>
          <cell r="Q1035">
            <v>1867303.4940000002</v>
          </cell>
          <cell r="R1035">
            <v>7446</v>
          </cell>
          <cell r="S1035">
            <v>578554.20000000007</v>
          </cell>
          <cell r="T1035">
            <v>31478.22</v>
          </cell>
          <cell r="U1035">
            <v>2445857.6940000001</v>
          </cell>
          <cell r="W1035" t="str">
            <v>LS/Cadisun</v>
          </cell>
        </row>
        <row r="1036">
          <cell r="A1036" t="str">
            <v>BoQ_911</v>
          </cell>
          <cell r="B1036">
            <v>911</v>
          </cell>
          <cell r="C1036">
            <v>662</v>
          </cell>
          <cell r="D1036" t="str">
            <v>Cu/XLPE/PVC Cable for TĐ bếp
Cấp cho tủ điện TĐ bếp</v>
          </cell>
          <cell r="L1036" t="str">
            <v>m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W1036" t="str">
            <v>LS/Cadisun</v>
          </cell>
        </row>
        <row r="1037">
          <cell r="A1037" t="str">
            <v>BoQ_912</v>
          </cell>
          <cell r="B1037">
            <v>912</v>
          </cell>
          <cell r="C1037">
            <v>663</v>
          </cell>
          <cell r="D1037" t="str">
            <v>Cu/PVC Earth Cable
Cáp tiếp địa</v>
          </cell>
          <cell r="L1037" t="str">
            <v>m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W1037" t="str">
            <v>LS/Cadisun</v>
          </cell>
        </row>
        <row r="1038">
          <cell r="A1038" t="str">
            <v>BoQ_913</v>
          </cell>
          <cell r="B1038">
            <v>913</v>
          </cell>
          <cell r="C1038">
            <v>664</v>
          </cell>
          <cell r="D1038" t="str">
            <v>Phụ kiện đầu cáp
Cable lug</v>
          </cell>
          <cell r="L1038" t="str">
            <v>lot</v>
          </cell>
          <cell r="M1038">
            <v>1</v>
          </cell>
          <cell r="N1038">
            <v>6250000</v>
          </cell>
          <cell r="O1038">
            <v>0</v>
          </cell>
          <cell r="P1038">
            <v>6375000</v>
          </cell>
          <cell r="Q1038">
            <v>6375000</v>
          </cell>
          <cell r="R1038">
            <v>0</v>
          </cell>
          <cell r="S1038">
            <v>0</v>
          </cell>
          <cell r="T1038">
            <v>6375000</v>
          </cell>
          <cell r="U1038">
            <v>6375000</v>
          </cell>
        </row>
        <row r="1039">
          <cell r="A1039" t="str">
            <v>BoQ_914</v>
          </cell>
          <cell r="B1039">
            <v>914</v>
          </cell>
          <cell r="C1039">
            <v>665</v>
          </cell>
          <cell r="D1039" t="str">
            <v>Vật tư phụ
Accessories</v>
          </cell>
          <cell r="L1039" t="str">
            <v>lot</v>
          </cell>
          <cell r="M1039">
            <v>1</v>
          </cell>
          <cell r="N1039">
            <v>33401803</v>
          </cell>
          <cell r="O1039">
            <v>0</v>
          </cell>
          <cell r="P1039">
            <v>34069839.060000002</v>
          </cell>
          <cell r="Q1039">
            <v>34069839.060000002</v>
          </cell>
          <cell r="R1039">
            <v>0</v>
          </cell>
          <cell r="S1039">
            <v>0</v>
          </cell>
          <cell r="T1039">
            <v>34069839.060000002</v>
          </cell>
          <cell r="U1039">
            <v>34069839.060000002</v>
          </cell>
        </row>
        <row r="1040">
          <cell r="A1040" t="str">
            <v>BoQ_915</v>
          </cell>
          <cell r="B1040">
            <v>915</v>
          </cell>
          <cell r="C1040">
            <v>666</v>
          </cell>
          <cell r="D1040" t="str">
            <v>Cu/XLPE/FR/PVC Cable for TĐ -Pump bơm PCCC
Cấp cho tủ điện TĐ -Pump bơm PCCC</v>
          </cell>
          <cell r="E1040" t="str">
            <v>120SQMM-1C</v>
          </cell>
          <cell r="L1040" t="str">
            <v>m</v>
          </cell>
          <cell r="M1040">
            <v>176</v>
          </cell>
          <cell r="N1040">
            <v>251438</v>
          </cell>
          <cell r="O1040">
            <v>36500</v>
          </cell>
          <cell r="P1040">
            <v>256466.76</v>
          </cell>
          <cell r="Q1040">
            <v>45138149.760000005</v>
          </cell>
          <cell r="R1040">
            <v>37230</v>
          </cell>
          <cell r="S1040">
            <v>6552480</v>
          </cell>
          <cell r="T1040">
            <v>293696.76</v>
          </cell>
          <cell r="U1040">
            <v>51690629.760000005</v>
          </cell>
          <cell r="W1040" t="str">
            <v>LS/Cadisun</v>
          </cell>
        </row>
        <row r="1041">
          <cell r="A1041" t="str">
            <v>BoQ_916</v>
          </cell>
          <cell r="B1041">
            <v>916</v>
          </cell>
          <cell r="C1041">
            <v>667</v>
          </cell>
          <cell r="D1041" t="str">
            <v>Cu/PVC Earth Cable
Cáp tiếp địa</v>
          </cell>
          <cell r="E1041" t="str">
            <v>70SQMM-1C</v>
          </cell>
          <cell r="L1041" t="str">
            <v>m</v>
          </cell>
          <cell r="M1041">
            <v>44</v>
          </cell>
          <cell r="N1041">
            <v>150294</v>
          </cell>
          <cell r="O1041">
            <v>23200</v>
          </cell>
          <cell r="P1041">
            <v>153299.88</v>
          </cell>
          <cell r="Q1041">
            <v>6745194.7200000007</v>
          </cell>
          <cell r="R1041">
            <v>23664</v>
          </cell>
          <cell r="S1041">
            <v>1041216</v>
          </cell>
          <cell r="T1041">
            <v>176963.88</v>
          </cell>
          <cell r="U1041">
            <v>7786410.7200000007</v>
          </cell>
          <cell r="W1041" t="str">
            <v>LS/Cadisun</v>
          </cell>
        </row>
        <row r="1042">
          <cell r="A1042" t="str">
            <v>BoQ_917</v>
          </cell>
          <cell r="B1042">
            <v>917</v>
          </cell>
          <cell r="C1042">
            <v>668</v>
          </cell>
          <cell r="D1042" t="str">
            <v>Cu/XLPE/FR/PVC Cable for TĐ  PCCC
Cấp cho tủ điện TĐ - PCCC</v>
          </cell>
          <cell r="E1042" t="str">
            <v>16SQMM-1C</v>
          </cell>
          <cell r="L1042" t="str">
            <v>m</v>
          </cell>
          <cell r="M1042">
            <v>256</v>
          </cell>
          <cell r="N1042">
            <v>37837</v>
          </cell>
          <cell r="O1042">
            <v>9800</v>
          </cell>
          <cell r="P1042">
            <v>38593.74</v>
          </cell>
          <cell r="Q1042">
            <v>9879997.4399999995</v>
          </cell>
          <cell r="R1042">
            <v>9996</v>
          </cell>
          <cell r="S1042">
            <v>2558976</v>
          </cell>
          <cell r="T1042">
            <v>48589.74</v>
          </cell>
          <cell r="U1042">
            <v>12438973.439999999</v>
          </cell>
          <cell r="W1042" t="str">
            <v>LS/Cadisun</v>
          </cell>
        </row>
        <row r="1043">
          <cell r="A1043" t="str">
            <v>BoQ_918</v>
          </cell>
          <cell r="B1043">
            <v>918</v>
          </cell>
          <cell r="C1043">
            <v>669</v>
          </cell>
          <cell r="D1043" t="str">
            <v>Cu/PVC Earth Cable
Cáp tiếp địa</v>
          </cell>
          <cell r="E1043" t="str">
            <v>10SQMM-1C</v>
          </cell>
          <cell r="L1043" t="str">
            <v>m</v>
          </cell>
          <cell r="M1043">
            <v>64</v>
          </cell>
          <cell r="N1043">
            <v>23561</v>
          </cell>
          <cell r="O1043">
            <v>7300</v>
          </cell>
          <cell r="P1043">
            <v>24032.22</v>
          </cell>
          <cell r="Q1043">
            <v>1538062.08</v>
          </cell>
          <cell r="R1043">
            <v>7446</v>
          </cell>
          <cell r="S1043">
            <v>476544</v>
          </cell>
          <cell r="T1043">
            <v>31478.22</v>
          </cell>
          <cell r="U1043">
            <v>2014606.08</v>
          </cell>
          <cell r="W1043" t="str">
            <v>LS/Cadisun</v>
          </cell>
        </row>
        <row r="1044">
          <cell r="A1044" t="str">
            <v>BoQ_919</v>
          </cell>
          <cell r="B1044">
            <v>919</v>
          </cell>
          <cell r="C1044">
            <v>670</v>
          </cell>
          <cell r="D1044" t="str">
            <v>Cu/XLPE/PVC Cable for TĐ cửa cuốn
Cấp cho tủ điện TĐ -cửa cuốn</v>
          </cell>
          <cell r="E1044" t="str">
            <v>16SQMM-1C</v>
          </cell>
          <cell r="L1044" t="str">
            <v>m</v>
          </cell>
          <cell r="M1044">
            <v>296</v>
          </cell>
          <cell r="N1044">
            <v>37297</v>
          </cell>
          <cell r="O1044">
            <v>9800</v>
          </cell>
          <cell r="P1044">
            <v>38042.94</v>
          </cell>
          <cell r="Q1044">
            <v>11260710.24</v>
          </cell>
          <cell r="R1044">
            <v>9996</v>
          </cell>
          <cell r="S1044">
            <v>2958816</v>
          </cell>
          <cell r="T1044">
            <v>48038.94</v>
          </cell>
          <cell r="U1044">
            <v>14219526.24</v>
          </cell>
          <cell r="W1044" t="str">
            <v>LS/Cadisun</v>
          </cell>
        </row>
        <row r="1045">
          <cell r="A1045" t="str">
            <v>BoQ_920</v>
          </cell>
          <cell r="B1045">
            <v>920</v>
          </cell>
          <cell r="C1045">
            <v>671</v>
          </cell>
          <cell r="D1045" t="str">
            <v>Cu/PVC Earth Cable
Cáp tiếp địa</v>
          </cell>
          <cell r="E1045" t="str">
            <v>10SQMM-1C</v>
          </cell>
          <cell r="L1045" t="str">
            <v>m</v>
          </cell>
          <cell r="M1045">
            <v>74</v>
          </cell>
          <cell r="N1045">
            <v>23561</v>
          </cell>
          <cell r="O1045">
            <v>7300</v>
          </cell>
          <cell r="P1045">
            <v>24032.22</v>
          </cell>
          <cell r="Q1045">
            <v>1778384.28</v>
          </cell>
          <cell r="R1045">
            <v>7446</v>
          </cell>
          <cell r="S1045">
            <v>551004</v>
          </cell>
          <cell r="T1045">
            <v>31478.22</v>
          </cell>
          <cell r="U1045">
            <v>2329388.2800000003</v>
          </cell>
          <cell r="W1045" t="str">
            <v>LS/Cadisun</v>
          </cell>
        </row>
        <row r="1046">
          <cell r="A1046" t="str">
            <v>BoQ_921</v>
          </cell>
          <cell r="B1046">
            <v>921</v>
          </cell>
          <cell r="C1046">
            <v>672</v>
          </cell>
          <cell r="D1046" t="str">
            <v>Excavation soil
Đào rãnh đặt cáp ngầm cấp điện cho nhà nhà phụ trợ</v>
          </cell>
          <cell r="L1046" t="str">
            <v>m3</v>
          </cell>
          <cell r="M1046">
            <v>165.88800000000001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</row>
        <row r="1047">
          <cell r="A1047" t="str">
            <v>BoQ_922</v>
          </cell>
          <cell r="B1047">
            <v>922</v>
          </cell>
          <cell r="C1047">
            <v>673</v>
          </cell>
          <cell r="D1047" t="str">
            <v>Back fil
Lấp đất</v>
          </cell>
          <cell r="L1047" t="str">
            <v>m3</v>
          </cell>
          <cell r="M1047">
            <v>165.88800000000003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</row>
        <row r="1048">
          <cell r="A1048" t="str">
            <v>BoQ_923</v>
          </cell>
          <cell r="B1048">
            <v>923</v>
          </cell>
          <cell r="C1048">
            <v>674</v>
          </cell>
          <cell r="D1048" t="str">
            <v>Flexible HDPE Pipe D230/175
Ống gân xoắn HDPE D230/175</v>
          </cell>
          <cell r="L1048" t="str">
            <v>m</v>
          </cell>
          <cell r="M1048">
            <v>450</v>
          </cell>
          <cell r="N1048">
            <v>131250</v>
          </cell>
          <cell r="O1048">
            <v>31250</v>
          </cell>
          <cell r="P1048">
            <v>133875</v>
          </cell>
          <cell r="Q1048">
            <v>60243750</v>
          </cell>
          <cell r="R1048">
            <v>31875</v>
          </cell>
          <cell r="S1048">
            <v>14343750</v>
          </cell>
          <cell r="T1048">
            <v>165750</v>
          </cell>
          <cell r="U1048">
            <v>74587500</v>
          </cell>
        </row>
        <row r="1049">
          <cell r="A1049" t="str">
            <v>BoQ_924</v>
          </cell>
          <cell r="B1049">
            <v>924</v>
          </cell>
          <cell r="C1049">
            <v>675</v>
          </cell>
          <cell r="D1049" t="str">
            <v>Flexible HDPE Pipe D110/90
Ống gân xoắn HDPE D110/90</v>
          </cell>
          <cell r="L1049" t="str">
            <v>m</v>
          </cell>
          <cell r="M1049">
            <v>400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</row>
        <row r="1050">
          <cell r="A1050" t="str">
            <v>BoQ_925</v>
          </cell>
          <cell r="B1050">
            <v>925</v>
          </cell>
          <cell r="C1050">
            <v>675</v>
          </cell>
          <cell r="D1050" t="str">
            <v>Warning tape
Băng cảnh báo cáp ngầm</v>
          </cell>
          <cell r="L1050" t="str">
            <v>m</v>
          </cell>
          <cell r="M1050">
            <v>850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</row>
        <row r="1051">
          <cell r="A1051" t="str">
            <v>BoQ_926</v>
          </cell>
          <cell r="B1051">
            <v>926</v>
          </cell>
          <cell r="C1051">
            <v>676</v>
          </cell>
          <cell r="D1051" t="str">
            <v>Warning ceramic piles
Sứ cảnh báo cáp ngầm</v>
          </cell>
          <cell r="L1051" t="str">
            <v>pcs</v>
          </cell>
          <cell r="M1051">
            <v>80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</row>
        <row r="1052">
          <cell r="A1052" t="str">
            <v>BoQ_927</v>
          </cell>
          <cell r="B1052">
            <v>927</v>
          </cell>
          <cell r="C1052">
            <v>677</v>
          </cell>
          <cell r="D1052" t="str">
            <v>Tape Brick
Gạch bảo vệ cáp</v>
          </cell>
          <cell r="L1052" t="str">
            <v>pcs</v>
          </cell>
          <cell r="M1052">
            <v>15300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</row>
        <row r="1053">
          <cell r="A1053" t="str">
            <v>BoQ_928</v>
          </cell>
          <cell r="B1053">
            <v>928</v>
          </cell>
          <cell r="C1053">
            <v>678</v>
          </cell>
          <cell r="D1053" t="str">
            <v>Manhole 1000x1000x800
Hố ga 1000x1000x800</v>
          </cell>
          <cell r="L1053" t="str">
            <v>pcs</v>
          </cell>
          <cell r="M1053">
            <v>6</v>
          </cell>
          <cell r="N1053">
            <v>1800000</v>
          </cell>
          <cell r="O1053">
            <v>800000</v>
          </cell>
          <cell r="P1053">
            <v>1836000</v>
          </cell>
          <cell r="Q1053">
            <v>11016000</v>
          </cell>
          <cell r="R1053">
            <v>816000</v>
          </cell>
          <cell r="S1053">
            <v>4896000</v>
          </cell>
          <cell r="T1053">
            <v>2652000</v>
          </cell>
          <cell r="U1053">
            <v>15912000</v>
          </cell>
        </row>
        <row r="1054">
          <cell r="A1054" t="str">
            <v>BoQ_929</v>
          </cell>
          <cell r="B1054">
            <v>929</v>
          </cell>
          <cell r="C1054">
            <v>679</v>
          </cell>
          <cell r="D1054" t="str">
            <v>Sub materials &amp; acessories for above
Vật tư phụ</v>
          </cell>
          <cell r="L1054" t="str">
            <v>lot</v>
          </cell>
          <cell r="M1054">
            <v>1</v>
          </cell>
          <cell r="N1054">
            <v>2936458</v>
          </cell>
          <cell r="P1054">
            <v>2995187.16</v>
          </cell>
          <cell r="Q1054">
            <v>2995187.16</v>
          </cell>
          <cell r="R1054">
            <v>0</v>
          </cell>
          <cell r="S1054">
            <v>0</v>
          </cell>
          <cell r="T1054">
            <v>2995187.16</v>
          </cell>
          <cell r="U1054">
            <v>2995187.16</v>
          </cell>
        </row>
        <row r="1055">
          <cell r="A1055" t="str">
            <v>BoQ_930</v>
          </cell>
          <cell r="B1055">
            <v>930</v>
          </cell>
          <cell r="C1055">
            <v>680</v>
          </cell>
          <cell r="D1055" t="str">
            <v>Vận chuyển, nâng hạ cáp
Transportation, lift cable</v>
          </cell>
          <cell r="L1055" t="str">
            <v>lot</v>
          </cell>
          <cell r="M1055">
            <v>1</v>
          </cell>
          <cell r="O1055">
            <v>5000000</v>
          </cell>
          <cell r="P1055">
            <v>0</v>
          </cell>
          <cell r="Q1055">
            <v>0</v>
          </cell>
          <cell r="R1055">
            <v>5100000</v>
          </cell>
          <cell r="S1055">
            <v>5100000</v>
          </cell>
          <cell r="T1055">
            <v>5100000</v>
          </cell>
          <cell r="U1055">
            <v>5100000</v>
          </cell>
        </row>
        <row r="1056">
          <cell r="A1056" t="str">
            <v>BoQ_931</v>
          </cell>
          <cell r="B1056">
            <v>931</v>
          </cell>
          <cell r="C1056">
            <v>681</v>
          </cell>
          <cell r="D1056" t="str">
            <v>Cu/XLPE/PVC Cable for TĐ - Máy hút ẩm
Cấp cho tủ điện TĐ-Máy hút ẩm</v>
          </cell>
          <cell r="E1056" t="str">
            <v>185SQMM-1C</v>
          </cell>
          <cell r="L1056" t="str">
            <v>lot</v>
          </cell>
          <cell r="M1056">
            <v>0</v>
          </cell>
          <cell r="N1056">
            <v>409848</v>
          </cell>
          <cell r="O1056">
            <v>48500</v>
          </cell>
          <cell r="P1056">
            <v>418044.96</v>
          </cell>
          <cell r="Q1056">
            <v>0</v>
          </cell>
          <cell r="R1056">
            <v>49470</v>
          </cell>
          <cell r="S1056">
            <v>0</v>
          </cell>
          <cell r="T1056">
            <v>467514.96</v>
          </cell>
          <cell r="U1056">
            <v>0</v>
          </cell>
        </row>
        <row r="1057">
          <cell r="C1057" t="str">
            <v>G</v>
          </cell>
          <cell r="D1057" t="str">
            <v>Cable ladder</v>
          </cell>
        </row>
        <row r="1058">
          <cell r="A1058" t="str">
            <v>BoQ_932</v>
          </cell>
          <cell r="B1058">
            <v>932</v>
          </cell>
          <cell r="C1058">
            <v>682</v>
          </cell>
          <cell r="D1058" t="str">
            <v>Cable ladder
Thang cáp</v>
          </cell>
          <cell r="E1058" t="str">
            <v>W800xH100xL2500x2mm</v>
          </cell>
          <cell r="L1058" t="str">
            <v>m</v>
          </cell>
          <cell r="M1058">
            <v>25</v>
          </cell>
          <cell r="N1058">
            <v>223100</v>
          </cell>
          <cell r="O1058">
            <v>72100</v>
          </cell>
          <cell r="P1058">
            <v>227562</v>
          </cell>
          <cell r="Q1058">
            <v>5689050</v>
          </cell>
          <cell r="R1058">
            <v>73542</v>
          </cell>
          <cell r="S1058">
            <v>1838550</v>
          </cell>
          <cell r="T1058">
            <v>301104</v>
          </cell>
          <cell r="U1058">
            <v>7527600</v>
          </cell>
        </row>
        <row r="1059">
          <cell r="A1059" t="str">
            <v>BoQ_933</v>
          </cell>
          <cell r="B1059">
            <v>933</v>
          </cell>
          <cell r="C1059">
            <v>683</v>
          </cell>
          <cell r="D1059" t="str">
            <v>Cable ladder
Thang cáp</v>
          </cell>
          <cell r="E1059" t="str">
            <v>W600xH100xL2500x2mm</v>
          </cell>
          <cell r="L1059" t="str">
            <v>m</v>
          </cell>
          <cell r="M1059">
            <v>0</v>
          </cell>
          <cell r="N1059">
            <v>200100</v>
          </cell>
          <cell r="O1059">
            <v>62400</v>
          </cell>
          <cell r="P1059">
            <v>204102</v>
          </cell>
          <cell r="Q1059">
            <v>0</v>
          </cell>
          <cell r="R1059">
            <v>63648</v>
          </cell>
          <cell r="S1059">
            <v>0</v>
          </cell>
          <cell r="T1059">
            <v>267750</v>
          </cell>
          <cell r="U1059">
            <v>0</v>
          </cell>
        </row>
        <row r="1060">
          <cell r="A1060" t="str">
            <v>BoQ_934</v>
          </cell>
          <cell r="B1060">
            <v>934</v>
          </cell>
          <cell r="C1060">
            <v>684</v>
          </cell>
          <cell r="D1060" t="str">
            <v>Cable ladder
Thang cáp</v>
          </cell>
          <cell r="E1060" t="str">
            <v>W500xH100xL2500</v>
          </cell>
          <cell r="L1060" t="str">
            <v>m</v>
          </cell>
          <cell r="M1060">
            <v>80</v>
          </cell>
          <cell r="N1060">
            <v>188600</v>
          </cell>
          <cell r="O1060">
            <v>49600</v>
          </cell>
          <cell r="P1060">
            <v>192372</v>
          </cell>
          <cell r="Q1060">
            <v>15389760</v>
          </cell>
          <cell r="R1060">
            <v>50592</v>
          </cell>
          <cell r="S1060">
            <v>4047360</v>
          </cell>
          <cell r="T1060">
            <v>242964</v>
          </cell>
          <cell r="U1060">
            <v>19437120</v>
          </cell>
        </row>
        <row r="1061">
          <cell r="A1061" t="str">
            <v>BoQ_935</v>
          </cell>
          <cell r="B1061">
            <v>935</v>
          </cell>
          <cell r="C1061">
            <v>685</v>
          </cell>
          <cell r="D1061" t="str">
            <v>Cable ladder
Thang cáp</v>
          </cell>
          <cell r="E1061" t="str">
            <v>W200xH100xL2500</v>
          </cell>
          <cell r="L1061" t="str">
            <v>m</v>
          </cell>
          <cell r="M1061">
            <v>300</v>
          </cell>
          <cell r="N1061">
            <v>154100</v>
          </cell>
          <cell r="O1061">
            <v>34000</v>
          </cell>
          <cell r="P1061">
            <v>157182</v>
          </cell>
          <cell r="Q1061">
            <v>47154600</v>
          </cell>
          <cell r="R1061">
            <v>34680</v>
          </cell>
          <cell r="S1061">
            <v>10404000</v>
          </cell>
          <cell r="T1061">
            <v>191862</v>
          </cell>
          <cell r="U1061">
            <v>57558600</v>
          </cell>
        </row>
        <row r="1062">
          <cell r="A1062" t="str">
            <v>BoQ_936</v>
          </cell>
          <cell r="B1062">
            <v>936</v>
          </cell>
          <cell r="C1062">
            <v>686</v>
          </cell>
          <cell r="D1062" t="str">
            <v>Fitting  and Accessories for above
Vật tư phụ, phụ kiện thang cáp</v>
          </cell>
          <cell r="L1062" t="str">
            <v>lot</v>
          </cell>
          <cell r="M1062">
            <v>1</v>
          </cell>
          <cell r="N1062">
            <v>8000000</v>
          </cell>
          <cell r="O1062">
            <v>0</v>
          </cell>
          <cell r="P1062">
            <v>8160000</v>
          </cell>
          <cell r="Q1062">
            <v>8160000</v>
          </cell>
          <cell r="R1062">
            <v>0</v>
          </cell>
          <cell r="S1062">
            <v>0</v>
          </cell>
          <cell r="T1062">
            <v>8160000</v>
          </cell>
          <cell r="U1062">
            <v>8160000</v>
          </cell>
        </row>
        <row r="1063">
          <cell r="A1063" t="str">
            <v>BoQ_937</v>
          </cell>
          <cell r="B1063">
            <v>937</v>
          </cell>
          <cell r="C1063">
            <v>687</v>
          </cell>
          <cell r="D1063" t="str">
            <v>Supporting Materials For Above
Quang treo, giá đỡ thang máng cáp</v>
          </cell>
          <cell r="L1063" t="str">
            <v>lot</v>
          </cell>
          <cell r="M1063">
            <v>1</v>
          </cell>
          <cell r="N1063">
            <v>80875000</v>
          </cell>
          <cell r="O1063">
            <v>16175000</v>
          </cell>
          <cell r="P1063">
            <v>82492500</v>
          </cell>
          <cell r="Q1063">
            <v>82492500</v>
          </cell>
          <cell r="R1063">
            <v>16498500</v>
          </cell>
          <cell r="S1063">
            <v>16498500</v>
          </cell>
          <cell r="T1063">
            <v>98991000</v>
          </cell>
          <cell r="U1063">
            <v>98991000</v>
          </cell>
        </row>
        <row r="1064">
          <cell r="A1064" t="str">
            <v>BoQ_938</v>
          </cell>
          <cell r="B1064">
            <v>938</v>
          </cell>
          <cell r="C1064">
            <v>688</v>
          </cell>
          <cell r="D1064" t="str">
            <v>Transportation Fee
Phí vận chuyển</v>
          </cell>
          <cell r="L1064" t="str">
            <v>lot</v>
          </cell>
          <cell r="M1064">
            <v>1</v>
          </cell>
          <cell r="N1064">
            <v>0</v>
          </cell>
          <cell r="O1064">
            <v>2000000</v>
          </cell>
          <cell r="P1064">
            <v>0</v>
          </cell>
          <cell r="Q1064">
            <v>0</v>
          </cell>
          <cell r="R1064">
            <v>2040000</v>
          </cell>
          <cell r="S1064">
            <v>2040000</v>
          </cell>
          <cell r="T1064">
            <v>2040000</v>
          </cell>
          <cell r="U1064">
            <v>2040000</v>
          </cell>
        </row>
        <row r="1065">
          <cell r="C1065" t="str">
            <v>H</v>
          </cell>
          <cell r="D1065" t="str">
            <v>ĐIỆN CHIẾU SÁNG NHÀ XƯỞNG, VĂN PHÒNG, 
LIGHTING SYSTEM FACTORY</v>
          </cell>
        </row>
        <row r="1066">
          <cell r="C1066" t="str">
            <v>H.1</v>
          </cell>
          <cell r="D1066" t="str">
            <v>FACTORY
NHÀ XƯỞNG</v>
          </cell>
        </row>
        <row r="1067">
          <cell r="A1067" t="str">
            <v>BoQ_939</v>
          </cell>
          <cell r="B1067">
            <v>939</v>
          </cell>
          <cell r="C1067">
            <v>689</v>
          </cell>
          <cell r="D1067" t="str">
            <v>Cu/PVC Cable 
Dây điện</v>
          </cell>
          <cell r="E1067" t="str">
            <v>1*2.5SQ</v>
          </cell>
          <cell r="L1067" t="str">
            <v>m</v>
          </cell>
          <cell r="M1067">
            <v>14424</v>
          </cell>
          <cell r="N1067">
            <v>5963</v>
          </cell>
          <cell r="O1067">
            <v>2000</v>
          </cell>
          <cell r="P1067">
            <v>6082.26</v>
          </cell>
          <cell r="Q1067">
            <v>87730518.24000001</v>
          </cell>
          <cell r="R1067">
            <v>2040</v>
          </cell>
          <cell r="S1067">
            <v>29424960</v>
          </cell>
          <cell r="T1067">
            <v>8122.26</v>
          </cell>
          <cell r="U1067">
            <v>117155478.24000001</v>
          </cell>
        </row>
        <row r="1068">
          <cell r="A1068" t="str">
            <v>BoQ_940</v>
          </cell>
          <cell r="B1068">
            <v>940</v>
          </cell>
          <cell r="C1068">
            <v>690</v>
          </cell>
          <cell r="D1068" t="str">
            <v>Cu/PVC Earth Cable
Dây tiếp địa</v>
          </cell>
          <cell r="E1068" t="str">
            <v>1*1.5SQ</v>
          </cell>
          <cell r="L1068" t="str">
            <v>m</v>
          </cell>
          <cell r="M1068">
            <v>6212</v>
          </cell>
          <cell r="N1068">
            <v>3911</v>
          </cell>
          <cell r="O1068">
            <v>1800</v>
          </cell>
          <cell r="P1068">
            <v>3989.2200000000003</v>
          </cell>
          <cell r="Q1068">
            <v>24781034.640000001</v>
          </cell>
          <cell r="R1068">
            <v>1836</v>
          </cell>
          <cell r="S1068">
            <v>11405232</v>
          </cell>
          <cell r="T1068">
            <v>5825.22</v>
          </cell>
          <cell r="U1068">
            <v>36186266.640000001</v>
          </cell>
        </row>
        <row r="1069">
          <cell r="A1069" t="str">
            <v>BoQ_941</v>
          </cell>
          <cell r="B1069">
            <v>941</v>
          </cell>
          <cell r="C1069">
            <v>691</v>
          </cell>
          <cell r="D1069" t="str">
            <v>Cu/PVC cable</v>
          </cell>
          <cell r="E1069" t="str">
            <v>1*1.5SQ</v>
          </cell>
          <cell r="L1069" t="str">
            <v>m</v>
          </cell>
          <cell r="M1069">
            <v>2500</v>
          </cell>
          <cell r="N1069">
            <v>3668</v>
          </cell>
          <cell r="O1069">
            <v>1800</v>
          </cell>
          <cell r="P1069">
            <v>3741.36</v>
          </cell>
          <cell r="Q1069">
            <v>9353400</v>
          </cell>
          <cell r="R1069">
            <v>1836</v>
          </cell>
          <cell r="S1069">
            <v>4590000</v>
          </cell>
          <cell r="T1069">
            <v>5577.3600000000006</v>
          </cell>
          <cell r="U1069">
            <v>13943400.000000002</v>
          </cell>
          <cell r="W1069" t="str">
            <v>For Sanitary equipments
Cho thiết bị vệ sinh</v>
          </cell>
        </row>
        <row r="1070">
          <cell r="A1070" t="str">
            <v>BoQ_942</v>
          </cell>
          <cell r="B1070">
            <v>942</v>
          </cell>
          <cell r="C1070">
            <v>692</v>
          </cell>
          <cell r="D1070" t="str">
            <v>Cu/PVC Earth Cable
Dây tiếp địa</v>
          </cell>
          <cell r="E1070" t="str">
            <v>1*1.5SQ</v>
          </cell>
          <cell r="L1070" t="str">
            <v>m</v>
          </cell>
          <cell r="M1070">
            <v>1250</v>
          </cell>
          <cell r="N1070">
            <v>3911</v>
          </cell>
          <cell r="O1070">
            <v>1800</v>
          </cell>
          <cell r="P1070">
            <v>3989.2200000000003</v>
          </cell>
          <cell r="Q1070">
            <v>4986525</v>
          </cell>
          <cell r="R1070">
            <v>1836</v>
          </cell>
          <cell r="S1070">
            <v>2295000</v>
          </cell>
          <cell r="T1070">
            <v>5825.22</v>
          </cell>
          <cell r="U1070">
            <v>7281525</v>
          </cell>
          <cell r="W1070" t="str">
            <v>For Sanitary equipments
Cho thiết bị vệ sinh</v>
          </cell>
        </row>
        <row r="1071">
          <cell r="A1071" t="str">
            <v>BoQ_943</v>
          </cell>
          <cell r="B1071">
            <v>943</v>
          </cell>
          <cell r="C1071">
            <v>693</v>
          </cell>
          <cell r="D1071" t="str">
            <v>Cu/PVC cable
Dây điện</v>
          </cell>
          <cell r="E1071" t="str">
            <v>1*4SQ</v>
          </cell>
          <cell r="L1071" t="str">
            <v>m</v>
          </cell>
          <cell r="M1071">
            <v>8447.4</v>
          </cell>
          <cell r="N1071">
            <v>9464</v>
          </cell>
          <cell r="O1071">
            <v>2300</v>
          </cell>
          <cell r="P1071">
            <v>9653.2800000000007</v>
          </cell>
          <cell r="Q1071">
            <v>81545117.472000003</v>
          </cell>
          <cell r="R1071">
            <v>2346</v>
          </cell>
          <cell r="S1071">
            <v>19817600.399999999</v>
          </cell>
          <cell r="T1071">
            <v>11999.28</v>
          </cell>
          <cell r="U1071">
            <v>101362717.87199999</v>
          </cell>
        </row>
        <row r="1072">
          <cell r="A1072" t="str">
            <v>BoQ_944</v>
          </cell>
          <cell r="B1072">
            <v>944</v>
          </cell>
          <cell r="C1072">
            <v>694</v>
          </cell>
          <cell r="D1072" t="str">
            <v>Earth Cable (CU/PVCl)
Dây tiếp địa</v>
          </cell>
          <cell r="E1072" t="str">
            <v>2.5SQMM-1C</v>
          </cell>
          <cell r="L1072" t="str">
            <v>m</v>
          </cell>
          <cell r="M1072">
            <v>4223.7</v>
          </cell>
          <cell r="N1072">
            <v>6296</v>
          </cell>
          <cell r="O1072">
            <v>2000</v>
          </cell>
          <cell r="P1072">
            <v>6421.92</v>
          </cell>
          <cell r="Q1072">
            <v>27124263.504000001</v>
          </cell>
          <cell r="R1072">
            <v>2040</v>
          </cell>
          <cell r="S1072">
            <v>8616348</v>
          </cell>
          <cell r="T1072">
            <v>8461.92</v>
          </cell>
          <cell r="U1072">
            <v>35740611.504000001</v>
          </cell>
        </row>
        <row r="1073">
          <cell r="A1073" t="str">
            <v>BoQ_945</v>
          </cell>
          <cell r="B1073">
            <v>945</v>
          </cell>
          <cell r="C1073">
            <v>695</v>
          </cell>
          <cell r="D1073" t="str">
            <v>Cu/PVC cable
Dây điện tín hiệu cấp cho tủ điêu khiển chiếu sáng</v>
          </cell>
          <cell r="E1073" t="str">
            <v>1*2.5SQ</v>
          </cell>
          <cell r="L1073" t="str">
            <v>m</v>
          </cell>
          <cell r="M1073">
            <v>250</v>
          </cell>
          <cell r="N1073">
            <v>5963</v>
          </cell>
          <cell r="O1073">
            <v>2000</v>
          </cell>
          <cell r="P1073">
            <v>6082.26</v>
          </cell>
          <cell r="Q1073">
            <v>1520565</v>
          </cell>
          <cell r="R1073">
            <v>2040</v>
          </cell>
          <cell r="S1073">
            <v>510000</v>
          </cell>
          <cell r="T1073">
            <v>8122.26</v>
          </cell>
          <cell r="U1073">
            <v>2030565</v>
          </cell>
        </row>
        <row r="1074">
          <cell r="A1074" t="str">
            <v>BoQ_946</v>
          </cell>
          <cell r="B1074">
            <v>946</v>
          </cell>
          <cell r="C1074">
            <v>696</v>
          </cell>
          <cell r="D1074" t="str">
            <v>Terminal for Cable &amp; wire</v>
          </cell>
          <cell r="L1074" t="str">
            <v>lot</v>
          </cell>
          <cell r="M1074">
            <v>1</v>
          </cell>
          <cell r="N1074">
            <v>5787247</v>
          </cell>
          <cell r="O1074">
            <v>0</v>
          </cell>
          <cell r="P1074">
            <v>5902991.9400000004</v>
          </cell>
          <cell r="Q1074">
            <v>5902991.9400000004</v>
          </cell>
          <cell r="R1074">
            <v>0</v>
          </cell>
          <cell r="S1074">
            <v>0</v>
          </cell>
          <cell r="T1074">
            <v>5902991.9400000004</v>
          </cell>
          <cell r="U1074">
            <v>5902991.9400000004</v>
          </cell>
        </row>
        <row r="1075">
          <cell r="A1075" t="str">
            <v>BoQ_947</v>
          </cell>
          <cell r="B1075">
            <v>947</v>
          </cell>
          <cell r="C1075">
            <v>697</v>
          </cell>
          <cell r="D1075" t="str">
            <v>PVC conduit
Ống luồn PVC</v>
          </cell>
          <cell r="E1075" t="str">
            <v>D20</v>
          </cell>
          <cell r="L1075" t="str">
            <v>m</v>
          </cell>
          <cell r="M1075">
            <v>14930</v>
          </cell>
          <cell r="N1075">
            <v>10000</v>
          </cell>
          <cell r="O1075">
            <v>6000</v>
          </cell>
          <cell r="P1075">
            <v>10200</v>
          </cell>
          <cell r="Q1075">
            <v>152286000</v>
          </cell>
          <cell r="R1075">
            <v>6120</v>
          </cell>
          <cell r="S1075">
            <v>91371600</v>
          </cell>
          <cell r="T1075">
            <v>16320</v>
          </cell>
          <cell r="U1075">
            <v>243657600</v>
          </cell>
        </row>
        <row r="1076">
          <cell r="A1076" t="str">
            <v>BoQ_948</v>
          </cell>
          <cell r="B1076">
            <v>948</v>
          </cell>
          <cell r="C1076">
            <v>698</v>
          </cell>
          <cell r="D1076" t="str">
            <v>PVC conduit
Ống luồn PVC</v>
          </cell>
          <cell r="E1076" t="str">
            <v>D25</v>
          </cell>
          <cell r="L1076" t="str">
            <v>m</v>
          </cell>
          <cell r="M1076">
            <v>4223.7</v>
          </cell>
          <cell r="N1076">
            <v>13500</v>
          </cell>
          <cell r="O1076">
            <v>7600</v>
          </cell>
          <cell r="P1076">
            <v>13770</v>
          </cell>
          <cell r="Q1076">
            <v>58160349</v>
          </cell>
          <cell r="R1076">
            <v>7752</v>
          </cell>
          <cell r="S1076">
            <v>32742122.399999999</v>
          </cell>
          <cell r="T1076">
            <v>21522</v>
          </cell>
          <cell r="U1076">
            <v>90902471.399999991</v>
          </cell>
        </row>
        <row r="1077">
          <cell r="A1077" t="str">
            <v>BoQ_949</v>
          </cell>
          <cell r="B1077">
            <v>949</v>
          </cell>
          <cell r="C1077">
            <v>699</v>
          </cell>
          <cell r="D1077" t="str">
            <v>Fitting  and Accessories for above
Vật tư phụ, phụ kiện</v>
          </cell>
          <cell r="L1077" t="str">
            <v>lot</v>
          </cell>
          <cell r="M1077">
            <v>1</v>
          </cell>
          <cell r="N1077">
            <v>8906767</v>
          </cell>
          <cell r="O1077">
            <v>0</v>
          </cell>
          <cell r="P1077">
            <v>9084902.3399999999</v>
          </cell>
          <cell r="Q1077">
            <v>9084902.3399999999</v>
          </cell>
          <cell r="R1077">
            <v>0</v>
          </cell>
          <cell r="S1077">
            <v>0</v>
          </cell>
          <cell r="T1077">
            <v>9084902.3399999999</v>
          </cell>
          <cell r="U1077">
            <v>9084902.3399999999</v>
          </cell>
        </row>
        <row r="1078">
          <cell r="A1078" t="str">
            <v>BoQ_950</v>
          </cell>
          <cell r="B1078">
            <v>950</v>
          </cell>
          <cell r="C1078">
            <v>700</v>
          </cell>
          <cell r="D1078" t="str">
            <v>Downlight Lighting water proof led lamp 25W
Đèn downligh chống nước cho khu vệ sinh 25W</v>
          </cell>
          <cell r="L1078" t="str">
            <v>set</v>
          </cell>
          <cell r="M1078">
            <v>50</v>
          </cell>
          <cell r="N1078">
            <v>224000</v>
          </cell>
          <cell r="O1078">
            <v>80000</v>
          </cell>
          <cell r="P1078">
            <v>228480</v>
          </cell>
          <cell r="Q1078">
            <v>11424000</v>
          </cell>
          <cell r="R1078">
            <v>81600</v>
          </cell>
          <cell r="S1078">
            <v>4080000</v>
          </cell>
          <cell r="T1078">
            <v>310080</v>
          </cell>
          <cell r="U1078">
            <v>15504000</v>
          </cell>
        </row>
        <row r="1079">
          <cell r="A1079" t="str">
            <v>BoQ_951</v>
          </cell>
          <cell r="B1079">
            <v>951</v>
          </cell>
          <cell r="C1079">
            <v>701</v>
          </cell>
          <cell r="D1079" t="str">
            <v>Linght led Vshape 2x30W
Bộ đèn led Vshape 2x30w bán nguyệt</v>
          </cell>
          <cell r="L1079" t="str">
            <v>set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BoQ_952</v>
          </cell>
          <cell r="B1080">
            <v>952</v>
          </cell>
          <cell r="C1080">
            <v>702</v>
          </cell>
          <cell r="D1080" t="str">
            <v>RECESSED LIGHTING LED 3x15W 600x600MM
Đèn led âm trần 3x15W, 600x600</v>
          </cell>
          <cell r="L1080" t="str">
            <v>set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</row>
        <row r="1081">
          <cell r="A1081" t="str">
            <v>BoQ_953</v>
          </cell>
          <cell r="B1081">
            <v>953</v>
          </cell>
          <cell r="C1081">
            <v>703</v>
          </cell>
          <cell r="D1081" t="str">
            <v>Light for staircase 18w
Bóng đèn cầu thang</v>
          </cell>
          <cell r="E1081" t="str">
            <v>led 18w paragon
PLCK370L18</v>
          </cell>
          <cell r="L1081" t="str">
            <v>set</v>
          </cell>
          <cell r="M1081">
            <v>9</v>
          </cell>
          <cell r="N1081">
            <v>165000</v>
          </cell>
          <cell r="O1081">
            <v>80000</v>
          </cell>
          <cell r="P1081">
            <v>168300</v>
          </cell>
          <cell r="Q1081">
            <v>1514700</v>
          </cell>
          <cell r="R1081">
            <v>81600</v>
          </cell>
          <cell r="S1081">
            <v>734400</v>
          </cell>
          <cell r="T1081">
            <v>249900</v>
          </cell>
          <cell r="U1081">
            <v>2249100</v>
          </cell>
        </row>
        <row r="1082">
          <cell r="A1082" t="str">
            <v>BoQ_954</v>
          </cell>
          <cell r="B1082">
            <v>954</v>
          </cell>
          <cell r="C1082">
            <v>704</v>
          </cell>
          <cell r="D1082" t="str">
            <v>MOTION SENSOR 
Thiết bị cảm ứng chuyển động cho đèn chiếu sáng</v>
          </cell>
          <cell r="L1082" t="str">
            <v>set</v>
          </cell>
          <cell r="M1082">
            <v>35</v>
          </cell>
          <cell r="N1082">
            <v>381250</v>
          </cell>
          <cell r="O1082">
            <v>50000</v>
          </cell>
          <cell r="P1082">
            <v>388875</v>
          </cell>
          <cell r="Q1082">
            <v>13610625</v>
          </cell>
          <cell r="R1082">
            <v>51000</v>
          </cell>
          <cell r="S1082">
            <v>1785000</v>
          </cell>
          <cell r="T1082">
            <v>439875</v>
          </cell>
          <cell r="U1082">
            <v>15395625</v>
          </cell>
        </row>
        <row r="1083">
          <cell r="A1083" t="str">
            <v>BoQ_955</v>
          </cell>
          <cell r="B1083">
            <v>955</v>
          </cell>
          <cell r="D1083" t="str">
            <v>Đèn led Panel 600x600, 48W
Led Panel Lights 600x600, 48W</v>
          </cell>
          <cell r="L1083" t="str">
            <v>set</v>
          </cell>
          <cell r="M1083">
            <v>450</v>
          </cell>
          <cell r="N1083">
            <v>435000</v>
          </cell>
          <cell r="O1083">
            <v>80000</v>
          </cell>
          <cell r="P1083">
            <v>443700</v>
          </cell>
          <cell r="Q1083">
            <v>199665000</v>
          </cell>
          <cell r="R1083">
            <v>81600</v>
          </cell>
          <cell r="S1083">
            <v>36720000</v>
          </cell>
          <cell r="T1083">
            <v>525300</v>
          </cell>
          <cell r="U1083">
            <v>236385000</v>
          </cell>
        </row>
        <row r="1084">
          <cell r="A1084" t="str">
            <v>BoQ_956</v>
          </cell>
          <cell r="B1084">
            <v>956</v>
          </cell>
          <cell r="D1084" t="str">
            <v>Lắp đặt đèn M15 600x600, 40W MUA MỚI
 Install lamp M15 600x600, 40W BUY NEW</v>
          </cell>
          <cell r="L1084" t="str">
            <v>set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</row>
        <row r="1085">
          <cell r="A1085" t="str">
            <v>BoQ_957</v>
          </cell>
          <cell r="B1085">
            <v>957</v>
          </cell>
          <cell r="D1085" t="str">
            <v>Lắp đặt đèn M15 600x600, 40W tận dụng
Installing M15 600x600, 40W lights take advantage</v>
          </cell>
          <cell r="L1085" t="str">
            <v>set</v>
          </cell>
          <cell r="M1085">
            <v>350</v>
          </cell>
          <cell r="N1085">
            <v>0</v>
          </cell>
          <cell r="O1085">
            <v>105200</v>
          </cell>
          <cell r="P1085">
            <v>0</v>
          </cell>
          <cell r="Q1085">
            <v>0</v>
          </cell>
          <cell r="R1085">
            <v>107304</v>
          </cell>
          <cell r="S1085">
            <v>37556400</v>
          </cell>
          <cell r="T1085">
            <v>107304</v>
          </cell>
          <cell r="U1085">
            <v>37556400</v>
          </cell>
        </row>
        <row r="1086">
          <cell r="A1086" t="str">
            <v>BoQ_958</v>
          </cell>
          <cell r="B1086">
            <v>958</v>
          </cell>
          <cell r="C1086">
            <v>705</v>
          </cell>
          <cell r="D1086" t="str">
            <v>Fixing &amp; support for lighting
Ti treo, giá đỡ đèn</v>
          </cell>
          <cell r="L1086" t="str">
            <v>lot</v>
          </cell>
          <cell r="M1086">
            <v>1</v>
          </cell>
          <cell r="N1086">
            <v>12218750</v>
          </cell>
          <cell r="O1086">
            <v>3665625</v>
          </cell>
          <cell r="P1086">
            <v>12463125</v>
          </cell>
          <cell r="Q1086">
            <v>12463125</v>
          </cell>
          <cell r="R1086">
            <v>3738937.5</v>
          </cell>
          <cell r="S1086">
            <v>3738937.5</v>
          </cell>
          <cell r="T1086">
            <v>16202062.5</v>
          </cell>
          <cell r="U1086">
            <v>16202062.5</v>
          </cell>
        </row>
        <row r="1087">
          <cell r="A1087" t="str">
            <v>BoQ_959</v>
          </cell>
          <cell r="B1087">
            <v>959</v>
          </cell>
          <cell r="C1087">
            <v>706</v>
          </cell>
          <cell r="D1087" t="str">
            <v>Switch
Công tắc</v>
          </cell>
          <cell r="E1087" t="str">
            <v>13A 250V 1 gang, 1 way</v>
          </cell>
          <cell r="L1087" t="str">
            <v>set</v>
          </cell>
          <cell r="M1087">
            <v>40</v>
          </cell>
          <cell r="N1087">
            <v>45700</v>
          </cell>
          <cell r="O1087">
            <v>35000</v>
          </cell>
          <cell r="P1087">
            <v>46614</v>
          </cell>
          <cell r="Q1087">
            <v>1864560</v>
          </cell>
          <cell r="R1087">
            <v>35700</v>
          </cell>
          <cell r="S1087">
            <v>1428000</v>
          </cell>
          <cell r="T1087">
            <v>82314</v>
          </cell>
          <cell r="U1087">
            <v>3292560</v>
          </cell>
          <cell r="W1087" t="str">
            <v>SINO</v>
          </cell>
        </row>
        <row r="1088">
          <cell r="A1088" t="str">
            <v>BoQ_960</v>
          </cell>
          <cell r="B1088">
            <v>960</v>
          </cell>
          <cell r="C1088">
            <v>707</v>
          </cell>
          <cell r="D1088" t="str">
            <v>Switch
Công tắc</v>
          </cell>
          <cell r="E1088" t="str">
            <v>13A 250V 2 gang, 1 way</v>
          </cell>
          <cell r="L1088" t="str">
            <v>set</v>
          </cell>
          <cell r="M1088">
            <v>20</v>
          </cell>
          <cell r="N1088">
            <v>64700</v>
          </cell>
          <cell r="O1088">
            <v>40000</v>
          </cell>
          <cell r="P1088">
            <v>65994</v>
          </cell>
          <cell r="Q1088">
            <v>1319880</v>
          </cell>
          <cell r="R1088">
            <v>40800</v>
          </cell>
          <cell r="S1088">
            <v>816000</v>
          </cell>
          <cell r="T1088">
            <v>106794</v>
          </cell>
          <cell r="U1088">
            <v>2135880</v>
          </cell>
          <cell r="W1088" t="str">
            <v>SINO</v>
          </cell>
        </row>
        <row r="1089">
          <cell r="A1089" t="str">
            <v>BoQ_961</v>
          </cell>
          <cell r="B1089">
            <v>961</v>
          </cell>
          <cell r="C1089">
            <v>708</v>
          </cell>
          <cell r="D1089" t="str">
            <v>Switch
Công tắc</v>
          </cell>
          <cell r="E1089" t="str">
            <v>13A 250V 3 gang, 1 way</v>
          </cell>
          <cell r="L1089" t="str">
            <v>set</v>
          </cell>
          <cell r="M1089">
            <v>14</v>
          </cell>
          <cell r="N1089">
            <v>83700</v>
          </cell>
          <cell r="O1089">
            <v>45000</v>
          </cell>
          <cell r="P1089">
            <v>85374</v>
          </cell>
          <cell r="Q1089">
            <v>1195236</v>
          </cell>
          <cell r="R1089">
            <v>45900</v>
          </cell>
          <cell r="S1089">
            <v>642600</v>
          </cell>
          <cell r="T1089">
            <v>131274</v>
          </cell>
          <cell r="U1089">
            <v>1837836</v>
          </cell>
          <cell r="W1089" t="str">
            <v>SINO</v>
          </cell>
        </row>
        <row r="1090">
          <cell r="A1090" t="str">
            <v>BoQ_962</v>
          </cell>
          <cell r="B1090">
            <v>962</v>
          </cell>
          <cell r="C1090">
            <v>709</v>
          </cell>
          <cell r="D1090" t="str">
            <v>Switch
Công tắc</v>
          </cell>
          <cell r="E1090" t="str">
            <v>13A 250V 1 gang, 2 way</v>
          </cell>
          <cell r="L1090" t="str">
            <v>set</v>
          </cell>
          <cell r="M1090">
            <v>12</v>
          </cell>
          <cell r="N1090">
            <v>69700</v>
          </cell>
          <cell r="O1090">
            <v>45000</v>
          </cell>
          <cell r="P1090">
            <v>71094</v>
          </cell>
          <cell r="Q1090">
            <v>853128</v>
          </cell>
          <cell r="R1090">
            <v>45900</v>
          </cell>
          <cell r="S1090">
            <v>550800</v>
          </cell>
          <cell r="T1090">
            <v>116994</v>
          </cell>
          <cell r="U1090">
            <v>1403928</v>
          </cell>
          <cell r="W1090" t="str">
            <v>SINO</v>
          </cell>
        </row>
        <row r="1091">
          <cell r="A1091" t="str">
            <v>BoQ_963</v>
          </cell>
          <cell r="B1091">
            <v>963</v>
          </cell>
          <cell r="C1091">
            <v>710</v>
          </cell>
          <cell r="D1091" t="str">
            <v>Receptacle type wall
Ổ cắm tường</v>
          </cell>
          <cell r="E1091" t="str">
            <v>220V 16A 2P+E double</v>
          </cell>
          <cell r="L1091" t="str">
            <v>set</v>
          </cell>
          <cell r="M1091">
            <v>120</v>
          </cell>
          <cell r="N1091">
            <v>102700</v>
          </cell>
          <cell r="O1091">
            <v>45000</v>
          </cell>
          <cell r="P1091">
            <v>104754</v>
          </cell>
          <cell r="Q1091">
            <v>12570480</v>
          </cell>
          <cell r="R1091">
            <v>45900</v>
          </cell>
          <cell r="S1091">
            <v>5508000</v>
          </cell>
          <cell r="T1091">
            <v>150654</v>
          </cell>
          <cell r="U1091">
            <v>18078480</v>
          </cell>
          <cell r="W1091" t="str">
            <v>SINO</v>
          </cell>
        </row>
        <row r="1092">
          <cell r="A1092" t="str">
            <v>BoQ_964</v>
          </cell>
          <cell r="B1092">
            <v>964</v>
          </cell>
          <cell r="C1092">
            <v>711</v>
          </cell>
          <cell r="D1092" t="str">
            <v>Receptacle type floor
Ổ cắm âm sàn</v>
          </cell>
          <cell r="E1092" t="str">
            <v>220V 16A 2P+E double</v>
          </cell>
          <cell r="L1092" t="str">
            <v>set</v>
          </cell>
          <cell r="M1092">
            <v>24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W1092" t="str">
            <v>SINO</v>
          </cell>
        </row>
        <row r="1093">
          <cell r="A1093" t="str">
            <v>BoQ_965</v>
          </cell>
          <cell r="B1093">
            <v>965</v>
          </cell>
          <cell r="C1093">
            <v>712</v>
          </cell>
          <cell r="D1093" t="str">
            <v>Ổ cắm đôi chống nước</v>
          </cell>
          <cell r="E1093" t="str">
            <v>220V 16A 2P+E double</v>
          </cell>
          <cell r="L1093" t="str">
            <v>set</v>
          </cell>
          <cell r="M1093">
            <v>90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W1093" t="str">
            <v>SINO</v>
          </cell>
        </row>
        <row r="1094">
          <cell r="A1094" t="str">
            <v>BoQ_966</v>
          </cell>
          <cell r="B1094">
            <v>966</v>
          </cell>
          <cell r="C1094">
            <v>713</v>
          </cell>
          <cell r="D1094" t="str">
            <v>Sub materials &amp; acessories
Vật liệu phụ và phụ kiện</v>
          </cell>
          <cell r="E1094" t="str">
            <v>5% of Material and Labor</v>
          </cell>
          <cell r="L1094" t="str">
            <v>lot</v>
          </cell>
          <cell r="M1094">
            <v>1</v>
          </cell>
          <cell r="N1094">
            <v>30766210</v>
          </cell>
          <cell r="O1094">
            <v>0</v>
          </cell>
          <cell r="P1094">
            <v>31381534.199999999</v>
          </cell>
          <cell r="Q1094">
            <v>31381534.199999999</v>
          </cell>
          <cell r="R1094">
            <v>0</v>
          </cell>
          <cell r="S1094">
            <v>0</v>
          </cell>
          <cell r="T1094">
            <v>31381534.199999999</v>
          </cell>
          <cell r="U1094">
            <v>31381534.199999999</v>
          </cell>
        </row>
        <row r="1095">
          <cell r="A1095" t="str">
            <v>BoQ_967</v>
          </cell>
          <cell r="B1095">
            <v>967</v>
          </cell>
          <cell r="C1095">
            <v>714</v>
          </cell>
          <cell r="D1095" t="str">
            <v>Excavation &amp; Backfilling
Đào lấp đất</v>
          </cell>
          <cell r="L1095" t="str">
            <v>lot</v>
          </cell>
          <cell r="M1095">
            <v>1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</row>
        <row r="1096">
          <cell r="A1096" t="str">
            <v>BoQ_968</v>
          </cell>
          <cell r="B1096">
            <v>968</v>
          </cell>
          <cell r="C1096">
            <v>715</v>
          </cell>
          <cell r="D1096" t="str">
            <v>Supporting Materials For Above</v>
          </cell>
          <cell r="L1096" t="str">
            <v>lot</v>
          </cell>
          <cell r="M1096">
            <v>1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</row>
        <row r="1097">
          <cell r="A1097" t="str">
            <v>BoQ_969</v>
          </cell>
          <cell r="B1097">
            <v>969</v>
          </cell>
          <cell r="C1097">
            <v>716</v>
          </cell>
          <cell r="D1097" t="str">
            <v>Transportation Fee
Vận chuyển</v>
          </cell>
          <cell r="L1097" t="str">
            <v>lot</v>
          </cell>
          <cell r="M1097">
            <v>1</v>
          </cell>
          <cell r="N1097">
            <v>0</v>
          </cell>
          <cell r="O1097">
            <v>2000000</v>
          </cell>
          <cell r="P1097">
            <v>0</v>
          </cell>
          <cell r="Q1097">
            <v>0</v>
          </cell>
          <cell r="R1097">
            <v>2040000</v>
          </cell>
          <cell r="S1097">
            <v>2040000</v>
          </cell>
          <cell r="T1097">
            <v>2040000</v>
          </cell>
          <cell r="U1097">
            <v>2040000</v>
          </cell>
        </row>
        <row r="1098">
          <cell r="C1098" t="str">
            <v>H.2</v>
          </cell>
          <cell r="D1098" t="str">
            <v>QUẠT THÔNG GIÓ KHU VỆ SINH
SMALL SANITATION FAN</v>
          </cell>
        </row>
        <row r="1099">
          <cell r="A1099" t="str">
            <v>BoQ_970</v>
          </cell>
          <cell r="B1099">
            <v>970</v>
          </cell>
          <cell r="C1099">
            <v>717</v>
          </cell>
          <cell r="D1099" t="str">
            <v>Quạt thông gió 200x200 gắn trần
Ventilation fans 200x200</v>
          </cell>
          <cell r="L1099" t="str">
            <v>set</v>
          </cell>
          <cell r="M1099">
            <v>18</v>
          </cell>
          <cell r="N1099">
            <v>425000</v>
          </cell>
          <cell r="O1099">
            <v>80000</v>
          </cell>
          <cell r="P1099">
            <v>433500</v>
          </cell>
          <cell r="Q1099">
            <v>7803000</v>
          </cell>
          <cell r="R1099">
            <v>81600</v>
          </cell>
          <cell r="S1099">
            <v>1468800</v>
          </cell>
          <cell r="T1099">
            <v>515100</v>
          </cell>
          <cell r="U1099">
            <v>9271800</v>
          </cell>
        </row>
        <row r="1100">
          <cell r="A1100" t="str">
            <v>BoQ_971</v>
          </cell>
          <cell r="B1100">
            <v>971</v>
          </cell>
          <cell r="C1100">
            <v>718</v>
          </cell>
          <cell r="D1100" t="str">
            <v>PVC pipe D200
Ống gió PVC D200</v>
          </cell>
          <cell r="L1100" t="str">
            <v>m</v>
          </cell>
          <cell r="M1100">
            <v>86</v>
          </cell>
          <cell r="N1100">
            <v>212000</v>
          </cell>
          <cell r="O1100">
            <v>56000</v>
          </cell>
          <cell r="P1100">
            <v>216240</v>
          </cell>
          <cell r="Q1100">
            <v>18596640</v>
          </cell>
          <cell r="R1100">
            <v>57120</v>
          </cell>
          <cell r="S1100">
            <v>4912320</v>
          </cell>
          <cell r="T1100">
            <v>273360</v>
          </cell>
          <cell r="U1100">
            <v>23508960</v>
          </cell>
        </row>
        <row r="1101">
          <cell r="A1101" t="str">
            <v>BoQ_972</v>
          </cell>
          <cell r="B1101">
            <v>972</v>
          </cell>
          <cell r="C1101">
            <v>719</v>
          </cell>
          <cell r="D1101" t="str">
            <v>Cu/PVC wiring</v>
          </cell>
          <cell r="E1101" t="str">
            <v>1*4SQ</v>
          </cell>
          <cell r="L1101" t="str">
            <v>m</v>
          </cell>
          <cell r="M1101">
            <v>500</v>
          </cell>
          <cell r="N1101">
            <v>9464</v>
          </cell>
          <cell r="O1101">
            <v>2300</v>
          </cell>
          <cell r="P1101">
            <v>9653.2800000000007</v>
          </cell>
          <cell r="Q1101">
            <v>4826640</v>
          </cell>
          <cell r="R1101">
            <v>2346</v>
          </cell>
          <cell r="S1101">
            <v>1173000</v>
          </cell>
          <cell r="T1101">
            <v>11999.28</v>
          </cell>
          <cell r="U1101">
            <v>5999640</v>
          </cell>
        </row>
        <row r="1102">
          <cell r="A1102" t="str">
            <v>BoQ_973</v>
          </cell>
          <cell r="B1102">
            <v>973</v>
          </cell>
          <cell r="C1102">
            <v>720</v>
          </cell>
          <cell r="D1102" t="str">
            <v>Cu/PVC Earth wiring</v>
          </cell>
          <cell r="E1102" t="str">
            <v>1*4SQ</v>
          </cell>
          <cell r="L1102" t="str">
            <v>m</v>
          </cell>
          <cell r="M1102">
            <v>250</v>
          </cell>
          <cell r="N1102">
            <v>9464</v>
          </cell>
          <cell r="O1102">
            <v>2300</v>
          </cell>
          <cell r="P1102">
            <v>9653.2800000000007</v>
          </cell>
          <cell r="Q1102">
            <v>2413320</v>
          </cell>
          <cell r="R1102">
            <v>2346</v>
          </cell>
          <cell r="S1102">
            <v>586500</v>
          </cell>
          <cell r="T1102">
            <v>11999.28</v>
          </cell>
          <cell r="U1102">
            <v>2999820</v>
          </cell>
        </row>
        <row r="1103">
          <cell r="C1103" t="str">
            <v>H.3</v>
          </cell>
          <cell r="D1103" t="str">
            <v>QUẠT HÚT MÙI KHU BẾP
VENTILATION FOR KITCHEN</v>
          </cell>
          <cell r="E1103" t="str">
            <v>Bỏ, không lắp</v>
          </cell>
        </row>
        <row r="1104">
          <cell r="A1104" t="str">
            <v>BoQ_974</v>
          </cell>
          <cell r="B1104">
            <v>974</v>
          </cell>
          <cell r="C1104">
            <v>721</v>
          </cell>
          <cell r="D1104" t="str">
            <v>EAG 600x600 + OBD / Nan hút mùi 600x600</v>
          </cell>
          <cell r="L1104" t="str">
            <v>set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</row>
        <row r="1105">
          <cell r="A1105" t="str">
            <v>BoQ_975</v>
          </cell>
          <cell r="B1105">
            <v>975</v>
          </cell>
          <cell r="C1105">
            <v>722</v>
          </cell>
          <cell r="D1105" t="str">
            <v>PIPE SUS 304,  D200
Ống gió inox 304 D200</v>
          </cell>
          <cell r="L1105" t="str">
            <v>m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</row>
        <row r="1106">
          <cell r="A1106" t="str">
            <v>BoQ_976</v>
          </cell>
          <cell r="B1106">
            <v>976</v>
          </cell>
          <cell r="C1106">
            <v>723</v>
          </cell>
          <cell r="D1106" t="str">
            <v xml:space="preserve">25mm PE soundproofing cover for ducts
Bọc tiêu âm PE 25mm cho ống gió </v>
          </cell>
          <cell r="L1106" t="str">
            <v>m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</row>
        <row r="1107">
          <cell r="A1107" t="str">
            <v>BoQ_977</v>
          </cell>
          <cell r="B1107">
            <v>977</v>
          </cell>
          <cell r="C1107">
            <v>724</v>
          </cell>
          <cell r="D1107" t="str">
            <v>TUM HÚT MÙI INOX 304 KT: 1000X1500
Fume hood</v>
          </cell>
          <cell r="L1107" t="str">
            <v>pcs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</row>
        <row r="1108">
          <cell r="A1108" t="str">
            <v>BoQ_978</v>
          </cell>
          <cell r="B1108">
            <v>978</v>
          </cell>
          <cell r="C1108">
            <v>725</v>
          </cell>
          <cell r="D1108" t="str">
            <v>Meatl sheet pipe 500x300
Ống gió tôn 500X300</v>
          </cell>
          <cell r="L1108" t="str">
            <v>m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</row>
        <row r="1109">
          <cell r="A1109" t="str">
            <v>BoQ_979</v>
          </cell>
          <cell r="B1109">
            <v>979</v>
          </cell>
          <cell r="C1109">
            <v>726</v>
          </cell>
          <cell r="D1109" t="str">
            <v>Côn, cút cho ống gió
Accessories</v>
          </cell>
          <cell r="L1109" t="str">
            <v>Lot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</row>
        <row r="1110">
          <cell r="A1110" t="str">
            <v>BoQ_980</v>
          </cell>
          <cell r="B1110">
            <v>980</v>
          </cell>
          <cell r="C1110">
            <v>727</v>
          </cell>
          <cell r="D1110" t="str">
            <v>Cu/PVC cable
Dây điện</v>
          </cell>
          <cell r="E1110" t="str">
            <v>1*6SQ</v>
          </cell>
          <cell r="L1110" t="str">
            <v>m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</row>
        <row r="1111">
          <cell r="A1111" t="str">
            <v>BoQ_981</v>
          </cell>
          <cell r="B1111">
            <v>981</v>
          </cell>
          <cell r="C1111">
            <v>728</v>
          </cell>
          <cell r="D1111" t="str">
            <v>Cu/PVC Earth Cable
Dây tiếp địa</v>
          </cell>
          <cell r="E1111" t="str">
            <v>1*6SQ</v>
          </cell>
          <cell r="L1111" t="str">
            <v>m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</row>
        <row r="1112">
          <cell r="A1112" t="str">
            <v>BoQ_982</v>
          </cell>
          <cell r="B1112">
            <v>982</v>
          </cell>
          <cell r="C1112">
            <v>729</v>
          </cell>
          <cell r="D1112" t="str">
            <v>Quạt ly tâm 5,5KW
Centrifugal fan 5,5KW</v>
          </cell>
          <cell r="L1112" t="str">
            <v>pcs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</row>
        <row r="1113">
          <cell r="A1113" t="str">
            <v>BoQ_983</v>
          </cell>
          <cell r="B1113">
            <v>983</v>
          </cell>
          <cell r="C1113">
            <v>730</v>
          </cell>
          <cell r="D1113" t="str">
            <v>Vận chuyển
Transportation</v>
          </cell>
          <cell r="L1113" t="str">
            <v>Lot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</row>
        <row r="1114">
          <cell r="C1114" t="str">
            <v>H.5</v>
          </cell>
          <cell r="D1114" t="str">
            <v>NHÀ PHỤ TRỢ 
AUXILIARY</v>
          </cell>
        </row>
        <row r="1115">
          <cell r="A1115" t="str">
            <v>BoQ_984</v>
          </cell>
          <cell r="B1115">
            <v>984</v>
          </cell>
          <cell r="C1115">
            <v>731</v>
          </cell>
          <cell r="D1115" t="str">
            <v>Cu/PVC Cable 
Dây điện</v>
          </cell>
          <cell r="E1115" t="str">
            <v>1*2.5SQ</v>
          </cell>
          <cell r="L1115" t="str">
            <v>m</v>
          </cell>
          <cell r="M1115">
            <v>560</v>
          </cell>
          <cell r="N1115">
            <v>5963</v>
          </cell>
          <cell r="O1115">
            <v>2000</v>
          </cell>
          <cell r="P1115">
            <v>6082.26</v>
          </cell>
          <cell r="Q1115">
            <v>3406065.6</v>
          </cell>
          <cell r="R1115">
            <v>2040</v>
          </cell>
          <cell r="S1115">
            <v>1142400</v>
          </cell>
          <cell r="T1115">
            <v>8122.26</v>
          </cell>
          <cell r="U1115">
            <v>4548465.6000000006</v>
          </cell>
        </row>
        <row r="1116">
          <cell r="A1116" t="str">
            <v>BoQ_985</v>
          </cell>
          <cell r="B1116">
            <v>985</v>
          </cell>
          <cell r="C1116">
            <v>732</v>
          </cell>
          <cell r="D1116" t="str">
            <v>Cu/PVC Earth Cable
Dây tiếp địa</v>
          </cell>
          <cell r="E1116" t="str">
            <v>1*1.5SQ</v>
          </cell>
          <cell r="L1116" t="str">
            <v>m</v>
          </cell>
          <cell r="M1116">
            <v>280</v>
          </cell>
          <cell r="N1116">
            <v>3911</v>
          </cell>
          <cell r="O1116">
            <v>1800</v>
          </cell>
          <cell r="P1116">
            <v>3989.2200000000003</v>
          </cell>
          <cell r="Q1116">
            <v>1116981.6000000001</v>
          </cell>
          <cell r="R1116">
            <v>1836</v>
          </cell>
          <cell r="S1116">
            <v>514080</v>
          </cell>
          <cell r="T1116">
            <v>5825.22</v>
          </cell>
          <cell r="U1116">
            <v>1631061.6</v>
          </cell>
        </row>
        <row r="1117">
          <cell r="A1117" t="str">
            <v>BoQ_986</v>
          </cell>
          <cell r="B1117">
            <v>986</v>
          </cell>
          <cell r="C1117">
            <v>733</v>
          </cell>
          <cell r="D1117" t="str">
            <v>Cu/PVC
Dây điện</v>
          </cell>
          <cell r="E1117" t="str">
            <v>1*4SQ</v>
          </cell>
          <cell r="L1117" t="str">
            <v>m</v>
          </cell>
          <cell r="M1117">
            <v>420</v>
          </cell>
          <cell r="N1117">
            <v>9464</v>
          </cell>
          <cell r="O1117">
            <v>2300</v>
          </cell>
          <cell r="P1117">
            <v>9653.2800000000007</v>
          </cell>
          <cell r="Q1117">
            <v>4054377.6</v>
          </cell>
          <cell r="R1117">
            <v>2346</v>
          </cell>
          <cell r="S1117">
            <v>985320</v>
          </cell>
          <cell r="T1117">
            <v>11999.28</v>
          </cell>
          <cell r="U1117">
            <v>5039697.6000000006</v>
          </cell>
        </row>
        <row r="1118">
          <cell r="A1118" t="str">
            <v>BoQ_987</v>
          </cell>
          <cell r="B1118">
            <v>987</v>
          </cell>
          <cell r="C1118">
            <v>734</v>
          </cell>
          <cell r="D1118" t="str">
            <v>Earth Cable (CU/PVCl)
Dây tiếp địa</v>
          </cell>
          <cell r="E1118" t="str">
            <v>2.5SQMM-1C</v>
          </cell>
          <cell r="L1118" t="str">
            <v>m</v>
          </cell>
          <cell r="M1118">
            <v>210</v>
          </cell>
          <cell r="N1118">
            <v>6296</v>
          </cell>
          <cell r="O1118">
            <v>2000</v>
          </cell>
          <cell r="P1118">
            <v>6421.92</v>
          </cell>
          <cell r="Q1118">
            <v>1348603.2</v>
          </cell>
          <cell r="R1118">
            <v>2040</v>
          </cell>
          <cell r="S1118">
            <v>428400</v>
          </cell>
          <cell r="T1118">
            <v>8461.92</v>
          </cell>
          <cell r="U1118">
            <v>1777003.2</v>
          </cell>
        </row>
        <row r="1119">
          <cell r="A1119" t="str">
            <v>BoQ_988</v>
          </cell>
          <cell r="B1119">
            <v>988</v>
          </cell>
          <cell r="C1119">
            <v>735</v>
          </cell>
          <cell r="D1119" t="str">
            <v>Terminal for Cable &amp; wire</v>
          </cell>
          <cell r="L1119" t="str">
            <v>lot</v>
          </cell>
          <cell r="M1119">
            <v>1</v>
          </cell>
          <cell r="N1119">
            <v>1000000</v>
          </cell>
          <cell r="O1119">
            <v>0</v>
          </cell>
          <cell r="P1119">
            <v>1020000</v>
          </cell>
          <cell r="Q1119">
            <v>1020000</v>
          </cell>
          <cell r="R1119">
            <v>0</v>
          </cell>
          <cell r="S1119">
            <v>0</v>
          </cell>
          <cell r="T1119">
            <v>1020000</v>
          </cell>
          <cell r="U1119">
            <v>1020000</v>
          </cell>
        </row>
        <row r="1120">
          <cell r="A1120" t="str">
            <v>BoQ_989</v>
          </cell>
          <cell r="B1120">
            <v>989</v>
          </cell>
          <cell r="C1120">
            <v>736</v>
          </cell>
          <cell r="D1120" t="str">
            <v>PVC conduit
Ống luồn PVC</v>
          </cell>
          <cell r="E1120" t="str">
            <v>D20</v>
          </cell>
          <cell r="L1120" t="str">
            <v>m</v>
          </cell>
          <cell r="M1120">
            <v>280</v>
          </cell>
          <cell r="N1120">
            <v>10000</v>
          </cell>
          <cell r="O1120">
            <v>6000</v>
          </cell>
          <cell r="P1120">
            <v>10200</v>
          </cell>
          <cell r="Q1120">
            <v>2856000</v>
          </cell>
          <cell r="R1120">
            <v>6120</v>
          </cell>
          <cell r="S1120">
            <v>1713600</v>
          </cell>
          <cell r="T1120">
            <v>16320</v>
          </cell>
          <cell r="U1120">
            <v>4569600</v>
          </cell>
        </row>
        <row r="1121">
          <cell r="A1121" t="str">
            <v>BoQ_990</v>
          </cell>
          <cell r="B1121">
            <v>990</v>
          </cell>
          <cell r="C1121">
            <v>737</v>
          </cell>
          <cell r="D1121" t="str">
            <v>PVC conduit
Ống luồn PVC</v>
          </cell>
          <cell r="E1121" t="str">
            <v>D25</v>
          </cell>
          <cell r="L1121" t="str">
            <v>m</v>
          </cell>
          <cell r="M1121">
            <v>210</v>
          </cell>
          <cell r="N1121">
            <v>13500</v>
          </cell>
          <cell r="O1121">
            <v>7600</v>
          </cell>
          <cell r="P1121">
            <v>13770</v>
          </cell>
          <cell r="Q1121">
            <v>2891700</v>
          </cell>
          <cell r="R1121">
            <v>7752</v>
          </cell>
          <cell r="S1121">
            <v>1627920</v>
          </cell>
          <cell r="T1121">
            <v>21522</v>
          </cell>
          <cell r="U1121">
            <v>4519620</v>
          </cell>
        </row>
        <row r="1122">
          <cell r="A1122" t="str">
            <v>BoQ_991</v>
          </cell>
          <cell r="B1122">
            <v>991</v>
          </cell>
          <cell r="C1122">
            <v>738</v>
          </cell>
          <cell r="D1122" t="str">
            <v>Fitting &amp; suport for pipe</v>
          </cell>
          <cell r="L1122" t="str">
            <v>lot</v>
          </cell>
          <cell r="M1122">
            <v>1</v>
          </cell>
          <cell r="N1122">
            <v>859375</v>
          </cell>
          <cell r="O1122">
            <v>0</v>
          </cell>
          <cell r="P1122">
            <v>876562.5</v>
          </cell>
          <cell r="Q1122">
            <v>876562.5</v>
          </cell>
          <cell r="R1122">
            <v>0</v>
          </cell>
          <cell r="S1122">
            <v>0</v>
          </cell>
          <cell r="T1122">
            <v>876562.5</v>
          </cell>
          <cell r="U1122">
            <v>876562.5</v>
          </cell>
        </row>
        <row r="1123">
          <cell r="A1123" t="str">
            <v>BoQ_992</v>
          </cell>
          <cell r="B1123">
            <v>992</v>
          </cell>
          <cell r="C1123">
            <v>739</v>
          </cell>
          <cell r="D1123" t="str">
            <v>Fitting  and Accessories for above
Phụ kiện</v>
          </cell>
          <cell r="L1123" t="str">
            <v>lot</v>
          </cell>
          <cell r="M1123">
            <v>1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</row>
        <row r="1124">
          <cell r="A1124" t="str">
            <v>BoQ_993</v>
          </cell>
          <cell r="B1124">
            <v>993</v>
          </cell>
          <cell r="C1124">
            <v>740</v>
          </cell>
          <cell r="D1124" t="str">
            <v>Linght led tup 2X18W
Đèn led bóng tup 1,2m 2X18W</v>
          </cell>
          <cell r="E1124" t="str">
            <v>Paragon</v>
          </cell>
          <cell r="L1124" t="str">
            <v>set</v>
          </cell>
          <cell r="M1124">
            <v>32</v>
          </cell>
          <cell r="N1124">
            <v>217500</v>
          </cell>
          <cell r="O1124">
            <v>80000</v>
          </cell>
          <cell r="P1124">
            <v>221850</v>
          </cell>
          <cell r="Q1124">
            <v>7099200</v>
          </cell>
          <cell r="R1124">
            <v>81600</v>
          </cell>
          <cell r="S1124">
            <v>2611200</v>
          </cell>
          <cell r="T1124">
            <v>303450</v>
          </cell>
          <cell r="U1124">
            <v>9710400</v>
          </cell>
        </row>
        <row r="1125">
          <cell r="A1125" t="str">
            <v>BoQ_994</v>
          </cell>
          <cell r="B1125">
            <v>994</v>
          </cell>
          <cell r="C1125">
            <v>741</v>
          </cell>
          <cell r="D1125" t="str">
            <v>Fixing &amp; suport for lighting</v>
          </cell>
          <cell r="L1125" t="str">
            <v>lot</v>
          </cell>
          <cell r="M1125">
            <v>1</v>
          </cell>
          <cell r="N1125">
            <v>500000</v>
          </cell>
          <cell r="O1125">
            <v>0</v>
          </cell>
          <cell r="P1125">
            <v>510000</v>
          </cell>
          <cell r="Q1125">
            <v>510000</v>
          </cell>
          <cell r="R1125">
            <v>0</v>
          </cell>
          <cell r="S1125">
            <v>0</v>
          </cell>
          <cell r="T1125">
            <v>510000</v>
          </cell>
          <cell r="U1125">
            <v>510000</v>
          </cell>
        </row>
        <row r="1126">
          <cell r="A1126" t="str">
            <v>BoQ_995</v>
          </cell>
          <cell r="B1126">
            <v>995</v>
          </cell>
          <cell r="C1126">
            <v>742</v>
          </cell>
          <cell r="D1126" t="str">
            <v>Switch
Ổ cắm</v>
          </cell>
          <cell r="E1126" t="str">
            <v>13A 250V 1 gang, 1 way</v>
          </cell>
          <cell r="L1126" t="str">
            <v>set</v>
          </cell>
          <cell r="M1126">
            <v>20</v>
          </cell>
          <cell r="N1126">
            <v>45700</v>
          </cell>
          <cell r="O1126">
            <v>35000</v>
          </cell>
          <cell r="P1126">
            <v>46614</v>
          </cell>
          <cell r="Q1126">
            <v>932280</v>
          </cell>
          <cell r="R1126">
            <v>35700</v>
          </cell>
          <cell r="S1126">
            <v>714000</v>
          </cell>
          <cell r="T1126">
            <v>82314</v>
          </cell>
          <cell r="U1126">
            <v>1646280</v>
          </cell>
        </row>
        <row r="1127">
          <cell r="A1127" t="str">
            <v>BoQ_996</v>
          </cell>
          <cell r="B1127">
            <v>996</v>
          </cell>
          <cell r="C1127">
            <v>743</v>
          </cell>
          <cell r="D1127" t="str">
            <v>Receptacle type wall
Ổ cắm tường</v>
          </cell>
          <cell r="E1127" t="str">
            <v>220V 16A 2P+E double</v>
          </cell>
          <cell r="L1127" t="str">
            <v>set</v>
          </cell>
          <cell r="M1127">
            <v>30</v>
          </cell>
          <cell r="N1127">
            <v>102700</v>
          </cell>
          <cell r="O1127">
            <v>45000</v>
          </cell>
          <cell r="P1127">
            <v>104754</v>
          </cell>
          <cell r="Q1127">
            <v>3142620</v>
          </cell>
          <cell r="R1127">
            <v>45900</v>
          </cell>
          <cell r="S1127">
            <v>1377000</v>
          </cell>
          <cell r="T1127">
            <v>150654</v>
          </cell>
          <cell r="U1127">
            <v>4519620</v>
          </cell>
        </row>
        <row r="1128">
          <cell r="A1128" t="str">
            <v>BoQ_997</v>
          </cell>
          <cell r="B1128">
            <v>997</v>
          </cell>
          <cell r="C1128">
            <v>744</v>
          </cell>
          <cell r="D1128" t="str">
            <v>Sub materials &amp; acessories
Vật liệu phụ và phụ kiện</v>
          </cell>
          <cell r="L1128" t="str">
            <v>lot</v>
          </cell>
          <cell r="M1128">
            <v>1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</row>
        <row r="1129">
          <cell r="A1129" t="str">
            <v>BoQ_998</v>
          </cell>
          <cell r="B1129">
            <v>998</v>
          </cell>
          <cell r="C1129">
            <v>745</v>
          </cell>
          <cell r="D1129" t="str">
            <v>Excavation &amp; Backfilling
Đào lấp đất</v>
          </cell>
          <cell r="L1129" t="str">
            <v>lot</v>
          </cell>
          <cell r="M1129">
            <v>1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</row>
        <row r="1130">
          <cell r="A1130" t="str">
            <v>BoQ_999</v>
          </cell>
          <cell r="B1130">
            <v>999</v>
          </cell>
          <cell r="C1130">
            <v>746</v>
          </cell>
          <cell r="D1130" t="str">
            <v>Supporting Materials For Above</v>
          </cell>
          <cell r="L1130" t="str">
            <v>lot</v>
          </cell>
          <cell r="M1130">
            <v>1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</row>
        <row r="1131">
          <cell r="A1131" t="str">
            <v>BoQ_1000</v>
          </cell>
          <cell r="B1131">
            <v>1000</v>
          </cell>
          <cell r="C1131">
            <v>747</v>
          </cell>
          <cell r="D1131" t="str">
            <v>Transportation Fee
Vận chuyển</v>
          </cell>
          <cell r="L1131" t="str">
            <v>lot</v>
          </cell>
          <cell r="M1131">
            <v>1</v>
          </cell>
          <cell r="N1131">
            <v>0</v>
          </cell>
          <cell r="O1131">
            <v>1000000</v>
          </cell>
          <cell r="P1131">
            <v>0</v>
          </cell>
          <cell r="Q1131">
            <v>0</v>
          </cell>
          <cell r="R1131">
            <v>1020000</v>
          </cell>
          <cell r="S1131">
            <v>1020000</v>
          </cell>
          <cell r="T1131">
            <v>1020000</v>
          </cell>
          <cell r="U1131">
            <v>1020000</v>
          </cell>
        </row>
        <row r="1132">
          <cell r="C1132" t="str">
            <v>H.5</v>
          </cell>
          <cell r="D1132" t="str">
            <v>NHÀ XE MÁY
MOTORBIKE PARKING</v>
          </cell>
        </row>
        <row r="1133">
          <cell r="A1133" t="str">
            <v>BoQ_1001</v>
          </cell>
          <cell r="B1133">
            <v>1001</v>
          </cell>
          <cell r="C1133">
            <v>748</v>
          </cell>
          <cell r="D1133" t="str">
            <v>Cu/PVC Cable 
Dây điện</v>
          </cell>
          <cell r="E1133" t="str">
            <v>1*2.5SQ</v>
          </cell>
          <cell r="L1133" t="str">
            <v>m</v>
          </cell>
          <cell r="M1133">
            <v>647.4</v>
          </cell>
          <cell r="N1133">
            <v>5963</v>
          </cell>
          <cell r="O1133">
            <v>2000</v>
          </cell>
          <cell r="P1133">
            <v>6082.26</v>
          </cell>
          <cell r="Q1133">
            <v>3937655.1239999998</v>
          </cell>
          <cell r="R1133">
            <v>2040</v>
          </cell>
          <cell r="S1133">
            <v>1320696</v>
          </cell>
          <cell r="T1133">
            <v>8122.26</v>
          </cell>
          <cell r="U1133">
            <v>5258351.1239999998</v>
          </cell>
        </row>
        <row r="1134">
          <cell r="A1134" t="str">
            <v>BoQ_1002</v>
          </cell>
          <cell r="B1134">
            <v>1002</v>
          </cell>
          <cell r="C1134">
            <v>749</v>
          </cell>
          <cell r="D1134" t="str">
            <v>Cu/PVC Earth Cable
Dây tiếp địa</v>
          </cell>
          <cell r="E1134" t="str">
            <v>1*1.5SQ</v>
          </cell>
          <cell r="L1134" t="str">
            <v>m</v>
          </cell>
          <cell r="M1134">
            <v>323.7</v>
          </cell>
          <cell r="N1134">
            <v>3911</v>
          </cell>
          <cell r="O1134">
            <v>1800</v>
          </cell>
          <cell r="P1134">
            <v>3989.2200000000003</v>
          </cell>
          <cell r="Q1134">
            <v>1291310.514</v>
          </cell>
          <cell r="R1134">
            <v>1836</v>
          </cell>
          <cell r="S1134">
            <v>594313.19999999995</v>
          </cell>
          <cell r="T1134">
            <v>5825.22</v>
          </cell>
          <cell r="U1134">
            <v>1885623.7139999999</v>
          </cell>
        </row>
        <row r="1135">
          <cell r="A1135" t="str">
            <v>BoQ_1003</v>
          </cell>
          <cell r="B1135">
            <v>1003</v>
          </cell>
          <cell r="C1135">
            <v>750</v>
          </cell>
          <cell r="D1135" t="str">
            <v>Cu/PVC
Dây điện</v>
          </cell>
          <cell r="E1135" t="str">
            <v>1*4SQ</v>
          </cell>
          <cell r="L1135" t="str">
            <v>m</v>
          </cell>
          <cell r="M1135">
            <v>416</v>
          </cell>
          <cell r="N1135">
            <v>9464</v>
          </cell>
          <cell r="O1135">
            <v>2300</v>
          </cell>
          <cell r="P1135">
            <v>9653.2800000000007</v>
          </cell>
          <cell r="Q1135">
            <v>4015764.4800000004</v>
          </cell>
          <cell r="R1135">
            <v>2346</v>
          </cell>
          <cell r="S1135">
            <v>975936</v>
          </cell>
          <cell r="T1135">
            <v>11999.28</v>
          </cell>
          <cell r="U1135">
            <v>4991700.4800000004</v>
          </cell>
        </row>
        <row r="1136">
          <cell r="A1136" t="str">
            <v>BoQ_1004</v>
          </cell>
          <cell r="B1136">
            <v>1004</v>
          </cell>
          <cell r="C1136">
            <v>751</v>
          </cell>
          <cell r="D1136" t="str">
            <v>Earth Cable (CU/PVCl)
Dây tiếp địa</v>
          </cell>
          <cell r="E1136" t="str">
            <v>2.5SQMM-1C</v>
          </cell>
          <cell r="L1136" t="str">
            <v>m</v>
          </cell>
          <cell r="M1136">
            <v>208</v>
          </cell>
          <cell r="N1136">
            <v>6296</v>
          </cell>
          <cell r="O1136">
            <v>2000</v>
          </cell>
          <cell r="P1136">
            <v>6421.92</v>
          </cell>
          <cell r="Q1136">
            <v>1335759.3600000001</v>
          </cell>
          <cell r="R1136">
            <v>2040</v>
          </cell>
          <cell r="S1136">
            <v>424320</v>
          </cell>
          <cell r="T1136">
            <v>8461.92</v>
          </cell>
          <cell r="U1136">
            <v>1760079.36</v>
          </cell>
        </row>
        <row r="1137">
          <cell r="A1137" t="str">
            <v>BoQ_1005</v>
          </cell>
          <cell r="B1137">
            <v>1005</v>
          </cell>
          <cell r="C1137">
            <v>752</v>
          </cell>
          <cell r="D1137" t="str">
            <v>Terminal for Cable &amp; wire</v>
          </cell>
          <cell r="L1137" t="str">
            <v>lot</v>
          </cell>
          <cell r="M1137">
            <v>1</v>
          </cell>
          <cell r="N1137">
            <v>312500</v>
          </cell>
          <cell r="O1137">
            <v>0</v>
          </cell>
          <cell r="P1137">
            <v>318750</v>
          </cell>
          <cell r="Q1137">
            <v>318750</v>
          </cell>
          <cell r="R1137">
            <v>0</v>
          </cell>
          <cell r="S1137">
            <v>0</v>
          </cell>
          <cell r="T1137">
            <v>318750</v>
          </cell>
          <cell r="U1137">
            <v>318750</v>
          </cell>
        </row>
        <row r="1138">
          <cell r="A1138" t="str">
            <v>BoQ_1006</v>
          </cell>
          <cell r="B1138">
            <v>1006</v>
          </cell>
          <cell r="C1138">
            <v>753</v>
          </cell>
          <cell r="D1138" t="str">
            <v>PVC conduit
Ống luồn PVC</v>
          </cell>
          <cell r="E1138" t="str">
            <v>D20</v>
          </cell>
          <cell r="L1138" t="str">
            <v>m</v>
          </cell>
          <cell r="M1138">
            <v>323.7</v>
          </cell>
          <cell r="N1138">
            <v>10000</v>
          </cell>
          <cell r="O1138">
            <v>6000</v>
          </cell>
          <cell r="P1138">
            <v>10200</v>
          </cell>
          <cell r="Q1138">
            <v>3301740</v>
          </cell>
          <cell r="R1138">
            <v>6120</v>
          </cell>
          <cell r="S1138">
            <v>1981044</v>
          </cell>
          <cell r="T1138">
            <v>16320</v>
          </cell>
          <cell r="U1138">
            <v>5282784</v>
          </cell>
        </row>
        <row r="1139">
          <cell r="A1139" t="str">
            <v>BoQ_1007</v>
          </cell>
          <cell r="B1139">
            <v>1007</v>
          </cell>
          <cell r="C1139">
            <v>754</v>
          </cell>
          <cell r="D1139" t="str">
            <v>PVC conduit
Ống luồn PVC</v>
          </cell>
          <cell r="E1139" t="str">
            <v>D25</v>
          </cell>
          <cell r="L1139" t="str">
            <v>m</v>
          </cell>
          <cell r="M1139">
            <v>208</v>
          </cell>
          <cell r="N1139">
            <v>13500</v>
          </cell>
          <cell r="O1139">
            <v>7600</v>
          </cell>
          <cell r="P1139">
            <v>13770</v>
          </cell>
          <cell r="Q1139">
            <v>2864160</v>
          </cell>
          <cell r="R1139">
            <v>7752</v>
          </cell>
          <cell r="S1139">
            <v>1612416</v>
          </cell>
          <cell r="T1139">
            <v>21522</v>
          </cell>
          <cell r="U1139">
            <v>4476576</v>
          </cell>
        </row>
        <row r="1140">
          <cell r="A1140" t="str">
            <v>BoQ_1008</v>
          </cell>
          <cell r="B1140">
            <v>1008</v>
          </cell>
          <cell r="C1140">
            <v>755</v>
          </cell>
          <cell r="D1140" t="str">
            <v>Fitting &amp; suport for pipe</v>
          </cell>
          <cell r="L1140" t="str">
            <v>lot</v>
          </cell>
          <cell r="M1140">
            <v>1</v>
          </cell>
          <cell r="N1140">
            <v>1250000</v>
          </cell>
          <cell r="O1140">
            <v>0</v>
          </cell>
          <cell r="P1140">
            <v>1275000</v>
          </cell>
          <cell r="Q1140">
            <v>1275000</v>
          </cell>
          <cell r="R1140">
            <v>0</v>
          </cell>
          <cell r="S1140">
            <v>0</v>
          </cell>
          <cell r="T1140">
            <v>1275000</v>
          </cell>
          <cell r="U1140">
            <v>1275000</v>
          </cell>
        </row>
        <row r="1141">
          <cell r="A1141" t="str">
            <v>BoQ_1009</v>
          </cell>
          <cell r="B1141">
            <v>1009</v>
          </cell>
          <cell r="C1141">
            <v>756</v>
          </cell>
          <cell r="D1141" t="str">
            <v>Fitting  and Accessories for above
Phụ kiện</v>
          </cell>
          <cell r="L1141" t="str">
            <v>lot</v>
          </cell>
          <cell r="M1141">
            <v>1</v>
          </cell>
          <cell r="N1141">
            <v>312500</v>
          </cell>
          <cell r="O1141">
            <v>0</v>
          </cell>
          <cell r="P1141">
            <v>318750</v>
          </cell>
          <cell r="Q1141">
            <v>318750</v>
          </cell>
          <cell r="R1141">
            <v>0</v>
          </cell>
          <cell r="S1141">
            <v>0</v>
          </cell>
          <cell r="T1141">
            <v>318750</v>
          </cell>
          <cell r="U1141">
            <v>318750</v>
          </cell>
        </row>
        <row r="1142">
          <cell r="A1142" t="str">
            <v>BoQ_1010</v>
          </cell>
          <cell r="B1142">
            <v>1010</v>
          </cell>
          <cell r="C1142">
            <v>757</v>
          </cell>
          <cell r="D1142" t="str">
            <v>Linght led tup 2X18W
Đèn led lắp nổi bóng tup có chóa 1,2m 2X18W</v>
          </cell>
          <cell r="E1142" t="str">
            <v>Paragon</v>
          </cell>
          <cell r="L1142" t="str">
            <v>set</v>
          </cell>
          <cell r="M1142">
            <v>21</v>
          </cell>
          <cell r="N1142">
            <v>303000</v>
          </cell>
          <cell r="O1142">
            <v>80000</v>
          </cell>
          <cell r="P1142">
            <v>309060</v>
          </cell>
          <cell r="Q1142">
            <v>6490260</v>
          </cell>
          <cell r="R1142">
            <v>81600</v>
          </cell>
          <cell r="S1142">
            <v>1713600</v>
          </cell>
          <cell r="T1142">
            <v>390660</v>
          </cell>
          <cell r="U1142">
            <v>8203860</v>
          </cell>
        </row>
        <row r="1143">
          <cell r="A1143" t="str">
            <v>BoQ_1011</v>
          </cell>
          <cell r="B1143">
            <v>1011</v>
          </cell>
          <cell r="C1143">
            <v>758</v>
          </cell>
          <cell r="D1143" t="str">
            <v>Fixing &amp; suport for lighting</v>
          </cell>
          <cell r="L1143" t="str">
            <v>lot</v>
          </cell>
          <cell r="M1143">
            <v>1</v>
          </cell>
          <cell r="N1143">
            <v>500000</v>
          </cell>
          <cell r="O1143">
            <v>0</v>
          </cell>
          <cell r="P1143">
            <v>510000</v>
          </cell>
          <cell r="Q1143">
            <v>510000</v>
          </cell>
          <cell r="R1143">
            <v>0</v>
          </cell>
          <cell r="S1143">
            <v>0</v>
          </cell>
          <cell r="T1143">
            <v>510000</v>
          </cell>
          <cell r="U1143">
            <v>510000</v>
          </cell>
        </row>
        <row r="1144">
          <cell r="A1144" t="str">
            <v>BoQ_1012</v>
          </cell>
          <cell r="B1144">
            <v>1012</v>
          </cell>
          <cell r="C1144">
            <v>759</v>
          </cell>
          <cell r="D1144" t="str">
            <v>Switch
Ổ cắm</v>
          </cell>
          <cell r="E1144" t="str">
            <v>13A 250V 1 gang, 1 way</v>
          </cell>
          <cell r="L1144" t="str">
            <v>set</v>
          </cell>
          <cell r="M1144">
            <v>4</v>
          </cell>
          <cell r="N1144">
            <v>45700</v>
          </cell>
          <cell r="O1144">
            <v>35000</v>
          </cell>
          <cell r="P1144">
            <v>46614</v>
          </cell>
          <cell r="Q1144">
            <v>186456</v>
          </cell>
          <cell r="R1144">
            <v>35700</v>
          </cell>
          <cell r="S1144">
            <v>142800</v>
          </cell>
          <cell r="T1144">
            <v>82314</v>
          </cell>
          <cell r="U1144">
            <v>329256</v>
          </cell>
        </row>
        <row r="1145">
          <cell r="A1145" t="str">
            <v>BoQ_1013</v>
          </cell>
          <cell r="B1145">
            <v>1013</v>
          </cell>
          <cell r="C1145">
            <v>760</v>
          </cell>
          <cell r="D1145" t="str">
            <v>MOTION SENSOR 
Thiết bị cảm ứng chuyển động cho đèn chiếu sáng</v>
          </cell>
          <cell r="L1145" t="str">
            <v>set</v>
          </cell>
          <cell r="M1145">
            <v>12</v>
          </cell>
          <cell r="N1145">
            <v>381250</v>
          </cell>
          <cell r="O1145">
            <v>50000</v>
          </cell>
          <cell r="P1145">
            <v>388875</v>
          </cell>
          <cell r="Q1145">
            <v>4666500</v>
          </cell>
          <cell r="R1145">
            <v>51000</v>
          </cell>
          <cell r="S1145">
            <v>612000</v>
          </cell>
          <cell r="T1145">
            <v>439875</v>
          </cell>
          <cell r="U1145">
            <v>5278500</v>
          </cell>
        </row>
        <row r="1146">
          <cell r="A1146" t="str">
            <v>BoQ_1014</v>
          </cell>
          <cell r="B1146">
            <v>1014</v>
          </cell>
          <cell r="C1146">
            <v>761</v>
          </cell>
          <cell r="D1146" t="str">
            <v>Receptacle type wall
Ổ cắm tường</v>
          </cell>
          <cell r="E1146" t="str">
            <v>220V 16A 2P+E double</v>
          </cell>
          <cell r="L1146" t="str">
            <v>set</v>
          </cell>
          <cell r="M1146">
            <v>10</v>
          </cell>
          <cell r="N1146">
            <v>102700</v>
          </cell>
          <cell r="O1146">
            <v>45000</v>
          </cell>
          <cell r="P1146">
            <v>104754</v>
          </cell>
          <cell r="Q1146">
            <v>1047540</v>
          </cell>
          <cell r="R1146">
            <v>45900</v>
          </cell>
          <cell r="S1146">
            <v>459000</v>
          </cell>
          <cell r="T1146">
            <v>150654</v>
          </cell>
          <cell r="U1146">
            <v>1506540</v>
          </cell>
        </row>
        <row r="1147">
          <cell r="A1147" t="str">
            <v>BoQ_1015</v>
          </cell>
          <cell r="B1147">
            <v>1015</v>
          </cell>
          <cell r="C1147">
            <v>762</v>
          </cell>
          <cell r="D1147" t="str">
            <v>Sub materials &amp; acessories
Vật liệu phụ và phụ kiện</v>
          </cell>
          <cell r="L1147" t="str">
            <v>lot</v>
          </cell>
          <cell r="M1147">
            <v>1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</row>
        <row r="1148">
          <cell r="A1148" t="str">
            <v>BoQ_1016</v>
          </cell>
          <cell r="B1148">
            <v>1016</v>
          </cell>
          <cell r="C1148">
            <v>763</v>
          </cell>
          <cell r="D1148" t="str">
            <v>Excavation &amp; Backfilling
Đào lấp đất</v>
          </cell>
          <cell r="L1148" t="str">
            <v>lot</v>
          </cell>
          <cell r="M1148">
            <v>1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</row>
        <row r="1149">
          <cell r="A1149" t="str">
            <v>BoQ_1017</v>
          </cell>
          <cell r="B1149">
            <v>1017</v>
          </cell>
          <cell r="C1149">
            <v>764</v>
          </cell>
          <cell r="D1149" t="str">
            <v>Supporting Materials For Above</v>
          </cell>
          <cell r="L1149" t="str">
            <v>lot</v>
          </cell>
          <cell r="M1149">
            <v>1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</row>
        <row r="1150">
          <cell r="A1150" t="str">
            <v>BoQ_1018</v>
          </cell>
          <cell r="B1150">
            <v>1018</v>
          </cell>
          <cell r="C1150">
            <v>765</v>
          </cell>
          <cell r="D1150" t="str">
            <v>Transportation Fee
Vận chuyển</v>
          </cell>
          <cell r="L1150" t="str">
            <v>lot</v>
          </cell>
          <cell r="M1150">
            <v>1</v>
          </cell>
          <cell r="N1150">
            <v>0</v>
          </cell>
          <cell r="O1150">
            <v>1000000</v>
          </cell>
          <cell r="P1150">
            <v>0</v>
          </cell>
          <cell r="Q1150">
            <v>0</v>
          </cell>
          <cell r="R1150">
            <v>1020000</v>
          </cell>
          <cell r="S1150">
            <v>1020000</v>
          </cell>
          <cell r="T1150">
            <v>1020000</v>
          </cell>
          <cell r="U1150">
            <v>1020000</v>
          </cell>
        </row>
        <row r="1151">
          <cell r="A1151" t="str">
            <v>BoQ_1019</v>
          </cell>
          <cell r="B1151">
            <v>1019</v>
          </cell>
          <cell r="C1151" t="str">
            <v>J</v>
          </cell>
          <cell r="D1151" t="str">
            <v>CAMERA SYSTEM (CCTV)
HỆ THỐNG CAMERA</v>
          </cell>
          <cell r="E1151" t="str">
            <v>Vinatech lắp</v>
          </cell>
        </row>
        <row r="1152">
          <cell r="A1152" t="str">
            <v>BoQ_1020</v>
          </cell>
          <cell r="B1152">
            <v>1020</v>
          </cell>
          <cell r="C1152" t="str">
            <v>G</v>
          </cell>
          <cell r="D1152" t="str">
            <v>NETWORK &amp; TELEPHONE SYSTEM
HỆ THỐNG MẠNG LAN VÀ ĐIỆN THOẠI</v>
          </cell>
          <cell r="E1152" t="str">
            <v>Vinatech lắp</v>
          </cell>
        </row>
        <row r="1153">
          <cell r="D1153" t="str">
            <v>HVAC</v>
          </cell>
          <cell r="E1153" t="str">
            <v>TOTAL</v>
          </cell>
          <cell r="U1153">
            <v>4317307423.2519398</v>
          </cell>
          <cell r="V1153">
            <v>0</v>
          </cell>
        </row>
        <row r="1155">
          <cell r="D1155" t="str">
            <v>EQUIPMENT</v>
          </cell>
          <cell r="U1155">
            <v>4299402498.2919397</v>
          </cell>
        </row>
        <row r="1156">
          <cell r="C1156" t="str">
            <v>I</v>
          </cell>
          <cell r="D1156" t="str">
            <v>THIẾT BỊ PHÒNG MÁY
MECHANICAL ROOM EQUIPMENT</v>
          </cell>
          <cell r="U1156">
            <v>2147560218.9000001</v>
          </cell>
          <cell r="V1156">
            <v>0</v>
          </cell>
        </row>
        <row r="1157">
          <cell r="A1157" t="str">
            <v>BoQ_1021</v>
          </cell>
          <cell r="B1157">
            <v>1021</v>
          </cell>
          <cell r="C1157">
            <v>1</v>
          </cell>
          <cell r="D1157" t="str">
            <v>Máy làm lạnh Chiller trục vít giải nhiệt gió
Model : KCA1120
Công suất lạnh: 420kW
Công suất điện: 124.9kW</v>
          </cell>
          <cell r="E1157" t="str">
            <v>Model : KCA1120
Công suất lạnh: 420kW
Công suất điện: 124.9kW</v>
          </cell>
          <cell r="L1157" t="str">
            <v>Bộ</v>
          </cell>
          <cell r="M1157">
            <v>1</v>
          </cell>
          <cell r="N1157">
            <v>1144038000</v>
          </cell>
          <cell r="O1157">
            <v>10625000</v>
          </cell>
          <cell r="P1157">
            <v>1166918760</v>
          </cell>
          <cell r="Q1157">
            <v>1166918760</v>
          </cell>
          <cell r="R1157">
            <v>10837500</v>
          </cell>
          <cell r="S1157">
            <v>10837500</v>
          </cell>
          <cell r="T1157">
            <v>1177756260</v>
          </cell>
          <cell r="U1157">
            <v>1177756260</v>
          </cell>
          <cell r="W1157" t="str">
            <v>KingAir</v>
          </cell>
        </row>
        <row r="1158">
          <cell r="A1158" t="str">
            <v>BoQ_1022</v>
          </cell>
          <cell r="B1158">
            <v>1022</v>
          </cell>
          <cell r="C1158">
            <v>2</v>
          </cell>
          <cell r="D1158" t="str">
            <v>Bơm nước lạnh
Cold water pump</v>
          </cell>
          <cell r="E1158" t="str">
            <v>Lưu lượng: 127.5 m3/h
Cột áp: 25 mH2O
Công suất điện: 18.5 Kw</v>
          </cell>
          <cell r="L1158" t="str">
            <v>Bộ</v>
          </cell>
          <cell r="M1158">
            <v>2</v>
          </cell>
          <cell r="N1158">
            <v>44500000</v>
          </cell>
          <cell r="O1158">
            <v>4350060</v>
          </cell>
          <cell r="P1158">
            <v>45390000</v>
          </cell>
          <cell r="Q1158">
            <v>90780000</v>
          </cell>
          <cell r="R1158">
            <v>4437061.2</v>
          </cell>
          <cell r="S1158">
            <v>8874122.4000000004</v>
          </cell>
          <cell r="T1158">
            <v>49827061.200000003</v>
          </cell>
          <cell r="U1158">
            <v>99654122.400000006</v>
          </cell>
          <cell r="W1158" t="str">
            <v>Teco/td</v>
          </cell>
        </row>
        <row r="1159">
          <cell r="A1159" t="str">
            <v>BoQ_1023</v>
          </cell>
          <cell r="B1159">
            <v>1023</v>
          </cell>
          <cell r="C1159">
            <v>3</v>
          </cell>
          <cell r="D1159" t="str">
            <v>Bình giãn nở hở 300L
300L . open expansion tank</v>
          </cell>
          <cell r="L1159" t="str">
            <v>Bộ</v>
          </cell>
          <cell r="M1159">
            <v>1</v>
          </cell>
          <cell r="N1159">
            <v>950000</v>
          </cell>
          <cell r="O1159">
            <v>562500</v>
          </cell>
          <cell r="P1159">
            <v>969000</v>
          </cell>
          <cell r="Q1159">
            <v>969000</v>
          </cell>
          <cell r="R1159">
            <v>573750</v>
          </cell>
          <cell r="S1159">
            <v>573750</v>
          </cell>
          <cell r="T1159">
            <v>1542750</v>
          </cell>
          <cell r="U1159">
            <v>1542750</v>
          </cell>
          <cell r="W1159" t="str">
            <v>Việt nam</v>
          </cell>
        </row>
        <row r="1160">
          <cell r="A1160" t="str">
            <v>BoQ_1024</v>
          </cell>
          <cell r="B1160">
            <v>1024</v>
          </cell>
          <cell r="C1160">
            <v>4</v>
          </cell>
          <cell r="D1160" t="str">
            <v>Bộ xử lý không khí AHU loại treo trần nối ống gió
Ducted ceiling mounted AHU air handler</v>
          </cell>
          <cell r="E1160" t="str">
            <v>Model: KDC120F-40L4
Lưu lượng:12,000CMH
Cột áp quạt: ESP400
Công suất lạnh: 69.3 kW
Công suất điện: 3.0 kW</v>
          </cell>
          <cell r="L1160" t="str">
            <v>Bộ</v>
          </cell>
          <cell r="M1160">
            <v>2</v>
          </cell>
          <cell r="N1160">
            <v>78900000</v>
          </cell>
          <cell r="O1160">
            <v>4250000</v>
          </cell>
          <cell r="P1160">
            <v>80478000</v>
          </cell>
          <cell r="Q1160">
            <v>160956000</v>
          </cell>
          <cell r="R1160">
            <v>4335000</v>
          </cell>
          <cell r="S1160">
            <v>8670000</v>
          </cell>
          <cell r="T1160">
            <v>84813000</v>
          </cell>
          <cell r="U1160">
            <v>169626000</v>
          </cell>
          <cell r="W1160" t="str">
            <v>KingAir</v>
          </cell>
        </row>
        <row r="1161">
          <cell r="A1161" t="str">
            <v>BoQ_1025</v>
          </cell>
          <cell r="B1161">
            <v>1025</v>
          </cell>
          <cell r="C1161">
            <v>5</v>
          </cell>
          <cell r="D1161" t="str">
            <v>Bộ xử lý không khí AHU loại treo trần nối ống gió
Ducted ceiling mounted AHU air handler</v>
          </cell>
          <cell r="E1161" t="str">
            <v>Model: KDC120F-40L4
Lưu lượng:12,000CMH
Cột áp quạt: ESP400
Công suất lạnh: 69.3 kW
Công suất điện: 3.0 kW</v>
          </cell>
          <cell r="L1161" t="str">
            <v>Bộ</v>
          </cell>
          <cell r="M1161">
            <v>0</v>
          </cell>
          <cell r="N1161">
            <v>78900000</v>
          </cell>
          <cell r="O1161">
            <v>4250000</v>
          </cell>
          <cell r="P1161">
            <v>80478000</v>
          </cell>
          <cell r="Q1161">
            <v>0</v>
          </cell>
          <cell r="R1161">
            <v>4335000</v>
          </cell>
          <cell r="S1161">
            <v>0</v>
          </cell>
          <cell r="T1161">
            <v>84813000</v>
          </cell>
          <cell r="U1161">
            <v>0</v>
          </cell>
        </row>
        <row r="1162">
          <cell r="A1162" t="str">
            <v>BoQ_1026</v>
          </cell>
          <cell r="B1162">
            <v>1026</v>
          </cell>
          <cell r="C1162">
            <v>6</v>
          </cell>
          <cell r="D1162" t="str">
            <v>Dàn lạnh FCU treo trần nối ống gió
Ceiling mounted FCU indoor unit with duct connection</v>
          </cell>
          <cell r="E1162" t="str">
            <v>Model: KLR2400CF-5LBF-AA
Công suất lạnh: 22.5 kW
Công suất điện: 1.0 kW
1Ph/220V/50hz</v>
          </cell>
          <cell r="L1162" t="str">
            <v>Bộ</v>
          </cell>
          <cell r="M1162">
            <v>7</v>
          </cell>
          <cell r="N1162">
            <v>20100000</v>
          </cell>
          <cell r="O1162">
            <v>3077498</v>
          </cell>
          <cell r="P1162">
            <v>20502000</v>
          </cell>
          <cell r="Q1162">
            <v>143514000</v>
          </cell>
          <cell r="R1162">
            <v>3139047.96</v>
          </cell>
          <cell r="S1162">
            <v>21973335.719999999</v>
          </cell>
          <cell r="T1162">
            <v>23641047.960000001</v>
          </cell>
          <cell r="U1162">
            <v>165487335.72</v>
          </cell>
        </row>
        <row r="1163">
          <cell r="A1163" t="str">
            <v>BoQ_1027</v>
          </cell>
          <cell r="B1163">
            <v>1027</v>
          </cell>
          <cell r="C1163">
            <v>7</v>
          </cell>
          <cell r="D1163" t="str">
            <v>Dàn lạnh FCU treo trần nối ống gió
Ceiling mounted FCU indoor unit with duct connection</v>
          </cell>
          <cell r="E1163" t="str">
            <v>Model: KCR1200CF-5LBF-AA
Công suất lạnh: 11.07 kW
Công suất điện: 0.243 kW
1Ph/220V/50hz</v>
          </cell>
          <cell r="L1163" t="str">
            <v>Bộ</v>
          </cell>
          <cell r="M1163">
            <v>1</v>
          </cell>
          <cell r="N1163">
            <v>10900000</v>
          </cell>
          <cell r="O1163">
            <v>1431496</v>
          </cell>
          <cell r="P1163">
            <v>11118000</v>
          </cell>
          <cell r="Q1163">
            <v>11118000</v>
          </cell>
          <cell r="R1163">
            <v>1460125.92</v>
          </cell>
          <cell r="S1163">
            <v>1460125.92</v>
          </cell>
          <cell r="T1163">
            <v>12578125.92</v>
          </cell>
          <cell r="U1163">
            <v>12578125.92</v>
          </cell>
        </row>
        <row r="1164">
          <cell r="A1164" t="str">
            <v>BoQ_1028</v>
          </cell>
          <cell r="B1164">
            <v>1028</v>
          </cell>
          <cell r="C1164">
            <v>8</v>
          </cell>
          <cell r="D1164" t="str">
            <v>Dàn lạnh FCU treo trần nối ống gió
Ceiling mounted FCU indoor unit with duct connection</v>
          </cell>
          <cell r="E1164" t="str">
            <v>Model: KCR1000CF-5LBF-AA
Công suất lạnh: 10.02 kW
Công suất điện: 0.204 kW
1Ph/220V/50hz</v>
          </cell>
          <cell r="L1164" t="str">
            <v>Bộ</v>
          </cell>
          <cell r="M1164">
            <v>1</v>
          </cell>
          <cell r="N1164">
            <v>9500000</v>
          </cell>
          <cell r="O1164">
            <v>1055075</v>
          </cell>
          <cell r="P1164">
            <v>9690000</v>
          </cell>
          <cell r="Q1164">
            <v>9690000</v>
          </cell>
          <cell r="R1164">
            <v>1076176.5</v>
          </cell>
          <cell r="S1164">
            <v>1076176.5</v>
          </cell>
          <cell r="T1164">
            <v>10766176.5</v>
          </cell>
          <cell r="U1164">
            <v>10766176.5</v>
          </cell>
        </row>
        <row r="1165">
          <cell r="A1165" t="str">
            <v>BoQ_1029</v>
          </cell>
          <cell r="B1165">
            <v>1029</v>
          </cell>
          <cell r="C1165">
            <v>9</v>
          </cell>
          <cell r="D1165" t="str">
            <v>Dàn lạnh FCU treo trần nối ống gió
Ceiling mounted FCU indoor unit with duct connection</v>
          </cell>
          <cell r="E1165" t="str">
            <v>Model: KCR800CF-5LBF-AA
Công suất lạnh: 7.37 kW
Công suất điện: 0.169 kW
1Ph/220V/50hz</v>
          </cell>
          <cell r="L1165" t="str">
            <v>Bộ</v>
          </cell>
          <cell r="M1165">
            <v>1</v>
          </cell>
          <cell r="N1165">
            <v>7200000</v>
          </cell>
          <cell r="O1165">
            <v>1055075</v>
          </cell>
          <cell r="P1165">
            <v>7344000</v>
          </cell>
          <cell r="Q1165">
            <v>7344000</v>
          </cell>
          <cell r="R1165">
            <v>1076176.5</v>
          </cell>
          <cell r="S1165">
            <v>1076176.5</v>
          </cell>
          <cell r="T1165">
            <v>8420176.5</v>
          </cell>
          <cell r="U1165">
            <v>8420176.5</v>
          </cell>
        </row>
        <row r="1166">
          <cell r="A1166" t="str">
            <v>BoQ_1030</v>
          </cell>
          <cell r="B1166">
            <v>1030</v>
          </cell>
          <cell r="C1166">
            <v>10</v>
          </cell>
          <cell r="D1166" t="str">
            <v>Dàn lạnh FCU treo trần nối ống gió
Ceiling mounted FCU indoor unit with duct connection</v>
          </cell>
          <cell r="E1166" t="str">
            <v>Model: KCR600CF-5LBF-AA
Công suất lạnh: 6.0 kW
Công suất điện: 0.114 kW
1Ph/220V/50hz</v>
          </cell>
          <cell r="L1166" t="str">
            <v>Bộ</v>
          </cell>
          <cell r="M1166">
            <v>4</v>
          </cell>
          <cell r="N1166">
            <v>5800000</v>
          </cell>
          <cell r="O1166">
            <v>773025</v>
          </cell>
          <cell r="P1166">
            <v>5916000</v>
          </cell>
          <cell r="Q1166">
            <v>23664000</v>
          </cell>
          <cell r="R1166">
            <v>788485.5</v>
          </cell>
          <cell r="S1166">
            <v>3153942</v>
          </cell>
          <cell r="T1166">
            <v>6704485.5</v>
          </cell>
          <cell r="U1166">
            <v>26817942</v>
          </cell>
        </row>
        <row r="1167">
          <cell r="A1167" t="str">
            <v>BoQ_1031</v>
          </cell>
          <cell r="B1167">
            <v>1031</v>
          </cell>
          <cell r="C1167">
            <v>11</v>
          </cell>
          <cell r="D1167" t="str">
            <v>Bộ điều khiển nhiệt độ (dây)
Temperature controller (wire)</v>
          </cell>
          <cell r="L1167" t="str">
            <v>Bộ</v>
          </cell>
          <cell r="M1167">
            <v>14</v>
          </cell>
          <cell r="N1167">
            <v>0</v>
          </cell>
          <cell r="O1167">
            <v>187500</v>
          </cell>
          <cell r="P1167">
            <v>0</v>
          </cell>
          <cell r="Q1167">
            <v>0</v>
          </cell>
          <cell r="R1167">
            <v>191250</v>
          </cell>
          <cell r="S1167">
            <v>2677500</v>
          </cell>
          <cell r="T1167">
            <v>191250</v>
          </cell>
          <cell r="U1167">
            <v>2677500</v>
          </cell>
        </row>
        <row r="1168">
          <cell r="A1168" t="str">
            <v>BoQ_1032</v>
          </cell>
          <cell r="B1168">
            <v>1032</v>
          </cell>
          <cell r="C1168">
            <v>12</v>
          </cell>
          <cell r="D1168" t="str">
            <v>Tháp giải nhiệt 50RT
Cooling tower 50RT</v>
          </cell>
          <cell r="E1168" t="str">
            <v>Model: KST-N-60
Công suất điện: 1.5 (kW)</v>
          </cell>
          <cell r="L1168" t="str">
            <v>Bộ</v>
          </cell>
          <cell r="M1168">
            <v>1</v>
          </cell>
          <cell r="N1168">
            <v>22856000</v>
          </cell>
          <cell r="O1168">
            <v>1566943</v>
          </cell>
          <cell r="P1168">
            <v>23313120</v>
          </cell>
          <cell r="Q1168">
            <v>23313120</v>
          </cell>
          <cell r="R1168">
            <v>1598281.86</v>
          </cell>
          <cell r="S1168">
            <v>1598281.86</v>
          </cell>
          <cell r="T1168">
            <v>24911401.859999999</v>
          </cell>
          <cell r="U1168">
            <v>24911401.859999999</v>
          </cell>
          <cell r="W1168" t="str">
            <v>Kingsun/td</v>
          </cell>
        </row>
        <row r="1169">
          <cell r="A1169" t="str">
            <v>BoQ_1033</v>
          </cell>
          <cell r="B1169">
            <v>1033</v>
          </cell>
          <cell r="C1169">
            <v>13</v>
          </cell>
          <cell r="D1169" t="str">
            <v>Bơm nước giải nhiệt
Cooling water pump</v>
          </cell>
          <cell r="E1169" t="str">
            <v>Lưu lượng: 31.6 m3/h
Cột áp: 15 mH2O
Công suất điện: 3.0 kW</v>
          </cell>
          <cell r="L1169" t="str">
            <v>Bộ</v>
          </cell>
          <cell r="M1169">
            <v>1</v>
          </cell>
          <cell r="N1169">
            <v>24500000</v>
          </cell>
          <cell r="O1169">
            <v>1025000</v>
          </cell>
          <cell r="P1169">
            <v>24990000</v>
          </cell>
          <cell r="Q1169">
            <v>24990000</v>
          </cell>
          <cell r="R1169">
            <v>1045500</v>
          </cell>
          <cell r="S1169">
            <v>1045500</v>
          </cell>
          <cell r="T1169">
            <v>26035500</v>
          </cell>
          <cell r="U1169">
            <v>26035500</v>
          </cell>
          <cell r="W1169" t="str">
            <v>Teco/td</v>
          </cell>
        </row>
        <row r="1170">
          <cell r="A1170" t="str">
            <v>BoQ_1034</v>
          </cell>
          <cell r="B1170">
            <v>1034</v>
          </cell>
          <cell r="C1170">
            <v>14</v>
          </cell>
          <cell r="D1170" t="str">
            <v>Package/ Điều hoà tủ đứng</v>
          </cell>
          <cell r="E1170" t="str">
            <v>Model: KPW160C2
Lưu lượng: 27,000CMH
Cột áp quạt: ESP300
Công suất lạnh: 150 kW
Công suất điện: 40.5 kW</v>
          </cell>
          <cell r="L1170" t="str">
            <v>Bộ</v>
          </cell>
          <cell r="M1170">
            <v>1</v>
          </cell>
          <cell r="N1170">
            <v>338500000</v>
          </cell>
          <cell r="O1170">
            <v>8125000</v>
          </cell>
          <cell r="P1170">
            <v>345270000</v>
          </cell>
          <cell r="Q1170">
            <v>345270000</v>
          </cell>
          <cell r="R1170">
            <v>8287500</v>
          </cell>
          <cell r="S1170">
            <v>8287500</v>
          </cell>
          <cell r="T1170">
            <v>353557500</v>
          </cell>
          <cell r="U1170">
            <v>353557500</v>
          </cell>
        </row>
        <row r="1171">
          <cell r="A1171" t="str">
            <v>BoQ_1035</v>
          </cell>
          <cell r="B1171">
            <v>1035</v>
          </cell>
          <cell r="C1171">
            <v>15</v>
          </cell>
          <cell r="D1171" t="str">
            <v>Giá đỡ dàn lạnh
Indoor unit rack</v>
          </cell>
          <cell r="L1171" t="str">
            <v>Bộ</v>
          </cell>
          <cell r="M1171">
            <v>17</v>
          </cell>
          <cell r="N1171">
            <v>1562500</v>
          </cell>
          <cell r="O1171">
            <v>864000</v>
          </cell>
          <cell r="P1171">
            <v>1593750</v>
          </cell>
          <cell r="Q1171">
            <v>27093750</v>
          </cell>
          <cell r="R1171">
            <v>881280</v>
          </cell>
          <cell r="S1171">
            <v>14981760</v>
          </cell>
          <cell r="T1171">
            <v>2475030</v>
          </cell>
          <cell r="U1171">
            <v>42075510</v>
          </cell>
          <cell r="W1171" t="str">
            <v>Việt nam</v>
          </cell>
        </row>
        <row r="1172">
          <cell r="A1172" t="str">
            <v>BoQ_1036</v>
          </cell>
          <cell r="B1172">
            <v>1036</v>
          </cell>
          <cell r="C1172">
            <v>16</v>
          </cell>
          <cell r="D1172" t="str">
            <v>Bệ kết cấu cho chiller, bơm
Structural base for chiller, pump</v>
          </cell>
          <cell r="L1172" t="str">
            <v>Lô</v>
          </cell>
          <cell r="M1172">
            <v>1</v>
          </cell>
          <cell r="N1172">
            <v>10529200</v>
          </cell>
          <cell r="O1172">
            <v>4548600</v>
          </cell>
          <cell r="P1172">
            <v>10739784</v>
          </cell>
          <cell r="Q1172">
            <v>10739784</v>
          </cell>
          <cell r="R1172">
            <v>4639572</v>
          </cell>
          <cell r="S1172">
            <v>4639572</v>
          </cell>
          <cell r="T1172">
            <v>15379356</v>
          </cell>
          <cell r="U1172">
            <v>15379356</v>
          </cell>
        </row>
        <row r="1173">
          <cell r="A1173" t="str">
            <v>BoQ_1037</v>
          </cell>
          <cell r="B1173">
            <v>1037</v>
          </cell>
          <cell r="C1173">
            <v>17</v>
          </cell>
          <cell r="D1173" t="str">
            <v>Đệm cao su cho bơm, chiller
Rubber gasket for pump, chiller</v>
          </cell>
          <cell r="L1173" t="str">
            <v>Lô</v>
          </cell>
          <cell r="M1173">
            <v>1</v>
          </cell>
          <cell r="N1173">
            <v>1031300</v>
          </cell>
          <cell r="O1173">
            <v>141800</v>
          </cell>
          <cell r="P1173">
            <v>1051926</v>
          </cell>
          <cell r="Q1173">
            <v>1051926</v>
          </cell>
          <cell r="R1173">
            <v>144636</v>
          </cell>
          <cell r="S1173">
            <v>144636</v>
          </cell>
          <cell r="T1173">
            <v>1196562</v>
          </cell>
          <cell r="U1173">
            <v>1196562</v>
          </cell>
        </row>
        <row r="1174">
          <cell r="A1174" t="str">
            <v>BoQ_1038</v>
          </cell>
          <cell r="B1174">
            <v>1038</v>
          </cell>
          <cell r="C1174">
            <v>18</v>
          </cell>
          <cell r="D1174" t="str">
            <v>Vật tư phụ</v>
          </cell>
          <cell r="L1174" t="str">
            <v>Lô</v>
          </cell>
          <cell r="M1174">
            <v>1</v>
          </cell>
          <cell r="N1174">
            <v>6875000</v>
          </cell>
          <cell r="O1174">
            <v>2025000</v>
          </cell>
          <cell r="P1174">
            <v>7012500</v>
          </cell>
          <cell r="Q1174">
            <v>7012500</v>
          </cell>
          <cell r="R1174">
            <v>2065500</v>
          </cell>
          <cell r="S1174">
            <v>2065500</v>
          </cell>
          <cell r="T1174">
            <v>9078000</v>
          </cell>
          <cell r="U1174">
            <v>9078000</v>
          </cell>
        </row>
        <row r="1175">
          <cell r="C1175" t="str">
            <v>II</v>
          </cell>
          <cell r="D1175" t="str">
            <v>HỆ THỐNG ĐƯỜNG ỐNG VÀ PHỤ 
PLUMBING SYSTEMS AND ACCESSORIES</v>
          </cell>
        </row>
        <row r="1176">
          <cell r="C1176">
            <v>1</v>
          </cell>
          <cell r="D1176" t="str">
            <v>Ống nước lạnh - thép tráng kẽm
Cold water pipe - galvanized steel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</row>
        <row r="1177">
          <cell r="A1177" t="str">
            <v>BoQ_1039</v>
          </cell>
          <cell r="B1177">
            <v>1039</v>
          </cell>
          <cell r="D1177" t="str">
            <v>DN150, dày 4.78mm</v>
          </cell>
          <cell r="L1177" t="str">
            <v>M</v>
          </cell>
          <cell r="M1177">
            <v>0</v>
          </cell>
          <cell r="N1177">
            <v>516786</v>
          </cell>
          <cell r="O1177">
            <v>26900</v>
          </cell>
          <cell r="P1177">
            <v>527121.72</v>
          </cell>
          <cell r="Q1177">
            <v>0</v>
          </cell>
          <cell r="R1177">
            <v>27438</v>
          </cell>
          <cell r="S1177">
            <v>0</v>
          </cell>
          <cell r="T1177">
            <v>554559.72</v>
          </cell>
          <cell r="U1177">
            <v>0</v>
          </cell>
          <cell r="W1177" t="str">
            <v>Hòa Phát/ Seah/td</v>
          </cell>
        </row>
        <row r="1178">
          <cell r="A1178" t="str">
            <v>BoQ_1040</v>
          </cell>
          <cell r="B1178">
            <v>1040</v>
          </cell>
          <cell r="D1178" t="str">
            <v>DN125, dày 4.78mm</v>
          </cell>
          <cell r="L1178" t="str">
            <v>M</v>
          </cell>
          <cell r="M1178">
            <v>78</v>
          </cell>
          <cell r="N1178">
            <v>431500</v>
          </cell>
          <cell r="O1178">
            <v>229800</v>
          </cell>
          <cell r="P1178">
            <v>440130</v>
          </cell>
          <cell r="Q1178">
            <v>34330140</v>
          </cell>
          <cell r="R1178">
            <v>234396</v>
          </cell>
          <cell r="S1178">
            <v>18282888</v>
          </cell>
          <cell r="T1178">
            <v>674526</v>
          </cell>
          <cell r="U1178">
            <v>52613028</v>
          </cell>
          <cell r="W1178" t="str">
            <v>Hòa Phát/ Seah/td</v>
          </cell>
        </row>
        <row r="1179">
          <cell r="A1179" t="str">
            <v>BoQ_1041</v>
          </cell>
          <cell r="B1179">
            <v>1041</v>
          </cell>
          <cell r="D1179" t="str">
            <v>DN100, dày 4.0mm</v>
          </cell>
          <cell r="L1179" t="str">
            <v>M</v>
          </cell>
          <cell r="M1179">
            <v>132</v>
          </cell>
          <cell r="N1179">
            <v>284900</v>
          </cell>
          <cell r="O1179">
            <v>176600</v>
          </cell>
          <cell r="P1179">
            <v>290598</v>
          </cell>
          <cell r="Q1179">
            <v>38358936</v>
          </cell>
          <cell r="R1179">
            <v>180132</v>
          </cell>
          <cell r="S1179">
            <v>23777424</v>
          </cell>
          <cell r="T1179">
            <v>470730</v>
          </cell>
          <cell r="U1179">
            <v>62136360</v>
          </cell>
          <cell r="W1179" t="str">
            <v>Hòa Phát/ Seah/td</v>
          </cell>
        </row>
        <row r="1180">
          <cell r="A1180" t="str">
            <v>BoQ_1042</v>
          </cell>
          <cell r="B1180">
            <v>1042</v>
          </cell>
          <cell r="D1180" t="str">
            <v>DN80, dày 3.6mm</v>
          </cell>
          <cell r="L1180" t="str">
            <v>M</v>
          </cell>
          <cell r="M1180">
            <v>120</v>
          </cell>
          <cell r="N1180">
            <v>198400</v>
          </cell>
          <cell r="O1180">
            <v>140000</v>
          </cell>
          <cell r="P1180">
            <v>202368</v>
          </cell>
          <cell r="Q1180">
            <v>24284160</v>
          </cell>
          <cell r="R1180">
            <v>142800</v>
          </cell>
          <cell r="S1180">
            <v>17136000</v>
          </cell>
          <cell r="T1180">
            <v>345168</v>
          </cell>
          <cell r="U1180">
            <v>41420160</v>
          </cell>
          <cell r="W1180" t="str">
            <v>Hòa Phát/ Seah/td</v>
          </cell>
        </row>
        <row r="1181">
          <cell r="A1181" t="str">
            <v>BoQ_1043</v>
          </cell>
          <cell r="B1181">
            <v>1043</v>
          </cell>
          <cell r="D1181" t="str">
            <v>DN65, dày 3.2 mm</v>
          </cell>
          <cell r="L1181" t="str">
            <v>M</v>
          </cell>
          <cell r="M1181">
            <v>84</v>
          </cell>
          <cell r="N1181">
            <v>150600</v>
          </cell>
          <cell r="O1181">
            <v>114400</v>
          </cell>
          <cell r="P1181">
            <v>153612</v>
          </cell>
          <cell r="Q1181">
            <v>12903408</v>
          </cell>
          <cell r="R1181">
            <v>116688</v>
          </cell>
          <cell r="S1181">
            <v>9801792</v>
          </cell>
          <cell r="T1181">
            <v>270300</v>
          </cell>
          <cell r="U1181">
            <v>22705200</v>
          </cell>
          <cell r="W1181" t="str">
            <v>Hòa Phát/ Seah/td</v>
          </cell>
        </row>
        <row r="1182">
          <cell r="A1182" t="str">
            <v>BoQ_1044</v>
          </cell>
          <cell r="B1182">
            <v>1044</v>
          </cell>
          <cell r="D1182" t="str">
            <v>DN50, dày 3.2mm</v>
          </cell>
          <cell r="L1182" t="str">
            <v>M</v>
          </cell>
          <cell r="M1182">
            <v>16</v>
          </cell>
          <cell r="N1182">
            <v>118100</v>
          </cell>
          <cell r="O1182">
            <v>95800</v>
          </cell>
          <cell r="P1182">
            <v>120462</v>
          </cell>
          <cell r="Q1182">
            <v>1927392</v>
          </cell>
          <cell r="R1182">
            <v>97716</v>
          </cell>
          <cell r="S1182">
            <v>1563456</v>
          </cell>
          <cell r="T1182">
            <v>218178</v>
          </cell>
          <cell r="U1182">
            <v>3490848</v>
          </cell>
          <cell r="W1182" t="str">
            <v>Hòa Phát/ Seah/td</v>
          </cell>
        </row>
        <row r="1183">
          <cell r="A1183" t="str">
            <v>BoQ_1045</v>
          </cell>
          <cell r="B1183">
            <v>1045</v>
          </cell>
          <cell r="D1183" t="str">
            <v>DN40, dày 2.9mm</v>
          </cell>
          <cell r="L1183" t="str">
            <v>M</v>
          </cell>
          <cell r="M1183">
            <v>90</v>
          </cell>
          <cell r="N1183">
            <v>85200</v>
          </cell>
          <cell r="O1183">
            <v>76200</v>
          </cell>
          <cell r="P1183">
            <v>86904</v>
          </cell>
          <cell r="Q1183">
            <v>7821360</v>
          </cell>
          <cell r="R1183">
            <v>77724</v>
          </cell>
          <cell r="S1183">
            <v>6995160</v>
          </cell>
          <cell r="T1183">
            <v>164628</v>
          </cell>
          <cell r="U1183">
            <v>14816520</v>
          </cell>
          <cell r="W1183" t="str">
            <v>Hòa Phát/ Seah/td</v>
          </cell>
        </row>
        <row r="1184">
          <cell r="A1184" t="str">
            <v>BoQ_1046</v>
          </cell>
          <cell r="B1184">
            <v>1046</v>
          </cell>
          <cell r="D1184" t="str">
            <v>DN32, dày 2.9mm</v>
          </cell>
          <cell r="L1184" t="str">
            <v>M</v>
          </cell>
          <cell r="M1184">
            <v>72</v>
          </cell>
          <cell r="N1184">
            <v>74200</v>
          </cell>
          <cell r="O1184">
            <v>60800</v>
          </cell>
          <cell r="P1184">
            <v>75684</v>
          </cell>
          <cell r="Q1184">
            <v>5449248</v>
          </cell>
          <cell r="R1184">
            <v>62016</v>
          </cell>
          <cell r="S1184">
            <v>4465152</v>
          </cell>
          <cell r="T1184">
            <v>137700</v>
          </cell>
          <cell r="U1184">
            <v>9914400</v>
          </cell>
          <cell r="W1184" t="str">
            <v>Hòa Phát/ Seah/td</v>
          </cell>
        </row>
        <row r="1185">
          <cell r="A1185" t="str">
            <v>BoQ_1047</v>
          </cell>
          <cell r="B1185">
            <v>1047</v>
          </cell>
          <cell r="D1185" t="str">
            <v>DN25, dày 2.6mm</v>
          </cell>
          <cell r="L1185" t="str">
            <v>M</v>
          </cell>
          <cell r="M1185">
            <v>48</v>
          </cell>
          <cell r="N1185">
            <v>52300</v>
          </cell>
          <cell r="O1185">
            <v>60800</v>
          </cell>
          <cell r="P1185">
            <v>53346</v>
          </cell>
          <cell r="Q1185">
            <v>2560608</v>
          </cell>
          <cell r="R1185">
            <v>62016</v>
          </cell>
          <cell r="S1185">
            <v>2976768</v>
          </cell>
          <cell r="T1185">
            <v>115362</v>
          </cell>
          <cell r="U1185">
            <v>5537376</v>
          </cell>
          <cell r="W1185" t="str">
            <v>Hòa Phát/ Seah/td</v>
          </cell>
        </row>
        <row r="1186">
          <cell r="A1186" t="str">
            <v>BoQ_1048</v>
          </cell>
          <cell r="B1186">
            <v>1048</v>
          </cell>
          <cell r="D1186" t="str">
            <v>DN15, dày 2.6mm</v>
          </cell>
          <cell r="L1186" t="str">
            <v>M</v>
          </cell>
          <cell r="M1186">
            <v>6</v>
          </cell>
          <cell r="N1186">
            <v>31900</v>
          </cell>
          <cell r="O1186">
            <v>47300</v>
          </cell>
          <cell r="P1186">
            <v>32538</v>
          </cell>
          <cell r="Q1186">
            <v>195228</v>
          </cell>
          <cell r="R1186">
            <v>48246</v>
          </cell>
          <cell r="S1186">
            <v>289476</v>
          </cell>
          <cell r="T1186">
            <v>80784</v>
          </cell>
          <cell r="U1186">
            <v>484704</v>
          </cell>
          <cell r="W1186" t="str">
            <v>Hòa Phát/ Seah/td</v>
          </cell>
        </row>
        <row r="1187">
          <cell r="A1187" t="str">
            <v>BoQ_1049</v>
          </cell>
          <cell r="B1187">
            <v>1049</v>
          </cell>
          <cell r="D1187" t="str">
            <v>Phụ kiện ống tráng kẽm: Co, tê, giảm, …
Galvanized pipe fittings: Co, numb, reduce, …</v>
          </cell>
          <cell r="L1187" t="str">
            <v>Lô</v>
          </cell>
          <cell r="M1187">
            <v>1</v>
          </cell>
          <cell r="N1187">
            <v>55660500</v>
          </cell>
          <cell r="O1187">
            <v>234900</v>
          </cell>
          <cell r="P1187">
            <v>56773710</v>
          </cell>
          <cell r="Q1187">
            <v>56773710</v>
          </cell>
          <cell r="R1187">
            <v>239598</v>
          </cell>
          <cell r="S1187">
            <v>239598</v>
          </cell>
          <cell r="T1187">
            <v>57013308</v>
          </cell>
          <cell r="U1187">
            <v>57013308</v>
          </cell>
          <cell r="W1187" t="str">
            <v>China</v>
          </cell>
        </row>
        <row r="1188">
          <cell r="C1188">
            <v>2</v>
          </cell>
          <cell r="D1188" t="str">
            <v>Ống nước giải nhiệt - thép tráng kẽm
Cooling water pipe - galvanized steel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</row>
        <row r="1189">
          <cell r="A1189" t="str">
            <v>BoQ_1050</v>
          </cell>
          <cell r="B1189">
            <v>1050</v>
          </cell>
          <cell r="D1189" t="str">
            <v>DN100, dày 4.0mm</v>
          </cell>
          <cell r="L1189" t="str">
            <v>M</v>
          </cell>
          <cell r="M1189">
            <v>36</v>
          </cell>
          <cell r="N1189">
            <v>284900</v>
          </cell>
          <cell r="O1189">
            <v>176600</v>
          </cell>
          <cell r="P1189">
            <v>290598</v>
          </cell>
          <cell r="Q1189">
            <v>10461528</v>
          </cell>
          <cell r="R1189">
            <v>180132</v>
          </cell>
          <cell r="S1189">
            <v>6484752</v>
          </cell>
          <cell r="T1189">
            <v>470730</v>
          </cell>
          <cell r="U1189">
            <v>16946280</v>
          </cell>
          <cell r="W1189" t="str">
            <v>Hòa Phát/ Seah/td</v>
          </cell>
        </row>
        <row r="1190">
          <cell r="A1190" t="str">
            <v>BoQ_1051</v>
          </cell>
          <cell r="B1190">
            <v>1051</v>
          </cell>
          <cell r="D1190" t="str">
            <v>DN15, dày 2.6mm</v>
          </cell>
          <cell r="L1190" t="str">
            <v>M</v>
          </cell>
          <cell r="M1190">
            <v>6</v>
          </cell>
          <cell r="N1190">
            <v>31900</v>
          </cell>
          <cell r="O1190">
            <v>47300</v>
          </cell>
          <cell r="P1190">
            <v>32538</v>
          </cell>
          <cell r="Q1190">
            <v>195228</v>
          </cell>
          <cell r="R1190">
            <v>48246</v>
          </cell>
          <cell r="S1190">
            <v>289476</v>
          </cell>
          <cell r="T1190">
            <v>80784</v>
          </cell>
          <cell r="U1190">
            <v>484704</v>
          </cell>
          <cell r="W1190" t="str">
            <v>Hòa Phát/ Seah/td</v>
          </cell>
        </row>
        <row r="1191">
          <cell r="A1191" t="str">
            <v>BoQ_1052</v>
          </cell>
          <cell r="B1191">
            <v>1052</v>
          </cell>
          <cell r="D1191" t="str">
            <v>Phụ kiện ống tráng kẽm: Co, tê, giảm, …
Galvanized pipe fittings: Co, numb, reduce, …</v>
          </cell>
          <cell r="L1191" t="str">
            <v>Lô</v>
          </cell>
          <cell r="M1191">
            <v>1</v>
          </cell>
          <cell r="N1191">
            <v>4407400</v>
          </cell>
          <cell r="O1191">
            <v>66600</v>
          </cell>
          <cell r="P1191">
            <v>4495548</v>
          </cell>
          <cell r="Q1191">
            <v>4495548</v>
          </cell>
          <cell r="R1191">
            <v>67932</v>
          </cell>
          <cell r="S1191">
            <v>67932</v>
          </cell>
          <cell r="T1191">
            <v>4563480</v>
          </cell>
          <cell r="U1191">
            <v>4563480</v>
          </cell>
          <cell r="W1191" t="str">
            <v>China</v>
          </cell>
        </row>
        <row r="1192">
          <cell r="C1192">
            <v>3</v>
          </cell>
          <cell r="D1192" t="str">
            <v>Cách nhiệt ống chiller
Insulation of chiller pipes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</row>
        <row r="1193">
          <cell r="A1193" t="str">
            <v>BoQ_1053</v>
          </cell>
          <cell r="B1193">
            <v>1053</v>
          </cell>
          <cell r="D1193" t="str">
            <v>DN150, dày 50mm</v>
          </cell>
          <cell r="L1193" t="str">
            <v>M</v>
          </cell>
          <cell r="M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W1193" t="str">
            <v>FNS Flex/ HX Flex</v>
          </cell>
        </row>
        <row r="1194">
          <cell r="A1194" t="str">
            <v>BoQ_1054</v>
          </cell>
          <cell r="B1194">
            <v>1054</v>
          </cell>
          <cell r="D1194" t="str">
            <v xml:space="preserve">DN125, dày 40mm </v>
          </cell>
          <cell r="L1194" t="str">
            <v>M</v>
          </cell>
          <cell r="M1194">
            <v>78</v>
          </cell>
          <cell r="N1194">
            <v>261300</v>
          </cell>
          <cell r="O1194">
            <v>70600</v>
          </cell>
          <cell r="P1194">
            <v>266526</v>
          </cell>
          <cell r="Q1194">
            <v>20789028</v>
          </cell>
          <cell r="R1194">
            <v>72012</v>
          </cell>
          <cell r="S1194">
            <v>5616936</v>
          </cell>
          <cell r="T1194">
            <v>338538</v>
          </cell>
          <cell r="U1194">
            <v>26405964</v>
          </cell>
          <cell r="W1194" t="str">
            <v>FNS Flex/ HX Flex</v>
          </cell>
        </row>
        <row r="1195">
          <cell r="A1195" t="str">
            <v>BoQ_1055</v>
          </cell>
          <cell r="B1195">
            <v>1055</v>
          </cell>
          <cell r="D1195" t="str">
            <v xml:space="preserve">DN100, dày 30mm </v>
          </cell>
          <cell r="L1195" t="str">
            <v>M</v>
          </cell>
          <cell r="M1195">
            <v>132</v>
          </cell>
          <cell r="N1195">
            <v>151300</v>
          </cell>
          <cell r="O1195">
            <v>40900</v>
          </cell>
          <cell r="P1195">
            <v>154326</v>
          </cell>
          <cell r="Q1195">
            <v>20371032</v>
          </cell>
          <cell r="R1195">
            <v>41718</v>
          </cell>
          <cell r="S1195">
            <v>5506776</v>
          </cell>
          <cell r="T1195">
            <v>196044</v>
          </cell>
          <cell r="U1195">
            <v>25877808</v>
          </cell>
          <cell r="W1195" t="str">
            <v>FNS Flex/ HX Flex</v>
          </cell>
        </row>
        <row r="1196">
          <cell r="A1196" t="str">
            <v>BoQ_1056</v>
          </cell>
          <cell r="B1196">
            <v>1056</v>
          </cell>
          <cell r="D1196" t="str">
            <v xml:space="preserve">DN80, dày 30mm </v>
          </cell>
          <cell r="L1196" t="str">
            <v>M</v>
          </cell>
          <cell r="M1196">
            <v>120</v>
          </cell>
          <cell r="N1196">
            <v>128800</v>
          </cell>
          <cell r="O1196">
            <v>41800</v>
          </cell>
          <cell r="P1196">
            <v>131376</v>
          </cell>
          <cell r="Q1196">
            <v>15765120</v>
          </cell>
          <cell r="R1196">
            <v>42636</v>
          </cell>
          <cell r="S1196">
            <v>5116320</v>
          </cell>
          <cell r="T1196">
            <v>174012</v>
          </cell>
          <cell r="U1196">
            <v>20881440</v>
          </cell>
          <cell r="W1196" t="str">
            <v>FNS Flex/ HX Flex</v>
          </cell>
        </row>
        <row r="1197">
          <cell r="A1197" t="str">
            <v>BoQ_1057</v>
          </cell>
          <cell r="B1197">
            <v>1057</v>
          </cell>
          <cell r="D1197" t="str">
            <v xml:space="preserve">DN65, dày 30mm </v>
          </cell>
          <cell r="L1197" t="str">
            <v>M</v>
          </cell>
          <cell r="M1197">
            <v>84</v>
          </cell>
          <cell r="N1197">
            <v>113800</v>
          </cell>
          <cell r="O1197">
            <v>36900</v>
          </cell>
          <cell r="P1197">
            <v>116076</v>
          </cell>
          <cell r="Q1197">
            <v>9750384</v>
          </cell>
          <cell r="R1197">
            <v>37638</v>
          </cell>
          <cell r="S1197">
            <v>3161592</v>
          </cell>
          <cell r="T1197">
            <v>153714</v>
          </cell>
          <cell r="U1197">
            <v>12911976</v>
          </cell>
          <cell r="W1197" t="str">
            <v>FNS Flex/ HX Flex</v>
          </cell>
        </row>
        <row r="1198">
          <cell r="A1198" t="str">
            <v>BoQ_1058</v>
          </cell>
          <cell r="B1198">
            <v>1058</v>
          </cell>
          <cell r="D1198" t="str">
            <v xml:space="preserve">DN50, dày 30mm </v>
          </cell>
          <cell r="L1198" t="str">
            <v>M</v>
          </cell>
          <cell r="M1198">
            <v>16</v>
          </cell>
          <cell r="N1198">
            <v>97500</v>
          </cell>
          <cell r="O1198">
            <v>31600</v>
          </cell>
          <cell r="P1198">
            <v>99450</v>
          </cell>
          <cell r="Q1198">
            <v>1591200</v>
          </cell>
          <cell r="R1198">
            <v>32232</v>
          </cell>
          <cell r="S1198">
            <v>515712</v>
          </cell>
          <cell r="T1198">
            <v>131682</v>
          </cell>
          <cell r="U1198">
            <v>2106912</v>
          </cell>
          <cell r="W1198" t="str">
            <v>FNS Flex/ HX Flex</v>
          </cell>
        </row>
        <row r="1199">
          <cell r="A1199" t="str">
            <v>BoQ_1059</v>
          </cell>
          <cell r="B1199">
            <v>1059</v>
          </cell>
          <cell r="D1199" t="str">
            <v xml:space="preserve">DN40, dày 30mm </v>
          </cell>
          <cell r="L1199" t="str">
            <v>M</v>
          </cell>
          <cell r="M1199">
            <v>90</v>
          </cell>
          <cell r="N1199">
            <v>85000</v>
          </cell>
          <cell r="O1199">
            <v>29700</v>
          </cell>
          <cell r="P1199">
            <v>86700</v>
          </cell>
          <cell r="Q1199">
            <v>7803000</v>
          </cell>
          <cell r="R1199">
            <v>30294</v>
          </cell>
          <cell r="S1199">
            <v>2726460</v>
          </cell>
          <cell r="T1199">
            <v>116994</v>
          </cell>
          <cell r="U1199">
            <v>10529460</v>
          </cell>
          <cell r="W1199" t="str">
            <v>FNS Flex/ HX Flex</v>
          </cell>
        </row>
        <row r="1200">
          <cell r="A1200" t="str">
            <v>BoQ_1060</v>
          </cell>
          <cell r="B1200">
            <v>1060</v>
          </cell>
          <cell r="D1200" t="str">
            <v xml:space="preserve">DN32, dày 25mm </v>
          </cell>
          <cell r="L1200" t="str">
            <v>M</v>
          </cell>
          <cell r="M1200">
            <v>72</v>
          </cell>
          <cell r="N1200">
            <v>52500</v>
          </cell>
          <cell r="O1200">
            <v>29700</v>
          </cell>
          <cell r="P1200">
            <v>53550</v>
          </cell>
          <cell r="Q1200">
            <v>3855600</v>
          </cell>
          <cell r="R1200">
            <v>30294</v>
          </cell>
          <cell r="S1200">
            <v>2181168</v>
          </cell>
          <cell r="T1200">
            <v>83844</v>
          </cell>
          <cell r="U1200">
            <v>6036768</v>
          </cell>
          <cell r="W1200" t="str">
            <v>FNS Flex/ HX Flex</v>
          </cell>
        </row>
        <row r="1201">
          <cell r="A1201" t="str">
            <v>BoQ_1061</v>
          </cell>
          <cell r="B1201">
            <v>1061</v>
          </cell>
          <cell r="D1201" t="str">
            <v xml:space="preserve">DN25, dày 25mm </v>
          </cell>
          <cell r="L1201" t="str">
            <v>M</v>
          </cell>
          <cell r="M1201">
            <v>48</v>
          </cell>
          <cell r="N1201">
            <v>46300</v>
          </cell>
          <cell r="O1201">
            <v>29700</v>
          </cell>
          <cell r="P1201">
            <v>47226</v>
          </cell>
          <cell r="Q1201">
            <v>2266848</v>
          </cell>
          <cell r="R1201">
            <v>30294</v>
          </cell>
          <cell r="S1201">
            <v>1454112</v>
          </cell>
          <cell r="T1201">
            <v>77520</v>
          </cell>
          <cell r="U1201">
            <v>3720960</v>
          </cell>
          <cell r="W1201" t="str">
            <v>FNS Flex/ HX Flex</v>
          </cell>
        </row>
        <row r="1202">
          <cell r="A1202" t="str">
            <v>BoQ_1062</v>
          </cell>
          <cell r="B1202">
            <v>1062</v>
          </cell>
          <cell r="D1202" t="str">
            <v xml:space="preserve">DN15, dày 25mm </v>
          </cell>
          <cell r="L1202" t="str">
            <v>M</v>
          </cell>
          <cell r="M1202">
            <v>6</v>
          </cell>
          <cell r="N1202">
            <v>36200</v>
          </cell>
          <cell r="O1202">
            <v>29700</v>
          </cell>
          <cell r="P1202">
            <v>36924</v>
          </cell>
          <cell r="Q1202">
            <v>221544</v>
          </cell>
          <cell r="R1202">
            <v>30294</v>
          </cell>
          <cell r="S1202">
            <v>181764</v>
          </cell>
          <cell r="T1202">
            <v>67218</v>
          </cell>
          <cell r="U1202">
            <v>403308</v>
          </cell>
          <cell r="W1202" t="str">
            <v>FNS Flex/ HX Flex</v>
          </cell>
        </row>
        <row r="1203">
          <cell r="A1203" t="str">
            <v>BoQ_1063</v>
          </cell>
          <cell r="B1203">
            <v>1063</v>
          </cell>
          <cell r="D1203" t="str">
            <v>Cách nhiệt phụ kiên đường ống (van, co , tê,….)
Insulation of pipe fittings (valves, constrictors, numbness, etc.)</v>
          </cell>
          <cell r="L1203" t="str">
            <v>Lô</v>
          </cell>
          <cell r="M1203">
            <v>1</v>
          </cell>
          <cell r="N1203">
            <v>16154900</v>
          </cell>
          <cell r="O1203">
            <v>63100</v>
          </cell>
          <cell r="P1203">
            <v>16477998</v>
          </cell>
          <cell r="Q1203">
            <v>16477998</v>
          </cell>
          <cell r="R1203">
            <v>64362</v>
          </cell>
          <cell r="S1203">
            <v>64362</v>
          </cell>
          <cell r="T1203">
            <v>16542360</v>
          </cell>
          <cell r="U1203">
            <v>16542360</v>
          </cell>
          <cell r="W1203" t="str">
            <v>FNS Flex/ HX Flex</v>
          </cell>
        </row>
        <row r="1204">
          <cell r="A1204" t="str">
            <v>BoQ_1064</v>
          </cell>
          <cell r="B1204">
            <v>1064</v>
          </cell>
          <cell r="D1204" t="str">
            <v>Bọc bạc ngoài trời cho hệ thống bảo ôn
Outdoor silver coating for insulation system</v>
          </cell>
          <cell r="L1204" t="str">
            <v>Lô</v>
          </cell>
          <cell r="M1204">
            <v>1</v>
          </cell>
          <cell r="N1204">
            <v>23302500</v>
          </cell>
          <cell r="O1204">
            <v>7550100</v>
          </cell>
          <cell r="P1204">
            <v>23768550</v>
          </cell>
          <cell r="Q1204">
            <v>23768550</v>
          </cell>
          <cell r="R1204">
            <v>7701102</v>
          </cell>
          <cell r="S1204">
            <v>7701102</v>
          </cell>
          <cell r="T1204">
            <v>31469652</v>
          </cell>
          <cell r="U1204">
            <v>31469652</v>
          </cell>
          <cell r="W1204" t="str">
            <v>KingAir</v>
          </cell>
        </row>
        <row r="1205">
          <cell r="C1205">
            <v>4</v>
          </cell>
          <cell r="D1205" t="str">
            <v>Van bướm tay gạt (gang)
Butterfly valve (cast iron)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</row>
        <row r="1206">
          <cell r="A1206" t="str">
            <v>BoQ_1065</v>
          </cell>
          <cell r="B1206">
            <v>1065</v>
          </cell>
          <cell r="D1206" t="str">
            <v xml:space="preserve"> DN125 PN16</v>
          </cell>
          <cell r="L1206" t="str">
            <v>Cái</v>
          </cell>
          <cell r="M1206">
            <v>6</v>
          </cell>
          <cell r="N1206">
            <v>1240000</v>
          </cell>
          <cell r="O1206">
            <v>248700</v>
          </cell>
          <cell r="P1206">
            <v>1264800</v>
          </cell>
          <cell r="Q1206">
            <v>7588800</v>
          </cell>
          <cell r="R1206">
            <v>253674</v>
          </cell>
          <cell r="S1206">
            <v>1522044</v>
          </cell>
          <cell r="T1206">
            <v>1518474</v>
          </cell>
          <cell r="U1206">
            <v>9110844</v>
          </cell>
          <cell r="W1206" t="str">
            <v>Samwoo/ YDK/ 4E/ Miha</v>
          </cell>
        </row>
        <row r="1207">
          <cell r="A1207" t="str">
            <v>BoQ_1066</v>
          </cell>
          <cell r="B1207">
            <v>1066</v>
          </cell>
          <cell r="D1207" t="str">
            <v xml:space="preserve"> DN100 PN16</v>
          </cell>
          <cell r="L1207" t="str">
            <v>Cái</v>
          </cell>
          <cell r="M1207">
            <v>2</v>
          </cell>
          <cell r="N1207">
            <v>960000</v>
          </cell>
          <cell r="O1207">
            <v>196100</v>
          </cell>
          <cell r="P1207">
            <v>979200</v>
          </cell>
          <cell r="Q1207">
            <v>1958400</v>
          </cell>
          <cell r="R1207">
            <v>200022</v>
          </cell>
          <cell r="S1207">
            <v>400044</v>
          </cell>
          <cell r="T1207">
            <v>1179222</v>
          </cell>
          <cell r="U1207">
            <v>2358444</v>
          </cell>
          <cell r="W1207" t="str">
            <v>Samwoo/ YDK/ 4E/ Miha</v>
          </cell>
        </row>
        <row r="1208">
          <cell r="A1208" t="str">
            <v>BoQ_1067</v>
          </cell>
          <cell r="B1208">
            <v>1067</v>
          </cell>
          <cell r="D1208" t="str">
            <v xml:space="preserve"> DN80 PN16</v>
          </cell>
          <cell r="L1208" t="str">
            <v>Cái</v>
          </cell>
          <cell r="M1208">
            <v>3</v>
          </cell>
          <cell r="N1208">
            <v>680000</v>
          </cell>
          <cell r="O1208">
            <v>147600</v>
          </cell>
          <cell r="P1208">
            <v>693600</v>
          </cell>
          <cell r="Q1208">
            <v>2080800</v>
          </cell>
          <cell r="R1208">
            <v>150552</v>
          </cell>
          <cell r="S1208">
            <v>451656</v>
          </cell>
          <cell r="T1208">
            <v>844152</v>
          </cell>
          <cell r="U1208">
            <v>2532456</v>
          </cell>
          <cell r="W1208" t="str">
            <v>Samwoo/ YDK/ 4E/ Miha</v>
          </cell>
        </row>
        <row r="1209">
          <cell r="A1209" t="str">
            <v>BoQ_1068</v>
          </cell>
          <cell r="B1209">
            <v>1068</v>
          </cell>
          <cell r="D1209" t="str">
            <v xml:space="preserve"> DN65 PN16</v>
          </cell>
          <cell r="L1209" t="str">
            <v>Cái</v>
          </cell>
          <cell r="M1209">
            <v>4</v>
          </cell>
          <cell r="N1209">
            <v>606300</v>
          </cell>
          <cell r="O1209">
            <v>123000</v>
          </cell>
          <cell r="P1209">
            <v>618426</v>
          </cell>
          <cell r="Q1209">
            <v>2473704</v>
          </cell>
          <cell r="R1209">
            <v>125460</v>
          </cell>
          <cell r="S1209">
            <v>501840</v>
          </cell>
          <cell r="T1209">
            <v>743886</v>
          </cell>
          <cell r="U1209">
            <v>2975544</v>
          </cell>
          <cell r="W1209" t="str">
            <v>Samwoo/ YDK/ 4E/ Miha</v>
          </cell>
        </row>
        <row r="1210">
          <cell r="C1210">
            <v>5</v>
          </cell>
          <cell r="D1210" t="str">
            <v>Van cổng đồng
Copper Gate Valve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</row>
        <row r="1211">
          <cell r="A1211" t="str">
            <v>BoQ_1069</v>
          </cell>
          <cell r="B1211">
            <v>1069</v>
          </cell>
          <cell r="D1211" t="str">
            <v xml:space="preserve"> DN40 PN16</v>
          </cell>
          <cell r="L1211" t="str">
            <v>Cái</v>
          </cell>
          <cell r="M1211">
            <v>14</v>
          </cell>
          <cell r="N1211">
            <v>330000</v>
          </cell>
          <cell r="O1211">
            <v>72300</v>
          </cell>
          <cell r="P1211">
            <v>336600</v>
          </cell>
          <cell r="Q1211">
            <v>4712400</v>
          </cell>
          <cell r="R1211">
            <v>73746</v>
          </cell>
          <cell r="S1211">
            <v>1032444</v>
          </cell>
          <cell r="T1211">
            <v>410346</v>
          </cell>
          <cell r="U1211">
            <v>5744844</v>
          </cell>
          <cell r="W1211" t="str">
            <v>Samwoo/ YDK/ 4E/ Miha</v>
          </cell>
        </row>
        <row r="1212">
          <cell r="A1212" t="str">
            <v>BoQ_1070</v>
          </cell>
          <cell r="B1212">
            <v>1070</v>
          </cell>
          <cell r="D1212" t="str">
            <v xml:space="preserve"> DN32 PN16</v>
          </cell>
          <cell r="L1212" t="str">
            <v>Cái</v>
          </cell>
          <cell r="M1212">
            <v>4</v>
          </cell>
          <cell r="N1212">
            <v>255000</v>
          </cell>
          <cell r="O1212">
            <v>67400</v>
          </cell>
          <cell r="P1212">
            <v>260100</v>
          </cell>
          <cell r="Q1212">
            <v>1040400</v>
          </cell>
          <cell r="R1212">
            <v>68748</v>
          </cell>
          <cell r="S1212">
            <v>274992</v>
          </cell>
          <cell r="T1212">
            <v>328848</v>
          </cell>
          <cell r="U1212">
            <v>1315392</v>
          </cell>
          <cell r="W1212" t="str">
            <v>Samwoo/ YDK/ 4E/ Miha</v>
          </cell>
        </row>
        <row r="1213">
          <cell r="A1213" t="str">
            <v>BoQ_1071</v>
          </cell>
          <cell r="B1213">
            <v>1071</v>
          </cell>
          <cell r="D1213" t="str">
            <v xml:space="preserve"> DN25 PN16</v>
          </cell>
          <cell r="L1213" t="str">
            <v>Cái</v>
          </cell>
          <cell r="M1213">
            <v>10</v>
          </cell>
          <cell r="N1213">
            <v>180000</v>
          </cell>
          <cell r="O1213">
            <v>59300</v>
          </cell>
          <cell r="P1213">
            <v>183600</v>
          </cell>
          <cell r="Q1213">
            <v>1836000</v>
          </cell>
          <cell r="R1213">
            <v>60486</v>
          </cell>
          <cell r="S1213">
            <v>604860</v>
          </cell>
          <cell r="T1213">
            <v>244086</v>
          </cell>
          <cell r="U1213">
            <v>2440860</v>
          </cell>
          <cell r="W1213" t="str">
            <v>Samwoo/ YDK/ 4E/ Miha</v>
          </cell>
        </row>
        <row r="1214">
          <cell r="C1214">
            <v>6</v>
          </cell>
          <cell r="D1214" t="str">
            <v>Lọc Y
Filter Y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</row>
        <row r="1215">
          <cell r="A1215" t="str">
            <v>BoQ_1072</v>
          </cell>
          <cell r="B1215">
            <v>1072</v>
          </cell>
          <cell r="D1215" t="str">
            <v xml:space="preserve"> DN125 PN16</v>
          </cell>
          <cell r="L1215" t="str">
            <v>Cái</v>
          </cell>
          <cell r="M1215">
            <v>2</v>
          </cell>
          <cell r="N1215">
            <v>2492500</v>
          </cell>
          <cell r="O1215">
            <v>248700</v>
          </cell>
          <cell r="P1215">
            <v>2542350</v>
          </cell>
          <cell r="Q1215">
            <v>5084700</v>
          </cell>
          <cell r="R1215">
            <v>253674</v>
          </cell>
          <cell r="S1215">
            <v>507348</v>
          </cell>
          <cell r="T1215">
            <v>2796024</v>
          </cell>
          <cell r="U1215">
            <v>5592048</v>
          </cell>
          <cell r="W1215" t="str">
            <v>Samwoo/ YDK/ 4E/ Miha</v>
          </cell>
        </row>
        <row r="1216">
          <cell r="A1216" t="str">
            <v>BoQ_1073</v>
          </cell>
          <cell r="B1216">
            <v>1073</v>
          </cell>
          <cell r="D1216" t="str">
            <v xml:space="preserve"> DN65 PN16</v>
          </cell>
          <cell r="L1216" t="str">
            <v>Cái</v>
          </cell>
          <cell r="M1216">
            <v>1</v>
          </cell>
          <cell r="N1216">
            <v>1087500</v>
          </cell>
          <cell r="O1216">
            <v>123000</v>
          </cell>
          <cell r="P1216">
            <v>1109250</v>
          </cell>
          <cell r="Q1216">
            <v>1109250</v>
          </cell>
          <cell r="R1216">
            <v>125460</v>
          </cell>
          <cell r="S1216">
            <v>125460</v>
          </cell>
          <cell r="T1216">
            <v>1234710</v>
          </cell>
          <cell r="U1216">
            <v>1234710</v>
          </cell>
          <cell r="W1216" t="str">
            <v>Samwoo/ YDK/ 4E/ Miha</v>
          </cell>
        </row>
        <row r="1217">
          <cell r="A1217" t="str">
            <v>BoQ_1074</v>
          </cell>
          <cell r="B1217">
            <v>1074</v>
          </cell>
          <cell r="D1217" t="str">
            <v xml:space="preserve"> DN40 PN16</v>
          </cell>
          <cell r="L1217" t="str">
            <v>Cái</v>
          </cell>
          <cell r="M1217">
            <v>2</v>
          </cell>
          <cell r="N1217">
            <v>330000</v>
          </cell>
          <cell r="O1217">
            <v>72300</v>
          </cell>
          <cell r="P1217">
            <v>336600</v>
          </cell>
          <cell r="Q1217">
            <v>673200</v>
          </cell>
          <cell r="R1217">
            <v>73746</v>
          </cell>
          <cell r="S1217">
            <v>147492</v>
          </cell>
          <cell r="T1217">
            <v>410346</v>
          </cell>
          <cell r="U1217">
            <v>820692</v>
          </cell>
          <cell r="W1217" t="str">
            <v>Samwoo/ YDK/ 4E/ Miha</v>
          </cell>
        </row>
        <row r="1218">
          <cell r="A1218" t="str">
            <v>BoQ_1075</v>
          </cell>
          <cell r="B1218">
            <v>1075</v>
          </cell>
          <cell r="D1218" t="str">
            <v xml:space="preserve"> DN32 PN16</v>
          </cell>
          <cell r="L1218" t="str">
            <v>Cái</v>
          </cell>
          <cell r="M1218">
            <v>7</v>
          </cell>
          <cell r="N1218">
            <v>255000</v>
          </cell>
          <cell r="O1218">
            <v>67400</v>
          </cell>
          <cell r="P1218">
            <v>260100</v>
          </cell>
          <cell r="Q1218">
            <v>1820700</v>
          </cell>
          <cell r="R1218">
            <v>68748</v>
          </cell>
          <cell r="S1218">
            <v>481236</v>
          </cell>
          <cell r="T1218">
            <v>328848</v>
          </cell>
          <cell r="U1218">
            <v>2301936</v>
          </cell>
          <cell r="W1218" t="str">
            <v>Samwoo/ YDK/ 4E/ Miha</v>
          </cell>
        </row>
        <row r="1219">
          <cell r="A1219" t="str">
            <v>BoQ_1076</v>
          </cell>
          <cell r="B1219">
            <v>1076</v>
          </cell>
          <cell r="D1219" t="str">
            <v xml:space="preserve"> DN25 PN16</v>
          </cell>
          <cell r="L1219" t="str">
            <v>Cái</v>
          </cell>
          <cell r="M1219">
            <v>5</v>
          </cell>
          <cell r="N1219">
            <v>180000</v>
          </cell>
          <cell r="O1219">
            <v>59300</v>
          </cell>
          <cell r="P1219">
            <v>183600</v>
          </cell>
          <cell r="Q1219">
            <v>918000</v>
          </cell>
          <cell r="R1219">
            <v>60486</v>
          </cell>
          <cell r="S1219">
            <v>302430</v>
          </cell>
          <cell r="T1219">
            <v>244086</v>
          </cell>
          <cell r="U1219">
            <v>1220430</v>
          </cell>
          <cell r="W1219" t="str">
            <v>Samwoo/ YDK/ 4E/ Miha</v>
          </cell>
        </row>
        <row r="1220">
          <cell r="C1220">
            <v>7</v>
          </cell>
          <cell r="D1220" t="str">
            <v>Nối mềm
Soft Connector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</row>
        <row r="1221">
          <cell r="A1221" t="str">
            <v>BoQ_1077</v>
          </cell>
          <cell r="B1221">
            <v>1077</v>
          </cell>
          <cell r="D1221" t="str">
            <v xml:space="preserve"> DN150 PN16</v>
          </cell>
          <cell r="L1221" t="str">
            <v>Cái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W1221" t="str">
            <v>Samwoo/ YDK/ 4E/ Miha</v>
          </cell>
        </row>
        <row r="1222">
          <cell r="A1222" t="str">
            <v>BoQ_1078</v>
          </cell>
          <cell r="B1222">
            <v>1078</v>
          </cell>
          <cell r="D1222" t="str">
            <v xml:space="preserve"> DN125 PN16</v>
          </cell>
          <cell r="L1222" t="str">
            <v>Cái</v>
          </cell>
          <cell r="M1222">
            <v>6</v>
          </cell>
          <cell r="N1222">
            <v>1277500</v>
          </cell>
          <cell r="O1222">
            <v>248700</v>
          </cell>
          <cell r="P1222">
            <v>1303050</v>
          </cell>
          <cell r="Q1222">
            <v>7818300</v>
          </cell>
          <cell r="R1222">
            <v>253674</v>
          </cell>
          <cell r="S1222">
            <v>1522044</v>
          </cell>
          <cell r="T1222">
            <v>1556724</v>
          </cell>
          <cell r="U1222">
            <v>9340344</v>
          </cell>
          <cell r="W1222" t="str">
            <v>Samwoo/ YDK/ 4E/ Miha</v>
          </cell>
        </row>
        <row r="1223">
          <cell r="A1223" t="str">
            <v>BoQ_1079</v>
          </cell>
          <cell r="B1223">
            <v>1079</v>
          </cell>
          <cell r="D1223" t="str">
            <v xml:space="preserve"> DN65 PN16</v>
          </cell>
          <cell r="L1223" t="str">
            <v>Cái</v>
          </cell>
          <cell r="M1223">
            <v>4</v>
          </cell>
          <cell r="N1223">
            <v>525000</v>
          </cell>
          <cell r="O1223">
            <v>123000</v>
          </cell>
          <cell r="P1223">
            <v>535500</v>
          </cell>
          <cell r="Q1223">
            <v>2142000</v>
          </cell>
          <cell r="R1223">
            <v>125460</v>
          </cell>
          <cell r="S1223">
            <v>501840</v>
          </cell>
          <cell r="T1223">
            <v>660960</v>
          </cell>
          <cell r="U1223">
            <v>2643840</v>
          </cell>
          <cell r="W1223" t="str">
            <v>Samwoo/ YDK/ 4E/ Miha</v>
          </cell>
        </row>
        <row r="1224">
          <cell r="A1224" t="str">
            <v>BoQ_1080</v>
          </cell>
          <cell r="B1224">
            <v>1080</v>
          </cell>
          <cell r="D1224" t="str">
            <v xml:space="preserve"> DN40 PN16</v>
          </cell>
          <cell r="L1224" t="str">
            <v>Cái</v>
          </cell>
          <cell r="M1224">
            <v>14</v>
          </cell>
          <cell r="N1224">
            <v>350000</v>
          </cell>
          <cell r="O1224">
            <v>72300</v>
          </cell>
          <cell r="P1224">
            <v>357000</v>
          </cell>
          <cell r="Q1224">
            <v>4998000</v>
          </cell>
          <cell r="R1224">
            <v>73746</v>
          </cell>
          <cell r="S1224">
            <v>1032444</v>
          </cell>
          <cell r="T1224">
            <v>430746</v>
          </cell>
          <cell r="U1224">
            <v>6030444</v>
          </cell>
          <cell r="W1224" t="str">
            <v>Samwoo/ YDK/ 4E/ Miha</v>
          </cell>
        </row>
        <row r="1225">
          <cell r="A1225" t="str">
            <v>BoQ_1081</v>
          </cell>
          <cell r="B1225">
            <v>1081</v>
          </cell>
          <cell r="D1225" t="str">
            <v xml:space="preserve"> DN32 PN16</v>
          </cell>
          <cell r="L1225" t="str">
            <v>Cái</v>
          </cell>
          <cell r="M1225">
            <v>4</v>
          </cell>
          <cell r="N1225">
            <v>285000</v>
          </cell>
          <cell r="O1225">
            <v>67400</v>
          </cell>
          <cell r="P1225">
            <v>290700</v>
          </cell>
          <cell r="Q1225">
            <v>1162800</v>
          </cell>
          <cell r="R1225">
            <v>68748</v>
          </cell>
          <cell r="S1225">
            <v>274992</v>
          </cell>
          <cell r="T1225">
            <v>359448</v>
          </cell>
          <cell r="U1225">
            <v>1437792</v>
          </cell>
          <cell r="W1225" t="str">
            <v>Samwoo/ YDK/ 4E/ Miha</v>
          </cell>
        </row>
        <row r="1226">
          <cell r="A1226" t="str">
            <v>BoQ_1082</v>
          </cell>
          <cell r="B1226">
            <v>1082</v>
          </cell>
          <cell r="D1226" t="str">
            <v xml:space="preserve"> DN25 PN16</v>
          </cell>
          <cell r="L1226" t="str">
            <v>Cái</v>
          </cell>
          <cell r="M1226">
            <v>10</v>
          </cell>
          <cell r="N1226">
            <v>232500</v>
          </cell>
          <cell r="O1226">
            <v>59300</v>
          </cell>
          <cell r="P1226">
            <v>237150</v>
          </cell>
          <cell r="Q1226">
            <v>2371500</v>
          </cell>
          <cell r="R1226">
            <v>60486</v>
          </cell>
          <cell r="S1226">
            <v>604860</v>
          </cell>
          <cell r="T1226">
            <v>297636</v>
          </cell>
          <cell r="U1226">
            <v>2976360</v>
          </cell>
          <cell r="W1226" t="str">
            <v>Samwoo/ YDK/ 4E/ Miha</v>
          </cell>
        </row>
        <row r="1227">
          <cell r="C1227">
            <v>8</v>
          </cell>
          <cell r="D1227" t="str">
            <v>Van 1 chiều
One-way valve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</row>
        <row r="1228">
          <cell r="A1228" t="str">
            <v>BoQ_1083</v>
          </cell>
          <cell r="B1228">
            <v>1083</v>
          </cell>
          <cell r="D1228" t="str">
            <v xml:space="preserve"> DN150 PN16</v>
          </cell>
          <cell r="L1228" t="str">
            <v>Cái</v>
          </cell>
          <cell r="M1228">
            <v>2</v>
          </cell>
          <cell r="N1228">
            <v>3182500</v>
          </cell>
          <cell r="O1228">
            <v>265200</v>
          </cell>
          <cell r="P1228">
            <v>3246150</v>
          </cell>
          <cell r="Q1228">
            <v>6492300</v>
          </cell>
          <cell r="R1228">
            <v>270504</v>
          </cell>
          <cell r="S1228">
            <v>541008</v>
          </cell>
          <cell r="T1228">
            <v>3516654</v>
          </cell>
          <cell r="U1228">
            <v>7033308</v>
          </cell>
          <cell r="W1228" t="str">
            <v>Samwoo/ YDK/ 4E/ Miha</v>
          </cell>
        </row>
        <row r="1229">
          <cell r="C1229">
            <v>9</v>
          </cell>
          <cell r="D1229" t="str">
            <v>Van điện 2 ngã
2 way solenoid valve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</row>
        <row r="1230">
          <cell r="A1230" t="str">
            <v>BoQ_1084</v>
          </cell>
          <cell r="B1230">
            <v>1084</v>
          </cell>
          <cell r="D1230" t="str">
            <v xml:space="preserve"> DN100 PN16 Modulating</v>
          </cell>
          <cell r="L1230" t="str">
            <v>Cái</v>
          </cell>
          <cell r="M1230">
            <v>1</v>
          </cell>
          <cell r="N1230">
            <v>10562500</v>
          </cell>
          <cell r="O1230">
            <v>196100</v>
          </cell>
          <cell r="P1230">
            <v>10773750</v>
          </cell>
          <cell r="Q1230">
            <v>10773750</v>
          </cell>
          <cell r="R1230">
            <v>200022</v>
          </cell>
          <cell r="S1230">
            <v>200022</v>
          </cell>
          <cell r="T1230">
            <v>10973772</v>
          </cell>
          <cell r="U1230">
            <v>10973772</v>
          </cell>
          <cell r="W1230" t="str">
            <v>Samwoo/ YDK/ 4E/ Miha</v>
          </cell>
        </row>
        <row r="1231">
          <cell r="A1231" t="str">
            <v>BoQ_1085</v>
          </cell>
          <cell r="B1231">
            <v>1085</v>
          </cell>
          <cell r="D1231" t="str">
            <v xml:space="preserve"> DN125 PN16 ON/OFF</v>
          </cell>
          <cell r="L1231" t="str">
            <v>Cái</v>
          </cell>
          <cell r="M1231">
            <v>1</v>
          </cell>
          <cell r="N1231">
            <v>6687500</v>
          </cell>
          <cell r="O1231">
            <v>248700</v>
          </cell>
          <cell r="P1231">
            <v>6821250</v>
          </cell>
          <cell r="Q1231">
            <v>6821250</v>
          </cell>
          <cell r="R1231">
            <v>253674</v>
          </cell>
          <cell r="S1231">
            <v>253674</v>
          </cell>
          <cell r="T1231">
            <v>7074924</v>
          </cell>
          <cell r="U1231">
            <v>7074924</v>
          </cell>
          <cell r="W1231" t="str">
            <v>Samwoo/ YDK/ 4E/ Miha</v>
          </cell>
        </row>
        <row r="1232">
          <cell r="A1232" t="str">
            <v>BoQ_1086</v>
          </cell>
          <cell r="B1232">
            <v>1086</v>
          </cell>
          <cell r="D1232" t="str">
            <v xml:space="preserve"> DN65 PN16 ON/OFF</v>
          </cell>
          <cell r="L1232" t="str">
            <v>Cái</v>
          </cell>
          <cell r="M1232">
            <v>2</v>
          </cell>
          <cell r="N1232">
            <v>4000000</v>
          </cell>
          <cell r="O1232">
            <v>123000</v>
          </cell>
          <cell r="P1232">
            <v>4080000</v>
          </cell>
          <cell r="Q1232">
            <v>8160000</v>
          </cell>
          <cell r="R1232">
            <v>125460</v>
          </cell>
          <cell r="S1232">
            <v>250920</v>
          </cell>
          <cell r="T1232">
            <v>4205460</v>
          </cell>
          <cell r="U1232">
            <v>8410920</v>
          </cell>
          <cell r="W1232" t="str">
            <v>Samwoo/ YDK/ 4E/ Miha</v>
          </cell>
        </row>
        <row r="1233">
          <cell r="A1233" t="str">
            <v>BoQ_1087</v>
          </cell>
          <cell r="B1233">
            <v>1087</v>
          </cell>
          <cell r="D1233" t="str">
            <v xml:space="preserve"> DN40 PN16 ON/OFF</v>
          </cell>
          <cell r="L1233" t="str">
            <v>Cái</v>
          </cell>
          <cell r="M1233">
            <v>7</v>
          </cell>
          <cell r="N1233">
            <v>3875000</v>
          </cell>
          <cell r="O1233">
            <v>72300</v>
          </cell>
          <cell r="P1233">
            <v>3952500</v>
          </cell>
          <cell r="Q1233">
            <v>27667500</v>
          </cell>
          <cell r="R1233">
            <v>73746</v>
          </cell>
          <cell r="S1233">
            <v>516222</v>
          </cell>
          <cell r="T1233">
            <v>4026246</v>
          </cell>
          <cell r="U1233">
            <v>28183722</v>
          </cell>
          <cell r="W1233" t="str">
            <v>Samwoo/ YDK/ 4E/ Miha</v>
          </cell>
        </row>
        <row r="1234">
          <cell r="A1234" t="str">
            <v>BoQ_1088</v>
          </cell>
          <cell r="B1234">
            <v>1088</v>
          </cell>
          <cell r="D1234" t="str">
            <v xml:space="preserve"> DN32 PN16 ON/OFF</v>
          </cell>
          <cell r="L1234" t="str">
            <v>Cái</v>
          </cell>
          <cell r="M1234">
            <v>2</v>
          </cell>
          <cell r="N1234">
            <v>3312500</v>
          </cell>
          <cell r="O1234">
            <v>67400</v>
          </cell>
          <cell r="P1234">
            <v>3378750</v>
          </cell>
          <cell r="Q1234">
            <v>6757500</v>
          </cell>
          <cell r="R1234">
            <v>68748</v>
          </cell>
          <cell r="S1234">
            <v>137496</v>
          </cell>
          <cell r="T1234">
            <v>3447498</v>
          </cell>
          <cell r="U1234">
            <v>6894996</v>
          </cell>
          <cell r="W1234" t="str">
            <v>Samwoo/ YDK/ 4E/ Miha</v>
          </cell>
        </row>
        <row r="1235">
          <cell r="A1235" t="str">
            <v>BoQ_1089</v>
          </cell>
          <cell r="B1235">
            <v>1089</v>
          </cell>
          <cell r="D1235" t="str">
            <v xml:space="preserve"> DN25 PN16 ON/OFF</v>
          </cell>
          <cell r="L1235" t="str">
            <v>Cái</v>
          </cell>
          <cell r="M1235">
            <v>5</v>
          </cell>
          <cell r="N1235">
            <v>2825000</v>
          </cell>
          <cell r="O1235">
            <v>59300</v>
          </cell>
          <cell r="P1235">
            <v>2881500</v>
          </cell>
          <cell r="Q1235">
            <v>14407500</v>
          </cell>
          <cell r="R1235">
            <v>60486</v>
          </cell>
          <cell r="S1235">
            <v>302430</v>
          </cell>
          <cell r="T1235">
            <v>2941986</v>
          </cell>
          <cell r="U1235">
            <v>14709930</v>
          </cell>
          <cell r="W1235" t="str">
            <v>UNID/ YDK/ 4E/ Miha</v>
          </cell>
        </row>
        <row r="1236">
          <cell r="C1236">
            <v>10</v>
          </cell>
          <cell r="D1236" t="str">
            <v>Van cân bằng
Balancing valves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</row>
        <row r="1237">
          <cell r="A1237" t="str">
            <v>BoQ_1090</v>
          </cell>
          <cell r="B1237">
            <v>1090</v>
          </cell>
          <cell r="D1237" t="str">
            <v xml:space="preserve"> DN125 PN16</v>
          </cell>
          <cell r="L1237" t="str">
            <v>Cái</v>
          </cell>
          <cell r="M1237">
            <v>1</v>
          </cell>
          <cell r="N1237">
            <v>9794400</v>
          </cell>
          <cell r="O1237">
            <v>248700</v>
          </cell>
          <cell r="P1237">
            <v>9990288</v>
          </cell>
          <cell r="Q1237">
            <v>9990288</v>
          </cell>
          <cell r="R1237">
            <v>253674</v>
          </cell>
          <cell r="S1237">
            <v>253674</v>
          </cell>
          <cell r="T1237">
            <v>10243962</v>
          </cell>
          <cell r="U1237">
            <v>10243962</v>
          </cell>
          <cell r="W1237" t="str">
            <v>Samwoo/ YDK/ 4E/ Miha</v>
          </cell>
        </row>
        <row r="1238">
          <cell r="A1238" t="str">
            <v>BoQ_1091</v>
          </cell>
          <cell r="B1238">
            <v>1091</v>
          </cell>
          <cell r="D1238" t="str">
            <v xml:space="preserve"> DN65 PN16</v>
          </cell>
          <cell r="L1238" t="str">
            <v>Cái</v>
          </cell>
          <cell r="M1238">
            <v>2</v>
          </cell>
          <cell r="N1238">
            <v>5034800</v>
          </cell>
          <cell r="O1238">
            <v>123000</v>
          </cell>
          <cell r="P1238">
            <v>5135496</v>
          </cell>
          <cell r="Q1238">
            <v>10270992</v>
          </cell>
          <cell r="R1238">
            <v>125460</v>
          </cell>
          <cell r="S1238">
            <v>250920</v>
          </cell>
          <cell r="T1238">
            <v>5260956</v>
          </cell>
          <cell r="U1238">
            <v>10521912</v>
          </cell>
          <cell r="W1238" t="str">
            <v>Samwoo/ YDK/ 4E/ Miha</v>
          </cell>
        </row>
        <row r="1239">
          <cell r="A1239" t="str">
            <v>BoQ_1092</v>
          </cell>
          <cell r="B1239">
            <v>1092</v>
          </cell>
          <cell r="D1239" t="str">
            <v xml:space="preserve"> DN40 PN16</v>
          </cell>
          <cell r="L1239" t="str">
            <v>Cái</v>
          </cell>
          <cell r="M1239">
            <v>7</v>
          </cell>
          <cell r="N1239">
            <v>1493100</v>
          </cell>
          <cell r="O1239">
            <v>72300</v>
          </cell>
          <cell r="P1239">
            <v>1522962</v>
          </cell>
          <cell r="Q1239">
            <v>10660734</v>
          </cell>
          <cell r="R1239">
            <v>73746</v>
          </cell>
          <cell r="S1239">
            <v>516222</v>
          </cell>
          <cell r="T1239">
            <v>1596708</v>
          </cell>
          <cell r="U1239">
            <v>11176956</v>
          </cell>
          <cell r="W1239" t="str">
            <v>Samwoo/ YDK/ 4E/ Miha</v>
          </cell>
        </row>
        <row r="1240">
          <cell r="A1240" t="str">
            <v>BoQ_1093</v>
          </cell>
          <cell r="B1240">
            <v>1093</v>
          </cell>
          <cell r="D1240" t="str">
            <v xml:space="preserve"> DN32 PN16</v>
          </cell>
          <cell r="L1240" t="str">
            <v>Cái</v>
          </cell>
          <cell r="M1240">
            <v>2</v>
          </cell>
          <cell r="N1240">
            <v>1191800</v>
          </cell>
          <cell r="O1240">
            <v>67400</v>
          </cell>
          <cell r="P1240">
            <v>1215636</v>
          </cell>
          <cell r="Q1240">
            <v>2431272</v>
          </cell>
          <cell r="R1240">
            <v>68748</v>
          </cell>
          <cell r="S1240">
            <v>137496</v>
          </cell>
          <cell r="T1240">
            <v>1284384</v>
          </cell>
          <cell r="U1240">
            <v>2568768</v>
          </cell>
          <cell r="W1240" t="str">
            <v>Samwoo/ YDK/ 4E/ Miha</v>
          </cell>
        </row>
        <row r="1241">
          <cell r="A1241" t="str">
            <v>BoQ_1094</v>
          </cell>
          <cell r="B1241">
            <v>1094</v>
          </cell>
          <cell r="D1241" t="str">
            <v xml:space="preserve"> DN25 PN16</v>
          </cell>
          <cell r="L1241" t="str">
            <v>Cái</v>
          </cell>
          <cell r="M1241">
            <v>5</v>
          </cell>
          <cell r="N1241">
            <v>1039500</v>
          </cell>
          <cell r="O1241">
            <v>59300</v>
          </cell>
          <cell r="P1241">
            <v>1060290</v>
          </cell>
          <cell r="Q1241">
            <v>5301450</v>
          </cell>
          <cell r="R1241">
            <v>60486</v>
          </cell>
          <cell r="S1241">
            <v>302430</v>
          </cell>
          <cell r="T1241">
            <v>1120776</v>
          </cell>
          <cell r="U1241">
            <v>5603880</v>
          </cell>
          <cell r="W1241" t="str">
            <v>Samwoo/ YDK/ 4E/ Miha</v>
          </cell>
        </row>
        <row r="1242">
          <cell r="A1242" t="str">
            <v>BoQ_1095</v>
          </cell>
          <cell r="B1242">
            <v>1095</v>
          </cell>
          <cell r="C1242">
            <v>11</v>
          </cell>
          <cell r="D1242" t="str">
            <v>Van xả khí (van bi kèm ống ren DN15)
Air release valve (ball valve with threaded pipe DN15)</v>
          </cell>
          <cell r="L1242" t="str">
            <v>Cái</v>
          </cell>
          <cell r="M1242">
            <v>2</v>
          </cell>
          <cell r="N1242">
            <v>1775000</v>
          </cell>
          <cell r="O1242">
            <v>54000</v>
          </cell>
          <cell r="P1242">
            <v>1810500</v>
          </cell>
          <cell r="Q1242">
            <v>3621000</v>
          </cell>
          <cell r="R1242">
            <v>55080</v>
          </cell>
          <cell r="S1242">
            <v>110160</v>
          </cell>
          <cell r="T1242">
            <v>1865580</v>
          </cell>
          <cell r="U1242">
            <v>3731160</v>
          </cell>
          <cell r="W1242" t="str">
            <v>Samwoo/ YDK/ 4E/ Miha</v>
          </cell>
        </row>
        <row r="1243">
          <cell r="A1243" t="str">
            <v>BoQ_1096</v>
          </cell>
          <cell r="B1243">
            <v>1096</v>
          </cell>
          <cell r="C1243">
            <v>12</v>
          </cell>
          <cell r="D1243" t="str">
            <v>Van xả đáy (van bi kèm ống ren DN15)
Blowdown valve (ball valve with threaded pipe DN15)</v>
          </cell>
          <cell r="L1243" t="str">
            <v>Cái</v>
          </cell>
          <cell r="M1243">
            <v>24</v>
          </cell>
          <cell r="N1243">
            <v>77500</v>
          </cell>
          <cell r="O1243">
            <v>54000</v>
          </cell>
          <cell r="P1243">
            <v>79050</v>
          </cell>
          <cell r="Q1243">
            <v>1897200</v>
          </cell>
          <cell r="R1243">
            <v>55080</v>
          </cell>
          <cell r="S1243">
            <v>1321920</v>
          </cell>
          <cell r="T1243">
            <v>134130</v>
          </cell>
          <cell r="U1243">
            <v>3219120</v>
          </cell>
          <cell r="W1243" t="str">
            <v>Samwoo/ YDK/ 4E/ Miha</v>
          </cell>
        </row>
        <row r="1244">
          <cell r="A1244" t="str">
            <v>BoQ_1097</v>
          </cell>
          <cell r="B1244">
            <v>1097</v>
          </cell>
          <cell r="C1244">
            <v>13</v>
          </cell>
          <cell r="D1244" t="str">
            <v>Mặt bích
Flange</v>
          </cell>
          <cell r="L1244" t="str">
            <v>Lô</v>
          </cell>
          <cell r="M1244">
            <v>1</v>
          </cell>
          <cell r="N1244">
            <v>6475000</v>
          </cell>
          <cell r="O1244">
            <v>2447600</v>
          </cell>
          <cell r="P1244">
            <v>6604500</v>
          </cell>
          <cell r="Q1244">
            <v>6604500</v>
          </cell>
          <cell r="R1244">
            <v>2496552</v>
          </cell>
          <cell r="S1244">
            <v>2496552</v>
          </cell>
          <cell r="T1244">
            <v>9101052</v>
          </cell>
          <cell r="U1244">
            <v>9101052</v>
          </cell>
        </row>
        <row r="1245">
          <cell r="A1245" t="str">
            <v>BoQ_1098</v>
          </cell>
          <cell r="B1245">
            <v>1098</v>
          </cell>
          <cell r="C1245">
            <v>14</v>
          </cell>
          <cell r="D1245" t="str">
            <v>Đồng hồ nhiệt độ
Temperature clock</v>
          </cell>
          <cell r="L1245" t="str">
            <v>bộ</v>
          </cell>
          <cell r="M1245">
            <v>8</v>
          </cell>
          <cell r="N1245">
            <v>481300</v>
          </cell>
          <cell r="O1245">
            <v>141800</v>
          </cell>
          <cell r="P1245">
            <v>490926</v>
          </cell>
          <cell r="Q1245">
            <v>3927408</v>
          </cell>
          <cell r="R1245">
            <v>144636</v>
          </cell>
          <cell r="S1245">
            <v>1157088</v>
          </cell>
          <cell r="T1245">
            <v>635562</v>
          </cell>
          <cell r="U1245">
            <v>5084496</v>
          </cell>
          <cell r="W1245" t="str">
            <v>Autosigma</v>
          </cell>
        </row>
        <row r="1246">
          <cell r="A1246" t="str">
            <v>BoQ_1099</v>
          </cell>
          <cell r="B1246">
            <v>1099</v>
          </cell>
          <cell r="C1246">
            <v>15</v>
          </cell>
          <cell r="D1246" t="str">
            <v>Đồng hồ áp suất
Pressure Gauges</v>
          </cell>
          <cell r="L1246" t="str">
            <v>bộ</v>
          </cell>
          <cell r="M1246">
            <v>8</v>
          </cell>
          <cell r="N1246">
            <v>562500</v>
          </cell>
          <cell r="O1246">
            <v>141800</v>
          </cell>
          <cell r="P1246">
            <v>573750</v>
          </cell>
          <cell r="Q1246">
            <v>4590000</v>
          </cell>
          <cell r="R1246">
            <v>144636</v>
          </cell>
          <cell r="S1246">
            <v>1157088</v>
          </cell>
          <cell r="T1246">
            <v>718386</v>
          </cell>
          <cell r="U1246">
            <v>5747088</v>
          </cell>
          <cell r="W1246" t="str">
            <v>Wise</v>
          </cell>
        </row>
        <row r="1247">
          <cell r="A1247" t="str">
            <v>BoQ_1100</v>
          </cell>
          <cell r="B1247">
            <v>1100</v>
          </cell>
          <cell r="C1247">
            <v>16</v>
          </cell>
          <cell r="D1247" t="str">
            <v>Tem nhãn dán</v>
          </cell>
          <cell r="L1247" t="str">
            <v>Gói</v>
          </cell>
          <cell r="M1247">
            <v>1</v>
          </cell>
          <cell r="N1247">
            <v>1937500</v>
          </cell>
          <cell r="O1247">
            <v>1147500</v>
          </cell>
          <cell r="P1247">
            <v>1976250</v>
          </cell>
          <cell r="Q1247">
            <v>1976250</v>
          </cell>
          <cell r="R1247">
            <v>1170450</v>
          </cell>
          <cell r="S1247">
            <v>1170450</v>
          </cell>
          <cell r="T1247">
            <v>3146700</v>
          </cell>
          <cell r="U1247">
            <v>3146700</v>
          </cell>
          <cell r="W1247" t="str">
            <v>Việt nam</v>
          </cell>
        </row>
        <row r="1248">
          <cell r="A1248" t="str">
            <v>BoQ_1101</v>
          </cell>
          <cell r="B1248">
            <v>1101</v>
          </cell>
          <cell r="C1248">
            <v>17</v>
          </cell>
          <cell r="D1248" t="str">
            <v>Hệ thống nước ngưng
Condensate water system</v>
          </cell>
          <cell r="L1248" t="str">
            <v>Gói</v>
          </cell>
          <cell r="M1248">
            <v>1</v>
          </cell>
          <cell r="N1248">
            <v>18275000</v>
          </cell>
          <cell r="O1248">
            <v>8881700</v>
          </cell>
          <cell r="P1248">
            <v>18640500</v>
          </cell>
          <cell r="Q1248">
            <v>18640500</v>
          </cell>
          <cell r="R1248">
            <v>9059334</v>
          </cell>
          <cell r="S1248">
            <v>9059334</v>
          </cell>
          <cell r="T1248">
            <v>27699834</v>
          </cell>
          <cell r="U1248">
            <v>27699834</v>
          </cell>
          <cell r="W1248" t="str">
            <v>Việt nam</v>
          </cell>
        </row>
        <row r="1249">
          <cell r="A1249" t="str">
            <v>BoQ_1102</v>
          </cell>
          <cell r="B1249">
            <v>1102</v>
          </cell>
          <cell r="C1249">
            <v>18</v>
          </cell>
          <cell r="D1249" t="str">
            <v>Vật tư phụ (que hàn,bulong …)
Auxiliary materials (welding rods, bolts ...)</v>
          </cell>
          <cell r="L1249" t="str">
            <v>Lô</v>
          </cell>
          <cell r="M1249">
            <v>1</v>
          </cell>
          <cell r="N1249">
            <v>47001400</v>
          </cell>
          <cell r="O1249">
            <v>5104500</v>
          </cell>
          <cell r="P1249">
            <v>47941428</v>
          </cell>
          <cell r="Q1249">
            <v>47941428</v>
          </cell>
          <cell r="R1249">
            <v>5206590</v>
          </cell>
          <cell r="S1249">
            <v>5206590</v>
          </cell>
          <cell r="T1249">
            <v>53148018</v>
          </cell>
          <cell r="U1249">
            <v>53148018</v>
          </cell>
          <cell r="W1249" t="str">
            <v>Việt nam</v>
          </cell>
        </row>
        <row r="1250">
          <cell r="C1250" t="str">
            <v>III</v>
          </cell>
          <cell r="D1250" t="str">
            <v>HỆ THỐNG ĐIỆN
POWER SYSTEM</v>
          </cell>
        </row>
        <row r="1251">
          <cell r="A1251" t="str">
            <v>BoQ_1103</v>
          </cell>
          <cell r="B1251">
            <v>1103</v>
          </cell>
          <cell r="C1251">
            <v>1</v>
          </cell>
          <cell r="D1251" t="str">
            <v>Tủ điện động lực, cấp nguồn cho chiller, bơm
Electrodynamic cabinet, power supply for chiller, pump</v>
          </cell>
          <cell r="L1251" t="str">
            <v>Tủ</v>
          </cell>
          <cell r="M1251">
            <v>1</v>
          </cell>
          <cell r="N1251">
            <v>67750000</v>
          </cell>
          <cell r="O1251">
            <v>5400000</v>
          </cell>
          <cell r="P1251">
            <v>69105000</v>
          </cell>
          <cell r="Q1251">
            <v>69105000</v>
          </cell>
          <cell r="R1251">
            <v>5508000</v>
          </cell>
          <cell r="S1251">
            <v>5508000</v>
          </cell>
          <cell r="T1251">
            <v>74613000</v>
          </cell>
          <cell r="U1251">
            <v>74613000</v>
          </cell>
          <cell r="W1251" t="str">
            <v>Việt Nam</v>
          </cell>
        </row>
        <row r="1252">
          <cell r="A1252" t="str">
            <v>BoQ_1104</v>
          </cell>
          <cell r="B1252">
            <v>1104</v>
          </cell>
          <cell r="C1252">
            <v>2</v>
          </cell>
          <cell r="D1252" t="str">
            <v>Tủ điện động lực, cấp nguồn cho tháp giải nhiệt, bơm và AHU
Electrodynamic cabinet, power supply for cooling tower, pump and AHU</v>
          </cell>
          <cell r="L1252" t="str">
            <v>Tủ</v>
          </cell>
          <cell r="M1252">
            <v>1</v>
          </cell>
          <cell r="N1252">
            <v>26500000</v>
          </cell>
          <cell r="O1252">
            <v>5400000</v>
          </cell>
          <cell r="P1252">
            <v>27030000</v>
          </cell>
          <cell r="Q1252">
            <v>27030000</v>
          </cell>
          <cell r="R1252">
            <v>5508000</v>
          </cell>
          <cell r="S1252">
            <v>5508000</v>
          </cell>
          <cell r="T1252">
            <v>32538000</v>
          </cell>
          <cell r="U1252">
            <v>32538000</v>
          </cell>
          <cell r="W1252" t="str">
            <v>Việt Nam</v>
          </cell>
        </row>
        <row r="1253">
          <cell r="A1253" t="str">
            <v>BoQ_1105</v>
          </cell>
          <cell r="B1253">
            <v>1105</v>
          </cell>
          <cell r="C1253">
            <v>3</v>
          </cell>
          <cell r="D1253" t="str">
            <v>Tủ cấp nguồn và điều khiển nhiệt độ AHU
Power supply and temperature control cabinet AHU</v>
          </cell>
          <cell r="L1253" t="str">
            <v>Tủ</v>
          </cell>
          <cell r="M1253">
            <v>1</v>
          </cell>
          <cell r="N1253">
            <v>78941300</v>
          </cell>
          <cell r="O1253">
            <v>5400000</v>
          </cell>
          <cell r="P1253">
            <v>80520126</v>
          </cell>
          <cell r="Q1253">
            <v>80520126</v>
          </cell>
          <cell r="R1253">
            <v>5508000</v>
          </cell>
          <cell r="S1253">
            <v>5508000</v>
          </cell>
          <cell r="T1253">
            <v>86028126</v>
          </cell>
          <cell r="U1253">
            <v>86028126</v>
          </cell>
          <cell r="W1253" t="str">
            <v>Việt Nam</v>
          </cell>
        </row>
        <row r="1254">
          <cell r="A1254" t="str">
            <v>BoQ_1106</v>
          </cell>
          <cell r="B1254">
            <v>1106</v>
          </cell>
          <cell r="C1254">
            <v>4</v>
          </cell>
          <cell r="D1254" t="str">
            <v>Dây CXV 1x185mm2</v>
          </cell>
          <cell r="E1254" t="str">
            <v>TÔN HOA SEN 0.75 mm</v>
          </cell>
          <cell r="L1254" t="str">
            <v>m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W1254" t="str">
            <v>Cadivi</v>
          </cell>
        </row>
        <row r="1255">
          <cell r="A1255" t="str">
            <v>BoQ_1107</v>
          </cell>
          <cell r="B1255">
            <v>1107</v>
          </cell>
          <cell r="C1255">
            <v>5</v>
          </cell>
          <cell r="D1255" t="str">
            <v>Dây nối đất (E) CV 1x95mm2</v>
          </cell>
          <cell r="E1255" t="str">
            <v>TÔN HOA SEN  0.48 &amp; 0.58 mm</v>
          </cell>
          <cell r="L1255" t="str">
            <v>m</v>
          </cell>
          <cell r="M1255">
            <v>129</v>
          </cell>
          <cell r="N1255">
            <v>321000</v>
          </cell>
          <cell r="O1255">
            <v>32400</v>
          </cell>
          <cell r="P1255">
            <v>327420</v>
          </cell>
          <cell r="Q1255">
            <v>42237180</v>
          </cell>
          <cell r="R1255">
            <v>33048</v>
          </cell>
          <cell r="S1255">
            <v>4263192</v>
          </cell>
          <cell r="T1255">
            <v>360468</v>
          </cell>
          <cell r="U1255">
            <v>46500372</v>
          </cell>
          <cell r="W1255" t="str">
            <v>Cadivi</v>
          </cell>
        </row>
        <row r="1256">
          <cell r="A1256" t="str">
            <v>BoQ_1108</v>
          </cell>
          <cell r="B1256">
            <v>1108</v>
          </cell>
          <cell r="C1256">
            <v>6</v>
          </cell>
          <cell r="D1256" t="str">
            <v>Dây trung tính (N) CV 1x95mm2</v>
          </cell>
          <cell r="L1256" t="str">
            <v>m</v>
          </cell>
          <cell r="M1256">
            <v>43</v>
          </cell>
          <cell r="N1256">
            <v>321000</v>
          </cell>
          <cell r="O1256">
            <v>32400</v>
          </cell>
          <cell r="P1256">
            <v>327420</v>
          </cell>
          <cell r="Q1256">
            <v>14079060</v>
          </cell>
          <cell r="R1256">
            <v>33048</v>
          </cell>
          <cell r="S1256">
            <v>1421064</v>
          </cell>
          <cell r="T1256">
            <v>360468</v>
          </cell>
          <cell r="U1256">
            <v>15500124</v>
          </cell>
          <cell r="W1256" t="str">
            <v>Cadivi</v>
          </cell>
        </row>
        <row r="1257">
          <cell r="A1257" t="str">
            <v>BoQ_1109</v>
          </cell>
          <cell r="B1257">
            <v>1109</v>
          </cell>
          <cell r="C1257">
            <v>7</v>
          </cell>
          <cell r="D1257" t="str">
            <v>Dây CXV 4Cx16.0mm2</v>
          </cell>
          <cell r="L1257" t="str">
            <v>m</v>
          </cell>
          <cell r="M1257">
            <v>43</v>
          </cell>
          <cell r="N1257">
            <v>227400</v>
          </cell>
          <cell r="O1257">
            <v>23700</v>
          </cell>
          <cell r="P1257">
            <v>231948</v>
          </cell>
          <cell r="Q1257">
            <v>9973764</v>
          </cell>
          <cell r="R1257">
            <v>24174</v>
          </cell>
          <cell r="S1257">
            <v>1039482</v>
          </cell>
          <cell r="T1257">
            <v>256122</v>
          </cell>
          <cell r="U1257">
            <v>11013246</v>
          </cell>
          <cell r="W1257" t="str">
            <v>Cadivi</v>
          </cell>
        </row>
        <row r="1258">
          <cell r="A1258" t="str">
            <v>BoQ_1110</v>
          </cell>
          <cell r="B1258">
            <v>1110</v>
          </cell>
          <cell r="C1258">
            <v>8</v>
          </cell>
          <cell r="D1258" t="str">
            <v>Dây CXV 4Cx16.0mm2</v>
          </cell>
          <cell r="L1258" t="str">
            <v>m</v>
          </cell>
          <cell r="M1258">
            <v>38</v>
          </cell>
          <cell r="N1258">
            <v>227400</v>
          </cell>
          <cell r="O1258">
            <v>23700</v>
          </cell>
          <cell r="P1258">
            <v>231948</v>
          </cell>
          <cell r="Q1258">
            <v>8814024</v>
          </cell>
          <cell r="R1258">
            <v>24174</v>
          </cell>
          <cell r="S1258">
            <v>918612</v>
          </cell>
          <cell r="T1258">
            <v>256122</v>
          </cell>
          <cell r="U1258">
            <v>9732636</v>
          </cell>
          <cell r="W1258" t="str">
            <v>Cadivi</v>
          </cell>
        </row>
        <row r="1259">
          <cell r="A1259" t="str">
            <v>BoQ_1111</v>
          </cell>
          <cell r="B1259">
            <v>1111</v>
          </cell>
          <cell r="C1259">
            <v>9</v>
          </cell>
          <cell r="D1259" t="str">
            <v>Dây CXV 4Cx2.5mm2</v>
          </cell>
          <cell r="L1259" t="str">
            <v>m</v>
          </cell>
          <cell r="M1259">
            <v>20</v>
          </cell>
          <cell r="N1259">
            <v>44600</v>
          </cell>
          <cell r="O1259">
            <v>10800</v>
          </cell>
          <cell r="P1259">
            <v>45492</v>
          </cell>
          <cell r="Q1259">
            <v>909840</v>
          </cell>
          <cell r="R1259">
            <v>11016</v>
          </cell>
          <cell r="S1259">
            <v>220320</v>
          </cell>
          <cell r="T1259">
            <v>56508</v>
          </cell>
          <cell r="U1259">
            <v>1130160</v>
          </cell>
          <cell r="W1259" t="str">
            <v>Cadivi</v>
          </cell>
        </row>
        <row r="1260">
          <cell r="A1260" t="str">
            <v>BoQ_1112</v>
          </cell>
          <cell r="B1260">
            <v>1112</v>
          </cell>
          <cell r="C1260">
            <v>10</v>
          </cell>
          <cell r="D1260" t="str">
            <v>Dây CXV 4Cx2.5mm2</v>
          </cell>
          <cell r="L1260" t="str">
            <v>m</v>
          </cell>
          <cell r="M1260">
            <v>18</v>
          </cell>
          <cell r="N1260">
            <v>44600</v>
          </cell>
          <cell r="O1260">
            <v>10800</v>
          </cell>
          <cell r="P1260">
            <v>45492</v>
          </cell>
          <cell r="Q1260">
            <v>818856</v>
          </cell>
          <cell r="R1260">
            <v>11016</v>
          </cell>
          <cell r="S1260">
            <v>198288</v>
          </cell>
          <cell r="T1260">
            <v>56508</v>
          </cell>
          <cell r="U1260">
            <v>1017144</v>
          </cell>
          <cell r="W1260" t="str">
            <v>Cadivi</v>
          </cell>
        </row>
        <row r="1261">
          <cell r="A1261" t="str">
            <v>BoQ_1113</v>
          </cell>
          <cell r="B1261">
            <v>1113</v>
          </cell>
          <cell r="C1261">
            <v>11</v>
          </cell>
          <cell r="D1261" t="str">
            <v>Dây CXV 3Cx35mm2</v>
          </cell>
          <cell r="L1261" t="str">
            <v>m</v>
          </cell>
          <cell r="M1261">
            <v>19</v>
          </cell>
          <cell r="N1261">
            <v>370000</v>
          </cell>
          <cell r="O1261">
            <v>28400</v>
          </cell>
          <cell r="P1261">
            <v>377400</v>
          </cell>
          <cell r="Q1261">
            <v>7170600</v>
          </cell>
          <cell r="R1261">
            <v>28968</v>
          </cell>
          <cell r="S1261">
            <v>550392</v>
          </cell>
          <cell r="T1261">
            <v>406368</v>
          </cell>
          <cell r="U1261">
            <v>7720992</v>
          </cell>
          <cell r="W1261" t="str">
            <v>Cadivi</v>
          </cell>
        </row>
        <row r="1262">
          <cell r="A1262" t="str">
            <v>BoQ_1114</v>
          </cell>
          <cell r="B1262">
            <v>1114</v>
          </cell>
          <cell r="C1262">
            <v>12</v>
          </cell>
          <cell r="D1262" t="str">
            <v>Dây (E) CV 1Cx16mm2</v>
          </cell>
          <cell r="L1262" t="str">
            <v>m</v>
          </cell>
          <cell r="M1262">
            <v>19</v>
          </cell>
          <cell r="N1262">
            <v>56900</v>
          </cell>
          <cell r="O1262">
            <v>14900</v>
          </cell>
          <cell r="P1262">
            <v>58038</v>
          </cell>
          <cell r="Q1262">
            <v>1102722</v>
          </cell>
          <cell r="R1262">
            <v>15198</v>
          </cell>
          <cell r="S1262">
            <v>288762</v>
          </cell>
          <cell r="T1262">
            <v>73236</v>
          </cell>
          <cell r="U1262">
            <v>1391484</v>
          </cell>
          <cell r="W1262" t="str">
            <v>Cadivi</v>
          </cell>
        </row>
        <row r="1263">
          <cell r="A1263" t="str">
            <v>BoQ_1115</v>
          </cell>
          <cell r="B1263">
            <v>1115</v>
          </cell>
          <cell r="C1263">
            <v>13</v>
          </cell>
          <cell r="D1263" t="str">
            <v>Chi phí máng cáp, vật tư phụ ( đầu cốt,..)</v>
          </cell>
          <cell r="L1263" t="str">
            <v>Lô</v>
          </cell>
          <cell r="M1263">
            <v>1</v>
          </cell>
          <cell r="N1263">
            <v>23656300</v>
          </cell>
          <cell r="O1263">
            <v>7664700</v>
          </cell>
          <cell r="P1263">
            <v>24129426</v>
          </cell>
          <cell r="Q1263">
            <v>24129426</v>
          </cell>
          <cell r="R1263">
            <v>7817994</v>
          </cell>
          <cell r="S1263">
            <v>7817994</v>
          </cell>
          <cell r="T1263">
            <v>31947420</v>
          </cell>
          <cell r="U1263">
            <v>31947420</v>
          </cell>
        </row>
        <row r="1264">
          <cell r="C1264" t="str">
            <v>IV</v>
          </cell>
          <cell r="D1264" t="str">
            <v>CẢI TẠO HỆ THỐNG ỐNG GIÓ
TUBE SYSTEM RENOVATION</v>
          </cell>
        </row>
        <row r="1265">
          <cell r="A1265" t="str">
            <v>BoQ_1116</v>
          </cell>
          <cell r="B1265">
            <v>1116</v>
          </cell>
          <cell r="C1265">
            <v>1</v>
          </cell>
          <cell r="D1265" t="str">
            <v>Ống gió tole 1.15mm</v>
          </cell>
          <cell r="L1265" t="str">
            <v>m2</v>
          </cell>
          <cell r="M1265">
            <v>12.960000000000022</v>
          </cell>
          <cell r="N1265">
            <v>406500</v>
          </cell>
          <cell r="O1265">
            <v>148500</v>
          </cell>
          <cell r="P1265">
            <v>414630</v>
          </cell>
          <cell r="Q1265">
            <v>5373604.8000000091</v>
          </cell>
          <cell r="R1265">
            <v>151470</v>
          </cell>
          <cell r="S1265">
            <v>1963051.2000000034</v>
          </cell>
          <cell r="T1265">
            <v>566100</v>
          </cell>
          <cell r="U1265">
            <v>7336656.0000000121</v>
          </cell>
          <cell r="W1265" t="str">
            <v>Hoa sen/Phương Nam</v>
          </cell>
        </row>
        <row r="1266">
          <cell r="A1266" t="str">
            <v>BoQ_1117</v>
          </cell>
          <cell r="B1266">
            <v>1117</v>
          </cell>
          <cell r="C1266">
            <v>2</v>
          </cell>
          <cell r="D1266" t="str">
            <v>Ống gió tole 0.95mm</v>
          </cell>
          <cell r="L1266" t="str">
            <v>m2</v>
          </cell>
          <cell r="M1266">
            <v>56.16</v>
          </cell>
          <cell r="N1266">
            <v>349500</v>
          </cell>
          <cell r="O1266">
            <v>148500</v>
          </cell>
          <cell r="P1266">
            <v>356490</v>
          </cell>
          <cell r="Q1266">
            <v>20020478.399999999</v>
          </cell>
          <cell r="R1266">
            <v>151470</v>
          </cell>
          <cell r="S1266">
            <v>8506555.1999999993</v>
          </cell>
          <cell r="T1266">
            <v>507960</v>
          </cell>
          <cell r="U1266">
            <v>28527033.599999998</v>
          </cell>
          <cell r="W1266" t="str">
            <v>Hoa sen/Phương Nam</v>
          </cell>
        </row>
        <row r="1267">
          <cell r="A1267" t="str">
            <v>BoQ_1118</v>
          </cell>
          <cell r="B1267">
            <v>1118</v>
          </cell>
          <cell r="C1267">
            <v>3</v>
          </cell>
          <cell r="D1267" t="str">
            <v>Ống gió tole 0.75mm</v>
          </cell>
          <cell r="L1267" t="str">
            <v>m2</v>
          </cell>
          <cell r="M1267">
            <v>365.88</v>
          </cell>
          <cell r="N1267">
            <v>285000</v>
          </cell>
          <cell r="O1267">
            <v>148500</v>
          </cell>
          <cell r="P1267">
            <v>290700</v>
          </cell>
          <cell r="Q1267">
            <v>106361316</v>
          </cell>
          <cell r="R1267">
            <v>151470</v>
          </cell>
          <cell r="S1267">
            <v>55419843.600000001</v>
          </cell>
          <cell r="T1267">
            <v>442170</v>
          </cell>
          <cell r="U1267">
            <v>161781159.59999999</v>
          </cell>
          <cell r="W1267" t="str">
            <v>Hoa sen/Phương Nam</v>
          </cell>
        </row>
        <row r="1268">
          <cell r="A1268" t="str">
            <v>BoQ_1119</v>
          </cell>
          <cell r="B1268">
            <v>1119</v>
          </cell>
          <cell r="C1268">
            <v>4</v>
          </cell>
          <cell r="D1268" t="str">
            <v>Ống gió tole 0.58mm</v>
          </cell>
          <cell r="L1268" t="str">
            <v>m2</v>
          </cell>
          <cell r="M1268">
            <v>676.49700000000007</v>
          </cell>
          <cell r="N1268">
            <v>237000</v>
          </cell>
          <cell r="O1268">
            <v>148500</v>
          </cell>
          <cell r="P1268">
            <v>241740</v>
          </cell>
          <cell r="Q1268">
            <v>163536384.78000003</v>
          </cell>
          <cell r="R1268">
            <v>151470</v>
          </cell>
          <cell r="S1268">
            <v>102469000.59</v>
          </cell>
          <cell r="T1268">
            <v>393210</v>
          </cell>
          <cell r="U1268">
            <v>266005385.37000003</v>
          </cell>
          <cell r="W1268" t="str">
            <v>Hoa sen/Phương Nam</v>
          </cell>
        </row>
        <row r="1269">
          <cell r="A1269" t="str">
            <v>BoQ_1120</v>
          </cell>
          <cell r="B1269">
            <v>1120</v>
          </cell>
          <cell r="C1269">
            <v>5</v>
          </cell>
          <cell r="D1269" t="str">
            <v>Bảo ôn 25mm bao gồm keo</v>
          </cell>
          <cell r="L1269" t="str">
            <v>m2</v>
          </cell>
          <cell r="M1269">
            <v>1111.4970000000001</v>
          </cell>
          <cell r="N1269">
            <v>131300</v>
          </cell>
          <cell r="O1269">
            <v>40500</v>
          </cell>
          <cell r="P1269">
            <v>133926</v>
          </cell>
          <cell r="Q1269">
            <v>148858347.222</v>
          </cell>
          <cell r="R1269">
            <v>41310</v>
          </cell>
          <cell r="S1269">
            <v>45915941.07</v>
          </cell>
          <cell r="T1269">
            <v>175236</v>
          </cell>
          <cell r="U1269">
            <v>194774288.29200003</v>
          </cell>
          <cell r="W1269" t="str">
            <v>FNS Flex/ HX Flex</v>
          </cell>
        </row>
        <row r="1270">
          <cell r="A1270" t="str">
            <v>BoQ_1121</v>
          </cell>
          <cell r="B1270">
            <v>1121</v>
          </cell>
          <cell r="C1270">
            <v>6</v>
          </cell>
          <cell r="D1270" t="str">
            <v>VCD lắp đặt bổ sung</v>
          </cell>
          <cell r="L1270" t="str">
            <v>Lô</v>
          </cell>
          <cell r="M1270">
            <v>1</v>
          </cell>
          <cell r="N1270">
            <v>65316195.765000001</v>
          </cell>
          <cell r="O1270">
            <v>26126478.306000002</v>
          </cell>
          <cell r="P1270">
            <v>66622519.680300005</v>
          </cell>
          <cell r="Q1270">
            <v>66622519.680300005</v>
          </cell>
          <cell r="R1270">
            <v>26649007.87212</v>
          </cell>
          <cell r="S1270">
            <v>26649007.87212</v>
          </cell>
          <cell r="T1270">
            <v>93271527.552420005</v>
          </cell>
          <cell r="U1270">
            <v>93271527.552420005</v>
          </cell>
          <cell r="W1270" t="str">
            <v>Việt Nam</v>
          </cell>
        </row>
        <row r="1271">
          <cell r="A1271" t="str">
            <v>BoQ_1122</v>
          </cell>
          <cell r="B1271">
            <v>1122</v>
          </cell>
          <cell r="C1271">
            <v>7</v>
          </cell>
          <cell r="D1271" t="str">
            <v>Van 1 chiều NRD 1200x1200mm</v>
          </cell>
          <cell r="L1271" t="str">
            <v>Cái</v>
          </cell>
          <cell r="M1271">
            <v>2</v>
          </cell>
          <cell r="N1271">
            <v>2187500</v>
          </cell>
          <cell r="O1271">
            <v>60800</v>
          </cell>
          <cell r="P1271">
            <v>2231250</v>
          </cell>
          <cell r="Q1271">
            <v>4462500</v>
          </cell>
          <cell r="R1271">
            <v>62016</v>
          </cell>
          <cell r="S1271">
            <v>124032</v>
          </cell>
          <cell r="T1271">
            <v>2293266</v>
          </cell>
          <cell r="U1271">
            <v>4586532</v>
          </cell>
          <cell r="W1271" t="str">
            <v>Việt Nam</v>
          </cell>
        </row>
        <row r="1272">
          <cell r="A1272" t="str">
            <v>BoQ_1123</v>
          </cell>
          <cell r="B1272">
            <v>1123</v>
          </cell>
          <cell r="C1272">
            <v>8</v>
          </cell>
          <cell r="D1272" t="str">
            <v>Cổ bạt đầu máy</v>
          </cell>
          <cell r="L1272" t="str">
            <v>Cái</v>
          </cell>
          <cell r="M1272">
            <v>3</v>
          </cell>
          <cell r="N1272">
            <v>415000</v>
          </cell>
          <cell r="O1272">
            <v>243000</v>
          </cell>
          <cell r="P1272">
            <v>423300</v>
          </cell>
          <cell r="Q1272">
            <v>1269900</v>
          </cell>
          <cell r="R1272">
            <v>247860</v>
          </cell>
          <cell r="S1272">
            <v>743580</v>
          </cell>
          <cell r="T1272">
            <v>671160</v>
          </cell>
          <cell r="U1272">
            <v>2013480</v>
          </cell>
          <cell r="W1272" t="str">
            <v>Việt Nam</v>
          </cell>
        </row>
        <row r="1273">
          <cell r="A1273" t="str">
            <v>BoQ_1124</v>
          </cell>
          <cell r="B1273">
            <v>1124</v>
          </cell>
          <cell r="C1273">
            <v>9</v>
          </cell>
          <cell r="D1273" t="str">
            <v>Miệng gió 4 hướng khuếch tán,
kích thước cổ 450x450mm</v>
          </cell>
          <cell r="L1273" t="str">
            <v>Cái</v>
          </cell>
          <cell r="M1273">
            <v>45</v>
          </cell>
          <cell r="N1273">
            <v>306300</v>
          </cell>
          <cell r="O1273">
            <v>81000</v>
          </cell>
          <cell r="P1273">
            <v>312426</v>
          </cell>
          <cell r="Q1273">
            <v>14059170</v>
          </cell>
          <cell r="R1273">
            <v>82620</v>
          </cell>
          <cell r="S1273">
            <v>3717900</v>
          </cell>
          <cell r="T1273">
            <v>395046</v>
          </cell>
          <cell r="U1273">
            <v>17777070</v>
          </cell>
          <cell r="W1273" t="str">
            <v>Việt Nam</v>
          </cell>
        </row>
        <row r="1274">
          <cell r="A1274" t="str">
            <v>BoQ_1125</v>
          </cell>
          <cell r="B1274">
            <v>1125</v>
          </cell>
          <cell r="C1274">
            <v>9</v>
          </cell>
          <cell r="D1274" t="str">
            <v>Miệng gió dạng grill,
kích thước cổ 1500x700mm</v>
          </cell>
          <cell r="L1274" t="str">
            <v>Cái</v>
          </cell>
          <cell r="M1274">
            <v>8</v>
          </cell>
          <cell r="N1274">
            <v>1687500</v>
          </cell>
          <cell r="O1274">
            <v>472500</v>
          </cell>
          <cell r="P1274">
            <v>1721250</v>
          </cell>
          <cell r="Q1274">
            <v>13770000</v>
          </cell>
          <cell r="R1274">
            <v>481950</v>
          </cell>
          <cell r="S1274">
            <v>3855600</v>
          </cell>
          <cell r="T1274">
            <v>2203200</v>
          </cell>
          <cell r="U1274">
            <v>17625600</v>
          </cell>
          <cell r="W1274" t="str">
            <v>Việt Nam</v>
          </cell>
        </row>
        <row r="1275">
          <cell r="A1275" t="str">
            <v>BoQ_1126</v>
          </cell>
          <cell r="B1275">
            <v>1126</v>
          </cell>
          <cell r="C1275">
            <v>9</v>
          </cell>
          <cell r="D1275" t="str">
            <v>Miệng gió dạng grill,
kích thước cổ 600x600mm</v>
          </cell>
          <cell r="L1275" t="str">
            <v>Cái</v>
          </cell>
          <cell r="M1275">
            <v>6</v>
          </cell>
          <cell r="N1275">
            <v>403800</v>
          </cell>
          <cell r="O1275">
            <v>108000</v>
          </cell>
          <cell r="P1275">
            <v>411876</v>
          </cell>
          <cell r="Q1275">
            <v>2471256</v>
          </cell>
          <cell r="R1275">
            <v>110160</v>
          </cell>
          <cell r="S1275">
            <v>660960</v>
          </cell>
          <cell r="T1275">
            <v>522036</v>
          </cell>
          <cell r="U1275">
            <v>3132216</v>
          </cell>
          <cell r="W1275" t="str">
            <v>Việt Nam</v>
          </cell>
        </row>
        <row r="1276">
          <cell r="A1276" t="str">
            <v>BoQ_1127</v>
          </cell>
          <cell r="B1276">
            <v>1127</v>
          </cell>
          <cell r="C1276">
            <v>10</v>
          </cell>
          <cell r="D1276" t="str">
            <v xml:space="preserve">Hệ thống giá đỡ ống bổ sung </v>
          </cell>
          <cell r="L1276" t="str">
            <v>Lô</v>
          </cell>
          <cell r="M1276">
            <v>1</v>
          </cell>
          <cell r="N1276">
            <v>64330056.103799999</v>
          </cell>
          <cell r="O1276">
            <v>28948525.246709999</v>
          </cell>
          <cell r="P1276">
            <v>65616657.225876004</v>
          </cell>
          <cell r="Q1276">
            <v>65616657.225876004</v>
          </cell>
          <cell r="R1276">
            <v>29527495.751644198</v>
          </cell>
          <cell r="S1276">
            <v>29527495.751644198</v>
          </cell>
          <cell r="T1276">
            <v>95144152.977520198</v>
          </cell>
          <cell r="U1276">
            <v>95144152.977520198</v>
          </cell>
          <cell r="W1276" t="str">
            <v>Việt Nam</v>
          </cell>
        </row>
        <row r="1277">
          <cell r="A1277" t="str">
            <v>BoQ_1128</v>
          </cell>
          <cell r="B1277">
            <v>1128</v>
          </cell>
          <cell r="C1277">
            <v>11</v>
          </cell>
          <cell r="D1277" t="str">
            <v>Chi phí tháo dỡ đường ống cũ</v>
          </cell>
          <cell r="L1277" t="str">
            <v>Lô</v>
          </cell>
          <cell r="M1277">
            <v>1</v>
          </cell>
          <cell r="N1277">
            <v>0</v>
          </cell>
          <cell r="O1277">
            <v>22950000</v>
          </cell>
          <cell r="P1277">
            <v>0</v>
          </cell>
          <cell r="Q1277">
            <v>0</v>
          </cell>
          <cell r="R1277">
            <v>23409000</v>
          </cell>
          <cell r="S1277">
            <v>23409000</v>
          </cell>
          <cell r="T1277">
            <v>23409000</v>
          </cell>
          <cell r="U1277">
            <v>23409000</v>
          </cell>
          <cell r="W1277" t="str">
            <v>Việt Nam</v>
          </cell>
        </row>
        <row r="1278">
          <cell r="A1278" t="str">
            <v>BoQ_1129</v>
          </cell>
          <cell r="B1278">
            <v>1129</v>
          </cell>
          <cell r="C1278">
            <v>12</v>
          </cell>
          <cell r="D1278" t="str">
            <v>Chi phí đục tường và hoàn trả mặt bằng.</v>
          </cell>
          <cell r="L1278" t="str">
            <v>Lô</v>
          </cell>
          <cell r="M1278">
            <v>1</v>
          </cell>
          <cell r="N1278">
            <v>1250000</v>
          </cell>
          <cell r="O1278">
            <v>5400000</v>
          </cell>
          <cell r="P1278">
            <v>1275000</v>
          </cell>
          <cell r="Q1278">
            <v>1275000</v>
          </cell>
          <cell r="R1278">
            <v>5508000</v>
          </cell>
          <cell r="S1278">
            <v>5508000</v>
          </cell>
          <cell r="T1278">
            <v>6783000</v>
          </cell>
          <cell r="U1278">
            <v>6783000</v>
          </cell>
          <cell r="W1278" t="str">
            <v>Việt Nam</v>
          </cell>
        </row>
        <row r="1279">
          <cell r="C1279" t="str">
            <v>VI</v>
          </cell>
          <cell r="D1279" t="str">
            <v>CHI PHÍ KHÁC
OTHER COSTS</v>
          </cell>
        </row>
        <row r="1280">
          <cell r="A1280" t="str">
            <v>BoQ_1130</v>
          </cell>
          <cell r="B1280">
            <v>1130</v>
          </cell>
          <cell r="C1280">
            <v>1</v>
          </cell>
          <cell r="D1280" t="str">
            <v>CHI PHÍ KIỂM TRA, CHẠY THỬ
TESTING FEE</v>
          </cell>
          <cell r="L1280" t="str">
            <v>LOT</v>
          </cell>
          <cell r="M1280">
            <v>1</v>
          </cell>
          <cell r="N1280">
            <v>10000000</v>
          </cell>
          <cell r="O1280">
            <v>16200000</v>
          </cell>
          <cell r="P1280">
            <v>10200000</v>
          </cell>
          <cell r="Q1280">
            <v>10200000</v>
          </cell>
          <cell r="R1280">
            <v>16524000</v>
          </cell>
          <cell r="S1280">
            <v>16524000</v>
          </cell>
          <cell r="T1280">
            <v>26724000</v>
          </cell>
          <cell r="U1280">
            <v>26724000</v>
          </cell>
        </row>
        <row r="1281">
          <cell r="A1281" t="str">
            <v>BoQ_1131</v>
          </cell>
          <cell r="B1281">
            <v>1131</v>
          </cell>
          <cell r="C1281">
            <v>2</v>
          </cell>
          <cell r="D1281" t="str">
            <v>VẬN CHUYỂN VẬT TƯ, THIẾT BỊ ĐẾN CÔNG TRƯỜNG
TRANSPORTING MATERIALS AND EQUIPMENT TO THE SITE</v>
          </cell>
          <cell r="L1281" t="str">
            <v>LOT</v>
          </cell>
          <cell r="M1281">
            <v>1</v>
          </cell>
          <cell r="N1281">
            <v>0</v>
          </cell>
          <cell r="O1281">
            <v>40500000</v>
          </cell>
          <cell r="P1281">
            <v>0</v>
          </cell>
          <cell r="Q1281">
            <v>0</v>
          </cell>
          <cell r="R1281">
            <v>41310000</v>
          </cell>
          <cell r="S1281">
            <v>41310000</v>
          </cell>
          <cell r="T1281">
            <v>41310000</v>
          </cell>
          <cell r="U1281">
            <v>41310000</v>
          </cell>
        </row>
        <row r="1282">
          <cell r="A1282" t="str">
            <v>BoQ_1132</v>
          </cell>
          <cell r="B1282">
            <v>1132</v>
          </cell>
          <cell r="C1282">
            <v>3</v>
          </cell>
          <cell r="D1282" t="str">
            <v>Chi phí xe nâng hạ thi công
Construction forklift costs</v>
          </cell>
          <cell r="L1282" t="str">
            <v>LOT</v>
          </cell>
          <cell r="M1282">
            <v>1</v>
          </cell>
          <cell r="N1282">
            <v>0</v>
          </cell>
          <cell r="O1282">
            <v>97200000</v>
          </cell>
          <cell r="P1282">
            <v>0</v>
          </cell>
          <cell r="Q1282">
            <v>0</v>
          </cell>
          <cell r="R1282">
            <v>99144000</v>
          </cell>
          <cell r="S1282">
            <v>99144000</v>
          </cell>
          <cell r="T1282">
            <v>99144000</v>
          </cell>
          <cell r="U1282">
            <v>99144000</v>
          </cell>
        </row>
        <row r="1283">
          <cell r="C1283" t="str">
            <v>V</v>
          </cell>
          <cell r="D1283" t="str">
            <v>ĐIỀU HÒA CỤC BỘ CHO NHÀ PHỤ TRỢ
LOCAL AIR CONDITIONER FOR SUPPORT HOUSE</v>
          </cell>
        </row>
        <row r="1284">
          <cell r="A1284" t="str">
            <v>BoQ_1133</v>
          </cell>
          <cell r="B1284">
            <v>1133</v>
          </cell>
          <cell r="C1284">
            <v>1</v>
          </cell>
          <cell r="D1284" t="str">
            <v>ĐIỀU HÒA GẮN TƯỜNG
WALL-FIRE CONDITIONER</v>
          </cell>
          <cell r="E1284" t="str">
            <v xml:space="preserve">7.1 KW ( 24.200 BTU/H )         </v>
          </cell>
          <cell r="L1284" t="str">
            <v>Lots</v>
          </cell>
          <cell r="M1284">
            <v>1</v>
          </cell>
          <cell r="N1284">
            <v>0</v>
          </cell>
          <cell r="O1284">
            <v>540000</v>
          </cell>
          <cell r="P1284">
            <v>0</v>
          </cell>
          <cell r="Q1284">
            <v>0</v>
          </cell>
          <cell r="R1284">
            <v>550800</v>
          </cell>
          <cell r="S1284">
            <v>550800</v>
          </cell>
          <cell r="T1284">
            <v>550800</v>
          </cell>
          <cell r="U1284">
            <v>550800</v>
          </cell>
        </row>
        <row r="1285">
          <cell r="A1285" t="str">
            <v>BoQ_1134</v>
          </cell>
          <cell r="B1285">
            <v>1134</v>
          </cell>
          <cell r="C1285">
            <v>3</v>
          </cell>
          <cell r="D1285" t="str">
            <v>ĐIỀU HÒA GẮN TƯỜNG
WALL-FIRE CONDITIONER</v>
          </cell>
          <cell r="E1285" t="str">
            <v xml:space="preserve">5.1 KW ( 18.000 BTU/H )                </v>
          </cell>
          <cell r="L1285" t="str">
            <v>Lots</v>
          </cell>
          <cell r="M1285">
            <v>1</v>
          </cell>
          <cell r="N1285">
            <v>0</v>
          </cell>
          <cell r="O1285">
            <v>540000</v>
          </cell>
          <cell r="P1285">
            <v>0</v>
          </cell>
          <cell r="Q1285">
            <v>0</v>
          </cell>
          <cell r="R1285">
            <v>550800</v>
          </cell>
          <cell r="S1285">
            <v>550800</v>
          </cell>
          <cell r="T1285">
            <v>550800</v>
          </cell>
          <cell r="U1285">
            <v>550800</v>
          </cell>
        </row>
        <row r="1286">
          <cell r="A1286" t="str">
            <v>BoQ_1135</v>
          </cell>
          <cell r="B1286">
            <v>1135</v>
          </cell>
          <cell r="C1286">
            <v>4</v>
          </cell>
          <cell r="D1286" t="str">
            <v>ĐIỀU HÒA GẮN TƯỜNG
WALL-FIRE CONDITIONER</v>
          </cell>
          <cell r="E1286" t="str">
            <v>3.5 KW ( 12.200 BTU/H )              
1 chiều FTKY35WAVMV</v>
          </cell>
          <cell r="L1286" t="str">
            <v>Lots</v>
          </cell>
          <cell r="M1286">
            <v>1</v>
          </cell>
          <cell r="N1286">
            <v>0</v>
          </cell>
          <cell r="O1286">
            <v>405000</v>
          </cell>
          <cell r="P1286">
            <v>0</v>
          </cell>
          <cell r="Q1286">
            <v>0</v>
          </cell>
          <cell r="R1286">
            <v>413100</v>
          </cell>
          <cell r="S1286">
            <v>413100</v>
          </cell>
          <cell r="T1286">
            <v>413100</v>
          </cell>
          <cell r="U1286">
            <v>413100</v>
          </cell>
        </row>
        <row r="1287">
          <cell r="D1287" t="str">
            <v xml:space="preserve"> ỐNG ĐỒNG &amp; BẢO ÔN
COPPER TUBE &amp; INSULATION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</row>
        <row r="1288">
          <cell r="A1288" t="str">
            <v>BoQ_1136</v>
          </cell>
          <cell r="B1288">
            <v>1136</v>
          </cell>
          <cell r="D1288" t="str">
            <v>Ref pipe-Ø15.9mm x 0.81 mmthk</v>
          </cell>
          <cell r="L1288" t="str">
            <v>M</v>
          </cell>
          <cell r="M1288">
            <v>30</v>
          </cell>
          <cell r="N1288">
            <v>100700</v>
          </cell>
          <cell r="O1288">
            <v>23000</v>
          </cell>
          <cell r="P1288">
            <v>102714</v>
          </cell>
          <cell r="Q1288">
            <v>3081420</v>
          </cell>
          <cell r="R1288">
            <v>23460</v>
          </cell>
          <cell r="S1288">
            <v>703800</v>
          </cell>
          <cell r="T1288">
            <v>126174</v>
          </cell>
          <cell r="U1288">
            <v>3785220</v>
          </cell>
        </row>
        <row r="1289">
          <cell r="A1289" t="str">
            <v>BoQ_1137</v>
          </cell>
          <cell r="B1289">
            <v>1137</v>
          </cell>
          <cell r="D1289" t="str">
            <v>Ref pipe-Ø12.7mm x 0.81 mmthk</v>
          </cell>
          <cell r="L1289" t="str">
            <v>M</v>
          </cell>
          <cell r="M1289">
            <v>30</v>
          </cell>
          <cell r="N1289">
            <v>79400</v>
          </cell>
          <cell r="O1289">
            <v>20300</v>
          </cell>
          <cell r="P1289">
            <v>80988</v>
          </cell>
          <cell r="Q1289">
            <v>2429640</v>
          </cell>
          <cell r="R1289">
            <v>20706</v>
          </cell>
          <cell r="S1289">
            <v>621180</v>
          </cell>
          <cell r="T1289">
            <v>101694</v>
          </cell>
          <cell r="U1289">
            <v>3050820</v>
          </cell>
        </row>
        <row r="1290">
          <cell r="A1290" t="str">
            <v>BoQ_1138</v>
          </cell>
          <cell r="B1290">
            <v>1138</v>
          </cell>
          <cell r="D1290" t="str">
            <v>Ref pipe-Ø9.5mm x 0.71 mmthk</v>
          </cell>
          <cell r="L1290" t="str">
            <v>M</v>
          </cell>
          <cell r="M1290">
            <v>30</v>
          </cell>
          <cell r="N1290">
            <v>51600</v>
          </cell>
          <cell r="O1290">
            <v>16200</v>
          </cell>
          <cell r="P1290">
            <v>52632</v>
          </cell>
          <cell r="Q1290">
            <v>1578960</v>
          </cell>
          <cell r="R1290">
            <v>16524</v>
          </cell>
          <cell r="S1290">
            <v>495720</v>
          </cell>
          <cell r="T1290">
            <v>69156</v>
          </cell>
          <cell r="U1290">
            <v>2074680</v>
          </cell>
        </row>
        <row r="1291">
          <cell r="A1291" t="str">
            <v>BoQ_1139</v>
          </cell>
          <cell r="B1291">
            <v>1139</v>
          </cell>
          <cell r="D1291" t="str">
            <v>Ref pipe-Ø6.4mm x 0.71 mmthk</v>
          </cell>
          <cell r="L1291" t="str">
            <v>M</v>
          </cell>
          <cell r="M1291">
            <v>30</v>
          </cell>
          <cell r="N1291">
            <v>33100</v>
          </cell>
          <cell r="O1291">
            <v>16200</v>
          </cell>
          <cell r="P1291">
            <v>33762</v>
          </cell>
          <cell r="Q1291">
            <v>1012860</v>
          </cell>
          <cell r="R1291">
            <v>16524</v>
          </cell>
          <cell r="S1291">
            <v>495720</v>
          </cell>
          <cell r="T1291">
            <v>50286</v>
          </cell>
          <cell r="U1291">
            <v>1508580</v>
          </cell>
        </row>
        <row r="1292">
          <cell r="A1292" t="str">
            <v>BoQ_1140</v>
          </cell>
          <cell r="B1292">
            <v>1140</v>
          </cell>
          <cell r="D1292" t="str">
            <v>Copper pipe fitting/ Phụ kiện</v>
          </cell>
          <cell r="L1292" t="str">
            <v>Lot</v>
          </cell>
          <cell r="M1292">
            <v>1</v>
          </cell>
          <cell r="N1292">
            <v>714960</v>
          </cell>
          <cell r="O1292">
            <v>321732</v>
          </cell>
          <cell r="P1292">
            <v>729259.20000000007</v>
          </cell>
          <cell r="Q1292">
            <v>729259.20000000007</v>
          </cell>
          <cell r="R1292">
            <v>328166.64</v>
          </cell>
          <cell r="S1292">
            <v>328166.64</v>
          </cell>
          <cell r="T1292">
            <v>1057425.8400000001</v>
          </cell>
          <cell r="U1292">
            <v>1057425.8400000001</v>
          </cell>
        </row>
        <row r="1293">
          <cell r="A1293" t="str">
            <v>BoQ_1141</v>
          </cell>
          <cell r="B1293">
            <v>1141</v>
          </cell>
          <cell r="D1293" t="str">
            <v>Support for pipe</v>
          </cell>
          <cell r="L1293" t="str">
            <v>Lot</v>
          </cell>
          <cell r="M1293">
            <v>1</v>
          </cell>
          <cell r="N1293">
            <v>953280</v>
          </cell>
          <cell r="O1293">
            <v>428976</v>
          </cell>
          <cell r="P1293">
            <v>972345.6</v>
          </cell>
          <cell r="Q1293">
            <v>972345.6</v>
          </cell>
          <cell r="R1293">
            <v>437555.52</v>
          </cell>
          <cell r="S1293">
            <v>437555.52</v>
          </cell>
          <cell r="T1293">
            <v>1409901.12</v>
          </cell>
          <cell r="U1293">
            <v>1409901.12</v>
          </cell>
        </row>
        <row r="1294">
          <cell r="D1294" t="str">
            <v>Insulation for Copper pipe/ Bảo ôn ống đồng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</row>
        <row r="1295">
          <cell r="A1295" t="str">
            <v>BoQ_1142</v>
          </cell>
          <cell r="B1295">
            <v>1142</v>
          </cell>
          <cell r="D1295" t="str">
            <v>Ø15.9 mm x 19 mmthk</v>
          </cell>
          <cell r="L1295" t="str">
            <v>M</v>
          </cell>
          <cell r="M1295">
            <v>30</v>
          </cell>
          <cell r="N1295">
            <v>19200</v>
          </cell>
          <cell r="O1295">
            <v>10800</v>
          </cell>
          <cell r="P1295">
            <v>19584</v>
          </cell>
          <cell r="Q1295">
            <v>587520</v>
          </cell>
          <cell r="R1295">
            <v>11016</v>
          </cell>
          <cell r="S1295">
            <v>330480</v>
          </cell>
          <cell r="T1295">
            <v>30600</v>
          </cell>
          <cell r="U1295">
            <v>918000</v>
          </cell>
        </row>
        <row r="1296">
          <cell r="A1296" t="str">
            <v>BoQ_1143</v>
          </cell>
          <cell r="B1296">
            <v>1143</v>
          </cell>
          <cell r="D1296" t="str">
            <v>Ø12.7 mm x 19 mmthk</v>
          </cell>
          <cell r="L1296" t="str">
            <v>M</v>
          </cell>
          <cell r="M1296">
            <v>30</v>
          </cell>
          <cell r="N1296">
            <v>17100</v>
          </cell>
          <cell r="O1296">
            <v>9500</v>
          </cell>
          <cell r="P1296">
            <v>17442</v>
          </cell>
          <cell r="Q1296">
            <v>523260</v>
          </cell>
          <cell r="R1296">
            <v>9690</v>
          </cell>
          <cell r="S1296">
            <v>290700</v>
          </cell>
          <cell r="T1296">
            <v>27132</v>
          </cell>
          <cell r="U1296">
            <v>813960</v>
          </cell>
        </row>
        <row r="1297">
          <cell r="A1297" t="str">
            <v>BoQ_1144</v>
          </cell>
          <cell r="B1297">
            <v>1144</v>
          </cell>
          <cell r="D1297" t="str">
            <v>Ø9.5 mm x 19 mmthk</v>
          </cell>
          <cell r="L1297" t="str">
            <v>M</v>
          </cell>
          <cell r="M1297">
            <v>30</v>
          </cell>
          <cell r="N1297">
            <v>14400</v>
          </cell>
          <cell r="O1297">
            <v>8100</v>
          </cell>
          <cell r="P1297">
            <v>14688</v>
          </cell>
          <cell r="Q1297">
            <v>440640</v>
          </cell>
          <cell r="R1297">
            <v>8262</v>
          </cell>
          <cell r="S1297">
            <v>247860</v>
          </cell>
          <cell r="T1297">
            <v>22950</v>
          </cell>
          <cell r="U1297">
            <v>688500</v>
          </cell>
        </row>
        <row r="1298">
          <cell r="A1298" t="str">
            <v>BoQ_1145</v>
          </cell>
          <cell r="B1298">
            <v>1145</v>
          </cell>
          <cell r="D1298" t="str">
            <v>Ø6.4 mm x 19 mmthk</v>
          </cell>
          <cell r="L1298" t="str">
            <v>M</v>
          </cell>
          <cell r="M1298">
            <v>30</v>
          </cell>
          <cell r="N1298">
            <v>12300</v>
          </cell>
          <cell r="O1298">
            <v>8100</v>
          </cell>
          <cell r="P1298">
            <v>12546</v>
          </cell>
          <cell r="Q1298">
            <v>376380</v>
          </cell>
          <cell r="R1298">
            <v>8262</v>
          </cell>
          <cell r="S1298">
            <v>247860</v>
          </cell>
          <cell r="T1298">
            <v>20808</v>
          </cell>
          <cell r="U1298">
            <v>624240</v>
          </cell>
        </row>
        <row r="1299">
          <cell r="D1299" t="str">
            <v>ỐNG NƯỚC NGƯNG VÀ BẢO ÔN
CONTINUOUS WATER PIPE AND INSULATION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</row>
        <row r="1300">
          <cell r="A1300" t="str">
            <v>BoQ_1146</v>
          </cell>
          <cell r="B1300">
            <v>1146</v>
          </cell>
          <cell r="D1300" t="str">
            <v>uPVC_PN10-25A</v>
          </cell>
          <cell r="L1300" t="str">
            <v>M</v>
          </cell>
          <cell r="M1300">
            <v>18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</row>
        <row r="1301">
          <cell r="A1301" t="str">
            <v>BoQ_1147</v>
          </cell>
          <cell r="B1301">
            <v>1147</v>
          </cell>
          <cell r="D1301" t="str">
            <v>DN 25 &amp; BẢO ÔN DẦY 13
DN 25 &amp; BAO INSULATION 13</v>
          </cell>
          <cell r="L1301" t="str">
            <v>M</v>
          </cell>
          <cell r="M1301">
            <v>18</v>
          </cell>
          <cell r="N1301">
            <v>11500</v>
          </cell>
          <cell r="O1301">
            <v>12200</v>
          </cell>
          <cell r="P1301">
            <v>11730</v>
          </cell>
          <cell r="Q1301">
            <v>211140</v>
          </cell>
          <cell r="R1301">
            <v>12444</v>
          </cell>
          <cell r="S1301">
            <v>223992</v>
          </cell>
          <cell r="T1301">
            <v>24174</v>
          </cell>
          <cell r="U1301">
            <v>435132</v>
          </cell>
        </row>
        <row r="1302">
          <cell r="A1302" t="str">
            <v>BoQ_1148</v>
          </cell>
          <cell r="B1302">
            <v>1148</v>
          </cell>
          <cell r="D1302" t="str">
            <v>CHI PHÍ KHÁC
OTHER COSTS</v>
          </cell>
          <cell r="L1302" t="str">
            <v>Lot</v>
          </cell>
          <cell r="M1302">
            <v>1</v>
          </cell>
          <cell r="N1302">
            <v>13800</v>
          </cell>
          <cell r="O1302">
            <v>9500</v>
          </cell>
          <cell r="P1302">
            <v>14076</v>
          </cell>
          <cell r="Q1302">
            <v>14076</v>
          </cell>
          <cell r="R1302">
            <v>9690</v>
          </cell>
          <cell r="S1302">
            <v>9690</v>
          </cell>
          <cell r="T1302">
            <v>23766</v>
          </cell>
          <cell r="U1302">
            <v>23766</v>
          </cell>
        </row>
        <row r="1303">
          <cell r="D1303" t="str">
            <v>HỆ THỐNG TẤM NĂNG LƯỢNG MẶT TRỜI, CÔNG SUẤT 540KWP
SOLAR PV SYSTEM, 540KWP CAPACITY</v>
          </cell>
          <cell r="U1303">
            <v>6987753670.8599997</v>
          </cell>
          <cell r="V1303">
            <v>297351.22003659571</v>
          </cell>
        </row>
        <row r="1304">
          <cell r="C1304">
            <v>1</v>
          </cell>
          <cell r="D1304" t="str">
            <v>THIẾT BỊ / EQUIPMENT</v>
          </cell>
          <cell r="U1304">
            <v>6390744439.5</v>
          </cell>
        </row>
        <row r="1305">
          <cell r="A1305" t="str">
            <v>BoQ_1149</v>
          </cell>
          <cell r="B1305">
            <v>1149</v>
          </cell>
          <cell r="C1305">
            <v>1</v>
          </cell>
          <cell r="D1305" t="str">
            <v>Tấm năng lượng Mặt Trời Canadian Solar hoặc tương đương, 550Wp, KT 2280x1135, đơn tinh thể
Solar panel, Canadian solar brand or equivalent, 545Wp, 2280x1135, mono crystaline</v>
          </cell>
          <cell r="L1305" t="str">
            <v>tấm</v>
          </cell>
          <cell r="M1305">
            <v>1000</v>
          </cell>
          <cell r="N1305">
            <v>3630000</v>
          </cell>
          <cell r="O1305">
            <v>80000</v>
          </cell>
          <cell r="P1305">
            <v>3702600</v>
          </cell>
          <cell r="Q1305">
            <v>3702600000</v>
          </cell>
          <cell r="R1305">
            <v>81600</v>
          </cell>
          <cell r="S1305">
            <v>81600000</v>
          </cell>
          <cell r="T1305">
            <v>3784200</v>
          </cell>
          <cell r="U1305">
            <v>3784200000</v>
          </cell>
        </row>
        <row r="1306">
          <cell r="A1306" t="str">
            <v>BoQ_1150</v>
          </cell>
          <cell r="B1306">
            <v>1150</v>
          </cell>
          <cell r="C1306">
            <v>766</v>
          </cell>
          <cell r="D1306" t="str">
            <v>Bộ chuyển đổi dòng điện, inverter, công suất 110kW,
Inverter dc-ac, 110kW</v>
          </cell>
          <cell r="L1306" t="str">
            <v>bộ</v>
          </cell>
          <cell r="M1306">
            <v>5</v>
          </cell>
          <cell r="N1306">
            <v>105000000</v>
          </cell>
          <cell r="O1306">
            <v>5000000</v>
          </cell>
          <cell r="P1306">
            <v>107100000</v>
          </cell>
          <cell r="Q1306">
            <v>535500000</v>
          </cell>
          <cell r="R1306">
            <v>5100000</v>
          </cell>
          <cell r="S1306">
            <v>25500000</v>
          </cell>
          <cell r="T1306">
            <v>112200000</v>
          </cell>
          <cell r="U1306">
            <v>561000000</v>
          </cell>
        </row>
        <row r="1307">
          <cell r="A1307" t="str">
            <v>BoQ_1151</v>
          </cell>
          <cell r="B1307">
            <v>1151</v>
          </cell>
          <cell r="C1307">
            <v>766</v>
          </cell>
          <cell r="D1307" t="str">
            <v>Tủ điện Hệ thống giám sát năng lượng
DB monitoring energy</v>
          </cell>
          <cell r="L1307" t="str">
            <v>lot</v>
          </cell>
          <cell r="M1307">
            <v>1</v>
          </cell>
          <cell r="N1307">
            <v>30000000</v>
          </cell>
          <cell r="O1307">
            <v>5000000</v>
          </cell>
          <cell r="P1307">
            <v>30600000</v>
          </cell>
          <cell r="Q1307">
            <v>30600000</v>
          </cell>
          <cell r="R1307">
            <v>5100000</v>
          </cell>
          <cell r="S1307">
            <v>5100000</v>
          </cell>
          <cell r="T1307">
            <v>35700000</v>
          </cell>
          <cell r="U1307">
            <v>35700000</v>
          </cell>
        </row>
        <row r="1308">
          <cell r="A1308" t="str">
            <v>BoQ_1152</v>
          </cell>
          <cell r="B1308">
            <v>1152</v>
          </cell>
          <cell r="C1308">
            <v>766</v>
          </cell>
          <cell r="D1308" t="str">
            <v>Tủ điện MDB PV, ACB 4P 1250A / DB MDB PV, ACB 4P 1250A</v>
          </cell>
          <cell r="L1308" t="str">
            <v>tủ</v>
          </cell>
          <cell r="M1308">
            <v>1</v>
          </cell>
          <cell r="N1308">
            <v>136000000</v>
          </cell>
          <cell r="O1308">
            <v>5000000</v>
          </cell>
          <cell r="P1308">
            <v>138720000</v>
          </cell>
          <cell r="Q1308">
            <v>138720000</v>
          </cell>
          <cell r="R1308">
            <v>5100000</v>
          </cell>
          <cell r="S1308">
            <v>5100000</v>
          </cell>
          <cell r="T1308">
            <v>143820000</v>
          </cell>
          <cell r="U1308">
            <v>143820000</v>
          </cell>
        </row>
        <row r="1309">
          <cell r="A1309" t="str">
            <v>BoQ_1153</v>
          </cell>
          <cell r="B1309">
            <v>1153</v>
          </cell>
          <cell r="C1309">
            <v>767</v>
          </cell>
          <cell r="D1309" t="str">
            <v>Tủ điện MDB TG, ACB 4P 1250A / DB MDB TG, ACB 4P 1250A</v>
          </cell>
          <cell r="L1309" t="str">
            <v>tủ</v>
          </cell>
          <cell r="M1309">
            <v>1</v>
          </cell>
          <cell r="N1309">
            <v>86000000</v>
          </cell>
          <cell r="O1309">
            <v>5000000</v>
          </cell>
          <cell r="P1309">
            <v>87720000</v>
          </cell>
          <cell r="Q1309">
            <v>87720000</v>
          </cell>
          <cell r="R1309">
            <v>5100000</v>
          </cell>
          <cell r="S1309">
            <v>5100000</v>
          </cell>
          <cell r="T1309">
            <v>92820000</v>
          </cell>
          <cell r="U1309">
            <v>92820000</v>
          </cell>
        </row>
        <row r="1310">
          <cell r="A1310" t="str">
            <v>BoQ_1154</v>
          </cell>
          <cell r="B1310">
            <v>1154</v>
          </cell>
          <cell r="C1310">
            <v>768</v>
          </cell>
          <cell r="D1310" t="str">
            <v>Cáp điện AC, CU/PVC/XPLE/ 4x(3x1Cx185mm2) + Ex 1Cx120mm2 / Cable</v>
          </cell>
          <cell r="L1310" t="str">
            <v>m</v>
          </cell>
          <cell r="M1310">
            <v>45</v>
          </cell>
          <cell r="N1310">
            <v>5180297</v>
          </cell>
          <cell r="O1310">
            <v>618500</v>
          </cell>
          <cell r="P1310">
            <v>5283902.9400000004</v>
          </cell>
          <cell r="Q1310">
            <v>237775632.30000001</v>
          </cell>
          <cell r="R1310">
            <v>630870</v>
          </cell>
          <cell r="S1310">
            <v>28389150</v>
          </cell>
          <cell r="T1310">
            <v>5914772.9400000004</v>
          </cell>
          <cell r="U1310">
            <v>266164782.30000001</v>
          </cell>
        </row>
        <row r="1311">
          <cell r="A1311" t="str">
            <v>BoQ_1155</v>
          </cell>
          <cell r="B1311">
            <v>1155</v>
          </cell>
          <cell r="C1311">
            <v>769</v>
          </cell>
          <cell r="D1311" t="str">
            <v>Cáp điện DC, CU/PVC/XPLE/ 4x(1x1Cx70mm2) + Ex 1Cx25mm2 / Cable</v>
          </cell>
          <cell r="L1311" t="str">
            <v>m</v>
          </cell>
          <cell r="M1311">
            <v>612</v>
          </cell>
          <cell r="N1311">
            <v>666625</v>
          </cell>
          <cell r="O1311">
            <v>105200</v>
          </cell>
          <cell r="P1311">
            <v>679957.5</v>
          </cell>
          <cell r="Q1311">
            <v>416133990</v>
          </cell>
          <cell r="R1311">
            <v>107304</v>
          </cell>
          <cell r="S1311">
            <v>65670048</v>
          </cell>
          <cell r="T1311">
            <v>787261.5</v>
          </cell>
          <cell r="U1311">
            <v>481804038</v>
          </cell>
        </row>
        <row r="1312">
          <cell r="A1312" t="str">
            <v>BoQ_1156</v>
          </cell>
          <cell r="B1312">
            <v>1156</v>
          </cell>
          <cell r="C1312">
            <v>770</v>
          </cell>
          <cell r="D1312" t="str">
            <v>Dây điện DC, CU/PVC 1x4mm2 wiring</v>
          </cell>
          <cell r="L1312" t="str">
            <v>m</v>
          </cell>
          <cell r="M1312">
            <v>9720</v>
          </cell>
          <cell r="N1312">
            <v>8968</v>
          </cell>
          <cell r="O1312">
            <v>3700</v>
          </cell>
          <cell r="P1312">
            <v>9147.36</v>
          </cell>
          <cell r="Q1312">
            <v>88912339.200000003</v>
          </cell>
          <cell r="R1312">
            <v>3774</v>
          </cell>
          <cell r="S1312">
            <v>36683280</v>
          </cell>
          <cell r="T1312">
            <v>12921.36</v>
          </cell>
          <cell r="U1312">
            <v>125595619.2</v>
          </cell>
        </row>
        <row r="1313">
          <cell r="A1313" t="str">
            <v>BoQ_1157</v>
          </cell>
          <cell r="B1313">
            <v>1157</v>
          </cell>
          <cell r="C1313">
            <v>771</v>
          </cell>
          <cell r="D1313" t="str">
            <v>Phụ kiện dây cáp điện / Electric cable and wiring accessories</v>
          </cell>
          <cell r="L1313" t="str">
            <v>lot</v>
          </cell>
          <cell r="M1313">
            <v>1</v>
          </cell>
          <cell r="N1313">
            <v>25000000</v>
          </cell>
          <cell r="O1313">
            <v>0</v>
          </cell>
          <cell r="P1313">
            <v>25500000</v>
          </cell>
          <cell r="Q1313">
            <v>25500000</v>
          </cell>
          <cell r="R1313">
            <v>0</v>
          </cell>
          <cell r="S1313">
            <v>0</v>
          </cell>
          <cell r="T1313">
            <v>25500000</v>
          </cell>
          <cell r="U1313">
            <v>25500000</v>
          </cell>
        </row>
        <row r="1314">
          <cell r="A1314" t="str">
            <v>BoQ_1158</v>
          </cell>
          <cell r="B1314">
            <v>1158</v>
          </cell>
          <cell r="C1314">
            <v>772</v>
          </cell>
          <cell r="D1314" t="str">
            <v>Sàn thao tác và dây an toàn bảo trì hệ thống / Working platform and safety string for maintenance</v>
          </cell>
          <cell r="L1314" t="str">
            <v>lot</v>
          </cell>
          <cell r="M1314">
            <v>1</v>
          </cell>
          <cell r="N1314">
            <v>135000000</v>
          </cell>
          <cell r="O1314">
            <v>24000000</v>
          </cell>
          <cell r="P1314">
            <v>137700000</v>
          </cell>
          <cell r="Q1314">
            <v>137700000</v>
          </cell>
          <cell r="R1314">
            <v>24480000</v>
          </cell>
          <cell r="S1314">
            <v>24480000</v>
          </cell>
          <cell r="T1314">
            <v>162180000</v>
          </cell>
          <cell r="U1314">
            <v>162180000</v>
          </cell>
        </row>
        <row r="1315">
          <cell r="A1315" t="str">
            <v>BoQ_1159</v>
          </cell>
          <cell r="B1315">
            <v>1159</v>
          </cell>
          <cell r="C1315">
            <v>773</v>
          </cell>
          <cell r="D1315" t="str">
            <v>Hệ thống khung giá đỡ tấm năng lượng mặt trời
Support frame for solar panel</v>
          </cell>
          <cell r="L1315" t="str">
            <v>lot</v>
          </cell>
          <cell r="M1315">
            <v>1</v>
          </cell>
          <cell r="N1315">
            <v>440000000</v>
          </cell>
          <cell r="O1315">
            <v>66000000</v>
          </cell>
          <cell r="P1315">
            <v>448800000</v>
          </cell>
          <cell r="Q1315">
            <v>448800000</v>
          </cell>
          <cell r="R1315">
            <v>67320000</v>
          </cell>
          <cell r="S1315">
            <v>67320000</v>
          </cell>
          <cell r="T1315">
            <v>516120000</v>
          </cell>
          <cell r="U1315">
            <v>516120000</v>
          </cell>
        </row>
        <row r="1316">
          <cell r="A1316" t="str">
            <v>BoQ_1160</v>
          </cell>
          <cell r="B1316">
            <v>1160</v>
          </cell>
          <cell r="C1316">
            <v>774</v>
          </cell>
          <cell r="D1316" t="str">
            <v>Hệ thống thang máng cáp, phụ kiện
Cable trunking and accessories</v>
          </cell>
          <cell r="L1316" t="str">
            <v>lot</v>
          </cell>
          <cell r="M1316">
            <v>1</v>
          </cell>
          <cell r="N1316">
            <v>82000000</v>
          </cell>
          <cell r="O1316">
            <v>30000000</v>
          </cell>
          <cell r="P1316">
            <v>83640000</v>
          </cell>
          <cell r="Q1316">
            <v>83640000</v>
          </cell>
          <cell r="R1316">
            <v>30600000</v>
          </cell>
          <cell r="S1316">
            <v>30600000</v>
          </cell>
          <cell r="T1316">
            <v>114240000</v>
          </cell>
          <cell r="U1316">
            <v>114240000</v>
          </cell>
        </row>
        <row r="1317">
          <cell r="A1317" t="str">
            <v>BoQ_1161</v>
          </cell>
          <cell r="B1317">
            <v>1161</v>
          </cell>
          <cell r="C1317">
            <v>775</v>
          </cell>
          <cell r="D1317" t="str">
            <v>Hệ thống chống sét lan truyền DC, AC
Lightning protection</v>
          </cell>
          <cell r="L1317" t="str">
            <v>lot</v>
          </cell>
          <cell r="M1317">
            <v>1</v>
          </cell>
          <cell r="N1317">
            <v>15000000</v>
          </cell>
          <cell r="O1317">
            <v>4000000</v>
          </cell>
          <cell r="P1317">
            <v>15300000</v>
          </cell>
          <cell r="Q1317">
            <v>15300000</v>
          </cell>
          <cell r="R1317">
            <v>4080000</v>
          </cell>
          <cell r="S1317">
            <v>4080000</v>
          </cell>
          <cell r="T1317">
            <v>19380000</v>
          </cell>
          <cell r="U1317">
            <v>19380000</v>
          </cell>
        </row>
        <row r="1318">
          <cell r="A1318" t="str">
            <v>BoQ_1162</v>
          </cell>
          <cell r="B1318">
            <v>1162</v>
          </cell>
          <cell r="C1318">
            <v>776</v>
          </cell>
          <cell r="D1318" t="str">
            <v>Hệ thống cấp nước phục vụ vệ sinh tấm NLMT 
Water supply system for cleaning solar panel</v>
          </cell>
          <cell r="L1318" t="str">
            <v>lot</v>
          </cell>
          <cell r="M1318">
            <v>1</v>
          </cell>
          <cell r="N1318">
            <v>18000000</v>
          </cell>
          <cell r="O1318">
            <v>10000000</v>
          </cell>
          <cell r="P1318">
            <v>18360000</v>
          </cell>
          <cell r="Q1318">
            <v>18360000</v>
          </cell>
          <cell r="R1318">
            <v>10200000</v>
          </cell>
          <cell r="S1318">
            <v>10200000</v>
          </cell>
          <cell r="T1318">
            <v>28560000</v>
          </cell>
          <cell r="U1318">
            <v>28560000</v>
          </cell>
        </row>
        <row r="1319">
          <cell r="A1319" t="str">
            <v>BoQ_1163</v>
          </cell>
          <cell r="B1319">
            <v>1163</v>
          </cell>
          <cell r="C1319">
            <v>777</v>
          </cell>
          <cell r="D1319" t="str">
            <v>Bổ sung họng nước chữa cháy trên mái, đầu báo cháy khu vực đặt inverter, đèn exit
Install fire hydrant point, fire alarm, exit lamp…</v>
          </cell>
          <cell r="L1319" t="str">
            <v>lot</v>
          </cell>
          <cell r="M1319">
            <v>1</v>
          </cell>
          <cell r="N1319">
            <v>25000000</v>
          </cell>
          <cell r="O1319">
            <v>8000000</v>
          </cell>
          <cell r="P1319">
            <v>25500000</v>
          </cell>
          <cell r="Q1319">
            <v>25500000</v>
          </cell>
          <cell r="R1319">
            <v>8160000</v>
          </cell>
          <cell r="S1319">
            <v>8160000</v>
          </cell>
          <cell r="T1319">
            <v>33660000</v>
          </cell>
          <cell r="U1319">
            <v>33660000</v>
          </cell>
        </row>
        <row r="1320">
          <cell r="C1320">
            <v>2</v>
          </cell>
          <cell r="D1320" t="str">
            <v>NÂNG BẬC CHỊU LỬA</v>
          </cell>
        </row>
        <row r="1321">
          <cell r="D1321" t="str">
            <v>Khu sản xuất</v>
          </cell>
        </row>
        <row r="1322">
          <cell r="A1322" t="str">
            <v>BoQ_1164</v>
          </cell>
          <cell r="B1322">
            <v>1164</v>
          </cell>
          <cell r="C1322">
            <v>778</v>
          </cell>
          <cell r="D1322" t="str">
            <v>Bọc chống cháy kèo mái
Roof truss fireproof cover</v>
          </cell>
          <cell r="L1322" t="str">
            <v>Lot</v>
          </cell>
          <cell r="M1322">
            <v>1</v>
          </cell>
          <cell r="N1322">
            <v>450000000</v>
          </cell>
          <cell r="P1322">
            <v>459000000</v>
          </cell>
          <cell r="Q1322">
            <v>459000000</v>
          </cell>
          <cell r="R1322">
            <v>0</v>
          </cell>
          <cell r="S1322">
            <v>0</v>
          </cell>
          <cell r="T1322">
            <v>459000000</v>
          </cell>
          <cell r="U1322">
            <v>459000000</v>
          </cell>
        </row>
        <row r="1323">
          <cell r="A1323" t="str">
            <v>BoQ_1165</v>
          </cell>
          <cell r="B1323">
            <v>1165</v>
          </cell>
          <cell r="C1323">
            <v>779</v>
          </cell>
          <cell r="D1323" t="str">
            <v>Xây tường 110 bọc cột thép nhà xưởng
Build 110 wall covered with steel column</v>
          </cell>
          <cell r="L1323" t="str">
            <v>m3</v>
          </cell>
          <cell r="M1323">
            <v>35.00112</v>
          </cell>
          <cell r="N1323">
            <v>950000</v>
          </cell>
          <cell r="O1323">
            <v>700000</v>
          </cell>
          <cell r="P1323">
            <v>969000</v>
          </cell>
          <cell r="Q1323">
            <v>33916085.280000001</v>
          </cell>
          <cell r="R1323">
            <v>714000</v>
          </cell>
          <cell r="S1323">
            <v>24990799.68</v>
          </cell>
          <cell r="T1323">
            <v>1683000</v>
          </cell>
          <cell r="U1323">
            <v>58906884.960000001</v>
          </cell>
        </row>
        <row r="1324">
          <cell r="A1324" t="str">
            <v>BoQ_1166</v>
          </cell>
          <cell r="B1324">
            <v>1166</v>
          </cell>
          <cell r="C1324">
            <v>780</v>
          </cell>
          <cell r="D1324" t="str">
            <v>Trát cột 
Plastering columns</v>
          </cell>
          <cell r="L1324" t="str">
            <v>m2</v>
          </cell>
          <cell r="M1324">
            <v>402.86400000000003</v>
          </cell>
          <cell r="N1324">
            <v>65000</v>
          </cell>
          <cell r="O1324">
            <v>85000</v>
          </cell>
          <cell r="P1324">
            <v>66300</v>
          </cell>
          <cell r="Q1324">
            <v>26709883.200000003</v>
          </cell>
          <cell r="R1324">
            <v>86700</v>
          </cell>
          <cell r="S1324">
            <v>34928308.800000004</v>
          </cell>
          <cell r="T1324">
            <v>153000</v>
          </cell>
          <cell r="U1324">
            <v>61638192.000000007</v>
          </cell>
        </row>
        <row r="1325">
          <cell r="A1325" t="str">
            <v>BoQ_1167</v>
          </cell>
          <cell r="B1325">
            <v>1167</v>
          </cell>
          <cell r="C1325">
            <v>781</v>
          </cell>
          <cell r="D1325" t="str">
            <v>Sơn bả hoàn thiện cột
Finishing paint on the column</v>
          </cell>
          <cell r="L1325" t="str">
            <v>m2</v>
          </cell>
          <cell r="M1325">
            <v>201.43200000000002</v>
          </cell>
          <cell r="N1325">
            <v>40000</v>
          </cell>
          <cell r="O1325">
            <v>45000</v>
          </cell>
          <cell r="P1325">
            <v>40800</v>
          </cell>
          <cell r="Q1325">
            <v>8218425.6000000006</v>
          </cell>
          <cell r="R1325">
            <v>45900</v>
          </cell>
          <cell r="S1325">
            <v>9245728.8000000007</v>
          </cell>
          <cell r="T1325">
            <v>86700</v>
          </cell>
          <cell r="U1325">
            <v>17464154.400000002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월05일"/>
      <sheetName val="SET구분"/>
      <sheetName val="Config"/>
    </sheetNames>
    <definedNames>
      <definedName name="DELETE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te Amrit"/>
    </sheetNames>
    <sheetDataSet>
      <sheetData sheetId="0">
        <row r="2">
          <cell r="B2" t="str">
            <v>A</v>
          </cell>
          <cell r="C2">
            <v>3.33</v>
          </cell>
          <cell r="D2">
            <v>3.33</v>
          </cell>
        </row>
        <row r="3">
          <cell r="B3" t="str">
            <v>B</v>
          </cell>
          <cell r="C3">
            <v>2</v>
          </cell>
          <cell r="D3">
            <v>2</v>
          </cell>
        </row>
        <row r="4">
          <cell r="B4" t="str">
            <v>C1</v>
          </cell>
          <cell r="C4">
            <v>8.3000000000000007</v>
          </cell>
          <cell r="D4">
            <v>8.3000000000000007</v>
          </cell>
        </row>
        <row r="5">
          <cell r="B5" t="str">
            <v>C2</v>
          </cell>
          <cell r="C5">
            <v>8.3000000000000007</v>
          </cell>
          <cell r="D5">
            <v>8.3000000000000007</v>
          </cell>
        </row>
        <row r="6">
          <cell r="B6" t="str">
            <v>C3</v>
          </cell>
          <cell r="C6">
            <v>8.3000000000000007</v>
          </cell>
          <cell r="D6">
            <v>8.3000000000000007</v>
          </cell>
        </row>
        <row r="7">
          <cell r="B7" t="str">
            <v>C4</v>
          </cell>
          <cell r="C7">
            <v>10</v>
          </cell>
          <cell r="D7">
            <v>10</v>
          </cell>
        </row>
        <row r="8">
          <cell r="B8" t="str">
            <v>C5</v>
          </cell>
          <cell r="C8">
            <v>10</v>
          </cell>
          <cell r="D8">
            <v>10</v>
          </cell>
        </row>
        <row r="9">
          <cell r="B9" t="str">
            <v>C6</v>
          </cell>
          <cell r="C9">
            <v>10</v>
          </cell>
          <cell r="D9">
            <v>10</v>
          </cell>
        </row>
        <row r="10">
          <cell r="B10" t="str">
            <v>D1</v>
          </cell>
          <cell r="C10">
            <v>20</v>
          </cell>
          <cell r="D10">
            <v>20</v>
          </cell>
        </row>
        <row r="11">
          <cell r="B11" t="str">
            <v>D2</v>
          </cell>
          <cell r="C11">
            <v>20</v>
          </cell>
          <cell r="D11">
            <v>20</v>
          </cell>
        </row>
        <row r="12">
          <cell r="B12" t="str">
            <v>D3</v>
          </cell>
          <cell r="C12">
            <v>10</v>
          </cell>
          <cell r="D12">
            <v>10</v>
          </cell>
        </row>
        <row r="13">
          <cell r="B13" t="str">
            <v>E1</v>
          </cell>
          <cell r="C13">
            <v>10</v>
          </cell>
          <cell r="D13">
            <v>10</v>
          </cell>
        </row>
        <row r="14">
          <cell r="B14" t="str">
            <v>E2</v>
          </cell>
          <cell r="C14">
            <v>10</v>
          </cell>
          <cell r="D14">
            <v>10</v>
          </cell>
        </row>
        <row r="15">
          <cell r="B15" t="str">
            <v>F1</v>
          </cell>
          <cell r="C15">
            <v>10</v>
          </cell>
          <cell r="D15">
            <v>10</v>
          </cell>
        </row>
        <row r="16">
          <cell r="B16" t="str">
            <v>F2</v>
          </cell>
          <cell r="C16">
            <v>14.3</v>
          </cell>
          <cell r="D16">
            <v>14.3</v>
          </cell>
        </row>
        <row r="17">
          <cell r="B17" t="str">
            <v>F3</v>
          </cell>
          <cell r="C17">
            <v>12.5</v>
          </cell>
          <cell r="D17">
            <v>12.5</v>
          </cell>
        </row>
        <row r="18">
          <cell r="B18" t="str">
            <v>F4</v>
          </cell>
          <cell r="C18">
            <v>12.5</v>
          </cell>
          <cell r="D18">
            <v>12.5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5PIECE"/>
      <sheetName val="fab별"/>
    </sheetNames>
    <sheetDataSet>
      <sheetData sheetId="0">
        <row r="10">
          <cell r="O10">
            <v>3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M10">
            <v>1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영업소"/>
      <sheetName val="PKG"/>
      <sheetName val="수주현황세부"/>
      <sheetName val="7월이후"/>
      <sheetName val="CUST"/>
      <sheetName val="master"/>
      <sheetName val="환율"/>
      <sheetName val="SSMITM"/>
      <sheetName val="fnd_gfm06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B1">
            <v>1010.1</v>
          </cell>
        </row>
        <row r="2">
          <cell r="B2">
            <v>9.2657000000000007</v>
          </cell>
        </row>
      </sheetData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차명단"/>
      <sheetName val="2차명단"/>
      <sheetName val="기공1-1-2"/>
      <sheetName val="ML"/>
      <sheetName val="Tbom-tot"/>
    </sheetNames>
    <sheetDataSet>
      <sheetData sheetId="0">
        <row r="5">
          <cell r="A5" t="str">
            <v>성  명</v>
          </cell>
          <cell r="B5" t="str">
            <v>사  번</v>
          </cell>
          <cell r="C5" t="str">
            <v>직급</v>
          </cell>
          <cell r="D5" t="str">
            <v>부  서</v>
          </cell>
          <cell r="E5" t="str">
            <v>차수</v>
          </cell>
        </row>
        <row r="6">
          <cell r="A6" t="str">
            <v>강길모</v>
          </cell>
          <cell r="B6" t="str">
            <v>2010335</v>
          </cell>
          <cell r="C6" t="str">
            <v>차장</v>
          </cell>
          <cell r="D6" t="str">
            <v>사업기획팀장</v>
          </cell>
          <cell r="E6" t="str">
            <v>1</v>
          </cell>
        </row>
        <row r="7">
          <cell r="A7" t="str">
            <v>강언석</v>
          </cell>
          <cell r="B7" t="str">
            <v>2020235</v>
          </cell>
          <cell r="C7" t="str">
            <v>차장</v>
          </cell>
          <cell r="D7" t="str">
            <v>상품기획팀</v>
          </cell>
          <cell r="E7" t="str">
            <v>1</v>
          </cell>
        </row>
        <row r="8">
          <cell r="A8" t="str">
            <v>강재성</v>
          </cell>
          <cell r="B8" t="str">
            <v>2020198</v>
          </cell>
          <cell r="C8" t="str">
            <v>차장</v>
          </cell>
          <cell r="D8" t="str">
            <v>소하)차체2부장</v>
          </cell>
          <cell r="E8" t="str">
            <v>1</v>
          </cell>
        </row>
        <row r="9">
          <cell r="A9" t="str">
            <v>강흥성</v>
          </cell>
          <cell r="B9" t="str">
            <v>7910377</v>
          </cell>
          <cell r="C9" t="str">
            <v>차장</v>
          </cell>
          <cell r="D9" t="str">
            <v>광주)소형제조2부장</v>
          </cell>
          <cell r="E9" t="str">
            <v>1</v>
          </cell>
        </row>
        <row r="10">
          <cell r="A10" t="str">
            <v>고동호</v>
          </cell>
          <cell r="B10" t="str">
            <v>2030074</v>
          </cell>
          <cell r="C10" t="str">
            <v>부장</v>
          </cell>
          <cell r="D10" t="str">
            <v>수출업무팀장</v>
          </cell>
          <cell r="E10" t="str">
            <v>1</v>
          </cell>
        </row>
        <row r="11">
          <cell r="A11" t="str">
            <v>고승환</v>
          </cell>
          <cell r="B11" t="str">
            <v>2031309</v>
          </cell>
          <cell r="C11" t="str">
            <v>부장</v>
          </cell>
          <cell r="D11" t="str">
            <v>구매원가팀장</v>
          </cell>
          <cell r="E11" t="str">
            <v>1</v>
          </cell>
        </row>
        <row r="12">
          <cell r="A12" t="str">
            <v>고진홍</v>
          </cell>
          <cell r="B12" t="str">
            <v>2037602001</v>
          </cell>
          <cell r="C12" t="str">
            <v>차장</v>
          </cell>
          <cell r="D12" t="str">
            <v>인사2팀</v>
          </cell>
          <cell r="E12" t="str">
            <v>1</v>
          </cell>
        </row>
        <row r="13">
          <cell r="A13" t="str">
            <v>고효남</v>
          </cell>
          <cell r="B13" t="str">
            <v>2030098</v>
          </cell>
          <cell r="C13" t="str">
            <v>부장</v>
          </cell>
          <cell r="D13" t="str">
            <v>연)엔진설계팀</v>
          </cell>
          <cell r="E13" t="str">
            <v>1</v>
          </cell>
        </row>
        <row r="14">
          <cell r="A14" t="str">
            <v>공문성</v>
          </cell>
          <cell r="B14" t="str">
            <v>2040073</v>
          </cell>
          <cell r="C14" t="str">
            <v>차장</v>
          </cell>
          <cell r="D14" t="str">
            <v>연)실험계획부</v>
          </cell>
          <cell r="E14" t="str">
            <v>1</v>
          </cell>
        </row>
        <row r="15">
          <cell r="A15" t="str">
            <v>공영태</v>
          </cell>
          <cell r="B15" t="str">
            <v>7710097</v>
          </cell>
          <cell r="C15" t="str">
            <v>부장</v>
          </cell>
          <cell r="D15" t="str">
            <v>특수정비팀장</v>
          </cell>
          <cell r="E15" t="str">
            <v>1</v>
          </cell>
        </row>
        <row r="16">
          <cell r="A16" t="str">
            <v>곽예규</v>
          </cell>
          <cell r="B16" t="str">
            <v>2050034</v>
          </cell>
          <cell r="C16" t="str">
            <v>부장</v>
          </cell>
          <cell r="D16" t="str">
            <v>홍보실</v>
          </cell>
          <cell r="E16" t="str">
            <v>1</v>
          </cell>
        </row>
        <row r="17">
          <cell r="A17" t="str">
            <v>곽인범</v>
          </cell>
          <cell r="B17" t="str">
            <v>2050041</v>
          </cell>
          <cell r="C17" t="str">
            <v>부장</v>
          </cell>
          <cell r="D17" t="str">
            <v>연)LPM팀</v>
          </cell>
          <cell r="E17" t="str">
            <v>1</v>
          </cell>
        </row>
        <row r="18">
          <cell r="A18" t="str">
            <v>곽정용</v>
          </cell>
          <cell r="B18" t="str">
            <v>2050676</v>
          </cell>
          <cell r="C18" t="str">
            <v>차장</v>
          </cell>
          <cell r="D18" t="str">
            <v>상용의장부품개발팀장</v>
          </cell>
          <cell r="E18" t="str">
            <v>1</v>
          </cell>
        </row>
        <row r="19">
          <cell r="A19" t="str">
            <v>곽호택</v>
          </cell>
          <cell r="B19" t="str">
            <v>2050126</v>
          </cell>
          <cell r="C19" t="str">
            <v>부장</v>
          </cell>
          <cell r="D19" t="str">
            <v>인사팀장</v>
          </cell>
          <cell r="E19" t="str">
            <v>1</v>
          </cell>
        </row>
        <row r="20">
          <cell r="A20" t="str">
            <v>권민호</v>
          </cell>
          <cell r="B20" t="str">
            <v>2070353</v>
          </cell>
          <cell r="C20" t="str">
            <v>차장</v>
          </cell>
          <cell r="D20" t="str">
            <v>소하)생산관리팀</v>
          </cell>
          <cell r="E20" t="str">
            <v>1</v>
          </cell>
        </row>
        <row r="21">
          <cell r="A21" t="str">
            <v>권영식</v>
          </cell>
          <cell r="B21" t="str">
            <v>7810710</v>
          </cell>
          <cell r="C21" t="str">
            <v>부장</v>
          </cell>
          <cell r="D21" t="str">
            <v>광주)트럭제조부장</v>
          </cell>
          <cell r="E21" t="str">
            <v>1</v>
          </cell>
        </row>
        <row r="22">
          <cell r="A22" t="str">
            <v>권완중</v>
          </cell>
          <cell r="B22" t="str">
            <v>7910322</v>
          </cell>
          <cell r="C22" t="str">
            <v>부장</v>
          </cell>
          <cell r="D22" t="str">
            <v>광)차량기술팀장</v>
          </cell>
          <cell r="E22" t="str">
            <v>1</v>
          </cell>
        </row>
        <row r="23">
          <cell r="A23" t="str">
            <v>권창돈</v>
          </cell>
          <cell r="B23" t="str">
            <v>2070179</v>
          </cell>
          <cell r="C23" t="str">
            <v>부장</v>
          </cell>
          <cell r="D23" t="str">
            <v>프레스기술팀장</v>
          </cell>
          <cell r="E23" t="str">
            <v>1</v>
          </cell>
        </row>
        <row r="24">
          <cell r="A24" t="str">
            <v>길재열</v>
          </cell>
          <cell r="B24" t="str">
            <v>2080048</v>
          </cell>
          <cell r="C24" t="str">
            <v>부장</v>
          </cell>
          <cell r="D24" t="str">
            <v>대전사업소</v>
          </cell>
          <cell r="E24" t="str">
            <v>1</v>
          </cell>
        </row>
        <row r="25">
          <cell r="A25" t="str">
            <v>김건상</v>
          </cell>
          <cell r="B25" t="str">
            <v>2090306</v>
          </cell>
          <cell r="C25" t="str">
            <v>차장</v>
          </cell>
          <cell r="D25" t="str">
            <v>연)제1연구팀</v>
          </cell>
          <cell r="E25" t="str">
            <v>1</v>
          </cell>
        </row>
        <row r="26">
          <cell r="A26" t="str">
            <v>김경률</v>
          </cell>
          <cell r="B26" t="str">
            <v>2090856</v>
          </cell>
          <cell r="C26" t="str">
            <v>차장</v>
          </cell>
          <cell r="D26" t="str">
            <v>연구소전산팀장</v>
          </cell>
          <cell r="E26" t="str">
            <v>1</v>
          </cell>
        </row>
        <row r="27">
          <cell r="A27" t="str">
            <v>김경선</v>
          </cell>
          <cell r="B27" t="str">
            <v>2093239</v>
          </cell>
          <cell r="C27" t="str">
            <v>부장</v>
          </cell>
          <cell r="D27" t="str">
            <v>아산)예비군연대장</v>
          </cell>
          <cell r="E27" t="str">
            <v>1</v>
          </cell>
        </row>
        <row r="28">
          <cell r="A28" t="str">
            <v>김경원</v>
          </cell>
          <cell r="B28" t="str">
            <v>2090344</v>
          </cell>
          <cell r="C28" t="str">
            <v>부장</v>
          </cell>
          <cell r="D28" t="str">
            <v>KD기술팀</v>
          </cell>
          <cell r="E28" t="str">
            <v>1</v>
          </cell>
        </row>
        <row r="29">
          <cell r="A29" t="str">
            <v>김광열</v>
          </cell>
          <cell r="B29" t="str">
            <v>2097706011</v>
          </cell>
          <cell r="C29" t="str">
            <v>차장</v>
          </cell>
          <cell r="D29" t="str">
            <v>강릉정비사업소장</v>
          </cell>
          <cell r="E29" t="str">
            <v>1</v>
          </cell>
        </row>
        <row r="30">
          <cell r="A30" t="str">
            <v>김국일</v>
          </cell>
          <cell r="B30" t="str">
            <v>12601</v>
          </cell>
          <cell r="C30" t="str">
            <v>부장</v>
          </cell>
          <cell r="D30" t="str">
            <v>연구개발실장</v>
          </cell>
          <cell r="E30" t="str">
            <v>1</v>
          </cell>
        </row>
        <row r="31">
          <cell r="A31" t="str">
            <v>김금중</v>
          </cell>
          <cell r="B31" t="str">
            <v>2090184</v>
          </cell>
          <cell r="C31" t="str">
            <v>부장</v>
          </cell>
          <cell r="D31" t="str">
            <v>아산)P/T생산관리부장</v>
          </cell>
          <cell r="E31" t="str">
            <v>1</v>
          </cell>
        </row>
        <row r="32">
          <cell r="A32" t="str">
            <v>김기태</v>
          </cell>
          <cell r="B32" t="str">
            <v>2090634</v>
          </cell>
          <cell r="C32" t="str">
            <v>차장</v>
          </cell>
          <cell r="D32" t="str">
            <v>비서실</v>
          </cell>
          <cell r="E32" t="str">
            <v>1</v>
          </cell>
        </row>
        <row r="33">
          <cell r="A33" t="str">
            <v>김길구</v>
          </cell>
          <cell r="B33" t="str">
            <v>2090511</v>
          </cell>
          <cell r="C33" t="str">
            <v>차장</v>
          </cell>
          <cell r="D33" t="str">
            <v>소하)조립2부장</v>
          </cell>
          <cell r="E33" t="str">
            <v>1</v>
          </cell>
        </row>
        <row r="34">
          <cell r="A34" t="str">
            <v>김동규</v>
          </cell>
          <cell r="B34" t="str">
            <v>2110356</v>
          </cell>
          <cell r="C34" t="str">
            <v>차장</v>
          </cell>
          <cell r="D34" t="str">
            <v>엔진기술계획팀장</v>
          </cell>
          <cell r="E34" t="str">
            <v>1</v>
          </cell>
        </row>
        <row r="35">
          <cell r="A35" t="str">
            <v>김동섭</v>
          </cell>
          <cell r="B35" t="str">
            <v>7810721</v>
          </cell>
          <cell r="C35" t="str">
            <v>차장</v>
          </cell>
          <cell r="D35" t="str">
            <v>정비관리부</v>
          </cell>
          <cell r="E35" t="str">
            <v>1</v>
          </cell>
        </row>
        <row r="36">
          <cell r="A36" t="str">
            <v>김동열</v>
          </cell>
          <cell r="B36" t="str">
            <v>7710308</v>
          </cell>
          <cell r="C36" t="str">
            <v>차장</v>
          </cell>
          <cell r="D36" t="str">
            <v>부품사업부</v>
          </cell>
          <cell r="E36" t="str">
            <v>1</v>
          </cell>
        </row>
        <row r="37">
          <cell r="A37" t="str">
            <v>김동욱</v>
          </cell>
          <cell r="B37" t="str">
            <v>2111797</v>
          </cell>
          <cell r="C37" t="str">
            <v>차장</v>
          </cell>
          <cell r="D37" t="str">
            <v>경제분석팀</v>
          </cell>
          <cell r="E37" t="str">
            <v>1</v>
          </cell>
        </row>
        <row r="38">
          <cell r="A38" t="str">
            <v>김득수</v>
          </cell>
          <cell r="B38" t="str">
            <v>2110097</v>
          </cell>
          <cell r="C38" t="str">
            <v>부장</v>
          </cell>
          <cell r="D38" t="str">
            <v>연)전자개발팀</v>
          </cell>
          <cell r="E38" t="str">
            <v>1</v>
          </cell>
        </row>
        <row r="39">
          <cell r="A39" t="str">
            <v>김문진</v>
          </cell>
          <cell r="B39" t="str">
            <v>2120089</v>
          </cell>
          <cell r="C39" t="str">
            <v>부장</v>
          </cell>
          <cell r="D39" t="str">
            <v>수입2팀장</v>
          </cell>
          <cell r="E39" t="str">
            <v>1</v>
          </cell>
        </row>
        <row r="40">
          <cell r="A40" t="str">
            <v>김민복</v>
          </cell>
          <cell r="B40" t="str">
            <v>2122168</v>
          </cell>
          <cell r="C40" t="str">
            <v>차장</v>
          </cell>
          <cell r="D40" t="str">
            <v>기술교육팀</v>
          </cell>
          <cell r="E40" t="str">
            <v>1</v>
          </cell>
        </row>
        <row r="41">
          <cell r="A41" t="str">
            <v>김민호</v>
          </cell>
          <cell r="B41" t="str">
            <v>2120393</v>
          </cell>
          <cell r="C41" t="str">
            <v>차장</v>
          </cell>
          <cell r="D41" t="str">
            <v>소하)인력관리팀</v>
          </cell>
          <cell r="E41" t="str">
            <v>1</v>
          </cell>
        </row>
        <row r="42">
          <cell r="A42" t="str">
            <v>김병옥</v>
          </cell>
          <cell r="B42" t="str">
            <v>2130187</v>
          </cell>
          <cell r="C42" t="str">
            <v>차장</v>
          </cell>
          <cell r="D42" t="str">
            <v>통합구매팀</v>
          </cell>
          <cell r="E42" t="str">
            <v>1</v>
          </cell>
        </row>
        <row r="43">
          <cell r="A43" t="str">
            <v>김봉길</v>
          </cell>
          <cell r="B43" t="str">
            <v>2130989</v>
          </cell>
          <cell r="C43" t="str">
            <v>부장</v>
          </cell>
          <cell r="D43" t="str">
            <v>경제분석팀</v>
          </cell>
          <cell r="E43" t="str">
            <v>1</v>
          </cell>
        </row>
        <row r="44">
          <cell r="A44" t="str">
            <v>김봉식</v>
          </cell>
          <cell r="B44" t="str">
            <v>2130194</v>
          </cell>
          <cell r="C44" t="str">
            <v>차장</v>
          </cell>
          <cell r="D44" t="str">
            <v>히로시마지사장</v>
          </cell>
          <cell r="E44" t="str">
            <v>1</v>
          </cell>
        </row>
        <row r="45">
          <cell r="A45" t="str">
            <v>김상기</v>
          </cell>
          <cell r="B45" t="str">
            <v>2140872</v>
          </cell>
          <cell r="C45" t="str">
            <v>차장</v>
          </cell>
          <cell r="D45" t="str">
            <v>연)전자개발팀</v>
          </cell>
          <cell r="E45" t="str">
            <v>1</v>
          </cell>
        </row>
        <row r="46">
          <cell r="A46" t="str">
            <v>김상범</v>
          </cell>
          <cell r="B46" t="str">
            <v>2140391</v>
          </cell>
          <cell r="C46" t="str">
            <v>부장</v>
          </cell>
          <cell r="D46" t="str">
            <v>해외부품개발팀</v>
          </cell>
          <cell r="E46" t="str">
            <v>1</v>
          </cell>
        </row>
        <row r="47">
          <cell r="A47" t="str">
            <v>김석동</v>
          </cell>
          <cell r="B47" t="str">
            <v>2140056000</v>
          </cell>
          <cell r="C47" t="str">
            <v>부장</v>
          </cell>
          <cell r="D47" t="str">
            <v>대구정비사업소장</v>
          </cell>
          <cell r="E47" t="str">
            <v>1</v>
          </cell>
        </row>
        <row r="48">
          <cell r="A48" t="str">
            <v>김선규</v>
          </cell>
          <cell r="B48" t="str">
            <v>2141152</v>
          </cell>
          <cell r="C48" t="str">
            <v>차장</v>
          </cell>
          <cell r="D48" t="str">
            <v>연)개발원가팀</v>
          </cell>
          <cell r="E48" t="str">
            <v>1</v>
          </cell>
        </row>
        <row r="49">
          <cell r="A49" t="str">
            <v>김성범</v>
          </cell>
          <cell r="B49" t="str">
            <v>2144672</v>
          </cell>
          <cell r="C49" t="str">
            <v>부장</v>
          </cell>
          <cell r="D49" t="str">
            <v>재정팀장</v>
          </cell>
          <cell r="E49" t="str">
            <v>1</v>
          </cell>
        </row>
        <row r="50">
          <cell r="A50" t="str">
            <v>김성수</v>
          </cell>
          <cell r="B50" t="str">
            <v>2144689</v>
          </cell>
          <cell r="C50" t="str">
            <v>부장</v>
          </cell>
          <cell r="D50" t="str">
            <v>부품판매팀장</v>
          </cell>
          <cell r="E50" t="str">
            <v>1</v>
          </cell>
        </row>
        <row r="51">
          <cell r="A51" t="str">
            <v>김승경</v>
          </cell>
          <cell r="B51" t="str">
            <v>2140698</v>
          </cell>
          <cell r="C51" t="str">
            <v>차장</v>
          </cell>
          <cell r="D51" t="str">
            <v>KD기술팀장</v>
          </cell>
          <cell r="E51" t="str">
            <v>1</v>
          </cell>
        </row>
        <row r="52">
          <cell r="A52" t="str">
            <v>김영구</v>
          </cell>
          <cell r="B52" t="str">
            <v>8510951</v>
          </cell>
          <cell r="C52" t="str">
            <v>차장</v>
          </cell>
          <cell r="D52" t="str">
            <v>설계부장</v>
          </cell>
          <cell r="E52" t="str">
            <v>1</v>
          </cell>
        </row>
        <row r="53">
          <cell r="A53" t="str">
            <v>김영구</v>
          </cell>
          <cell r="B53" t="str">
            <v>2150574</v>
          </cell>
          <cell r="C53" t="str">
            <v>부장</v>
          </cell>
          <cell r="D53" t="str">
            <v>아산2)소재부</v>
          </cell>
          <cell r="E53" t="str">
            <v>1</v>
          </cell>
        </row>
        <row r="54">
          <cell r="A54" t="str">
            <v>김영수</v>
          </cell>
          <cell r="B54" t="str">
            <v>2150529</v>
          </cell>
          <cell r="C54" t="str">
            <v>부장</v>
          </cell>
          <cell r="D54" t="str">
            <v>소하)차체1부장</v>
          </cell>
          <cell r="E54" t="str">
            <v>1</v>
          </cell>
        </row>
        <row r="55">
          <cell r="A55" t="str">
            <v>김영호</v>
          </cell>
          <cell r="B55" t="str">
            <v>2162942</v>
          </cell>
          <cell r="C55" t="str">
            <v>부장</v>
          </cell>
          <cell r="D55" t="str">
            <v>일반구매팀장</v>
          </cell>
          <cell r="E55" t="str">
            <v>1</v>
          </cell>
        </row>
        <row r="57">
          <cell r="A57" t="str">
            <v>4  -  1</v>
          </cell>
        </row>
        <row r="58">
          <cell r="A58" t="str">
            <v>성  명</v>
          </cell>
          <cell r="B58" t="str">
            <v>사  번</v>
          </cell>
          <cell r="C58" t="str">
            <v>직급</v>
          </cell>
          <cell r="D58" t="str">
            <v>부  서</v>
          </cell>
          <cell r="E58" t="str">
            <v>차수</v>
          </cell>
        </row>
        <row r="59">
          <cell r="A59" t="str">
            <v>문학민</v>
          </cell>
          <cell r="B59" t="str">
            <v>2252193</v>
          </cell>
          <cell r="C59" t="str">
            <v>차장</v>
          </cell>
          <cell r="D59" t="str">
            <v>보상지원팀장</v>
          </cell>
          <cell r="E59" t="str">
            <v>1</v>
          </cell>
        </row>
        <row r="60">
          <cell r="A60" t="str">
            <v>박광식</v>
          </cell>
          <cell r="B60" t="str">
            <v>2260495</v>
          </cell>
          <cell r="C60" t="str">
            <v>차장</v>
          </cell>
          <cell r="D60" t="str">
            <v>대외협력팀</v>
          </cell>
          <cell r="E60" t="str">
            <v>1</v>
          </cell>
        </row>
        <row r="61">
          <cell r="A61" t="str">
            <v>박광영</v>
          </cell>
          <cell r="B61" t="str">
            <v>2260389</v>
          </cell>
          <cell r="C61" t="str">
            <v>차장</v>
          </cell>
          <cell r="D61" t="str">
            <v>연)차량실험부(아산)</v>
          </cell>
          <cell r="E61" t="str">
            <v>1</v>
          </cell>
        </row>
        <row r="62">
          <cell r="A62" t="str">
            <v>박남송</v>
          </cell>
          <cell r="B62" t="str">
            <v>2270210</v>
          </cell>
          <cell r="C62" t="str">
            <v>차장</v>
          </cell>
          <cell r="D62" t="str">
            <v>부품조달팀</v>
          </cell>
          <cell r="E62" t="str">
            <v>1</v>
          </cell>
        </row>
        <row r="63">
          <cell r="A63" t="str">
            <v>박덕수</v>
          </cell>
          <cell r="B63" t="str">
            <v>2280066</v>
          </cell>
          <cell r="C63" t="str">
            <v>차장</v>
          </cell>
          <cell r="D63" t="str">
            <v>소하)도장2부장</v>
          </cell>
          <cell r="E63" t="str">
            <v>1</v>
          </cell>
        </row>
        <row r="64">
          <cell r="A64" t="str">
            <v>박동규</v>
          </cell>
          <cell r="B64" t="str">
            <v>2280080</v>
          </cell>
          <cell r="C64" t="str">
            <v>차장</v>
          </cell>
          <cell r="D64" t="str">
            <v>KD생관팀장</v>
          </cell>
          <cell r="E64" t="str">
            <v>1</v>
          </cell>
        </row>
        <row r="65">
          <cell r="A65" t="str">
            <v>박석완</v>
          </cell>
          <cell r="B65" t="str">
            <v>2311227</v>
          </cell>
          <cell r="C65" t="str">
            <v>차장</v>
          </cell>
          <cell r="D65" t="str">
            <v>연)제3연구팀</v>
          </cell>
          <cell r="E65" t="str">
            <v>1</v>
          </cell>
        </row>
        <row r="66">
          <cell r="A66" t="str">
            <v>박영환</v>
          </cell>
          <cell r="B66" t="str">
            <v>2320465</v>
          </cell>
          <cell r="C66" t="str">
            <v>차장</v>
          </cell>
          <cell r="D66" t="str">
            <v>구매계획팀</v>
          </cell>
          <cell r="E66" t="str">
            <v>1</v>
          </cell>
        </row>
        <row r="67">
          <cell r="A67" t="str">
            <v>박용식</v>
          </cell>
          <cell r="B67" t="str">
            <v>10504</v>
          </cell>
          <cell r="C67" t="str">
            <v>차장</v>
          </cell>
          <cell r="D67" t="str">
            <v>시스템개발부</v>
          </cell>
          <cell r="E67" t="str">
            <v>1</v>
          </cell>
        </row>
        <row r="68">
          <cell r="A68" t="str">
            <v>박용우</v>
          </cell>
          <cell r="B68" t="str">
            <v>2320502</v>
          </cell>
          <cell r="C68" t="str">
            <v>부장</v>
          </cell>
          <cell r="D68" t="str">
            <v>연)LPM팀</v>
          </cell>
          <cell r="E68" t="str">
            <v>1</v>
          </cell>
        </row>
        <row r="69">
          <cell r="A69" t="str">
            <v>박용재</v>
          </cell>
          <cell r="B69" t="str">
            <v>8210614</v>
          </cell>
          <cell r="C69" t="str">
            <v>차장</v>
          </cell>
          <cell r="D69" t="str">
            <v>광주)총무팀장</v>
          </cell>
          <cell r="E69" t="str">
            <v>1</v>
          </cell>
        </row>
        <row r="70">
          <cell r="A70" t="str">
            <v>박을재</v>
          </cell>
          <cell r="B70" t="str">
            <v>7810698</v>
          </cell>
          <cell r="C70" t="str">
            <v>부장</v>
          </cell>
          <cell r="D70" t="str">
            <v>부품사업부</v>
          </cell>
          <cell r="E70" t="str">
            <v>1</v>
          </cell>
        </row>
        <row r="71">
          <cell r="A71" t="str">
            <v>박인원</v>
          </cell>
          <cell r="B71" t="str">
            <v>2320366</v>
          </cell>
          <cell r="C71" t="str">
            <v>부장</v>
          </cell>
          <cell r="D71" t="str">
            <v>연)LPM팀</v>
          </cell>
          <cell r="E71" t="str">
            <v>1</v>
          </cell>
        </row>
        <row r="72">
          <cell r="A72" t="str">
            <v>박재복</v>
          </cell>
          <cell r="B72" t="str">
            <v>2330341</v>
          </cell>
          <cell r="C72" t="str">
            <v>차장</v>
          </cell>
          <cell r="D72" t="str">
            <v>소하)엔진조립부</v>
          </cell>
          <cell r="E72" t="str">
            <v>1</v>
          </cell>
        </row>
        <row r="73">
          <cell r="A73" t="str">
            <v>박재수</v>
          </cell>
          <cell r="B73" t="str">
            <v>2339301006</v>
          </cell>
          <cell r="C73" t="str">
            <v>차장</v>
          </cell>
          <cell r="D73" t="str">
            <v>영등포정비사업소</v>
          </cell>
          <cell r="E73" t="str">
            <v>1</v>
          </cell>
        </row>
        <row r="74">
          <cell r="A74" t="str">
            <v>박진수</v>
          </cell>
          <cell r="B74" t="str">
            <v>11119</v>
          </cell>
          <cell r="C74" t="str">
            <v>부장</v>
          </cell>
          <cell r="D74" t="str">
            <v>P/J추진부</v>
          </cell>
          <cell r="E74" t="str">
            <v>1</v>
          </cell>
        </row>
        <row r="75">
          <cell r="A75" t="str">
            <v>박찬석</v>
          </cell>
          <cell r="B75" t="str">
            <v>12124</v>
          </cell>
          <cell r="C75" t="str">
            <v>차장</v>
          </cell>
          <cell r="D75" t="str">
            <v>자재시스템팀장</v>
          </cell>
          <cell r="E75" t="str">
            <v>1</v>
          </cell>
        </row>
        <row r="76">
          <cell r="A76" t="str">
            <v>박춘건</v>
          </cell>
          <cell r="B76" t="str">
            <v>2340043</v>
          </cell>
          <cell r="C76" t="str">
            <v>부장</v>
          </cell>
          <cell r="D76" t="str">
            <v>아산)품질관리1부장</v>
          </cell>
          <cell r="E76" t="str">
            <v>1</v>
          </cell>
        </row>
        <row r="77">
          <cell r="A77" t="str">
            <v>박희대</v>
          </cell>
          <cell r="B77" t="str">
            <v>2360126</v>
          </cell>
          <cell r="C77" t="str">
            <v>부장</v>
          </cell>
          <cell r="D77" t="str">
            <v>연)개발원가팀</v>
          </cell>
          <cell r="E77" t="str">
            <v>1</v>
          </cell>
        </row>
        <row r="78">
          <cell r="A78" t="str">
            <v>박희수</v>
          </cell>
          <cell r="B78" t="str">
            <v>2360140</v>
          </cell>
          <cell r="C78" t="str">
            <v>부장</v>
          </cell>
          <cell r="D78" t="str">
            <v>소하)품질관리1부장</v>
          </cell>
          <cell r="E78" t="str">
            <v>1</v>
          </cell>
        </row>
        <row r="79">
          <cell r="A79" t="str">
            <v>배경수</v>
          </cell>
          <cell r="B79" t="str">
            <v>2370057</v>
          </cell>
          <cell r="C79" t="str">
            <v>부장</v>
          </cell>
          <cell r="D79" t="str">
            <v>소하)총무팀장</v>
          </cell>
          <cell r="E79" t="str">
            <v>1</v>
          </cell>
        </row>
        <row r="80">
          <cell r="A80" t="str">
            <v>배일룡</v>
          </cell>
          <cell r="B80" t="str">
            <v>2370149</v>
          </cell>
          <cell r="C80" t="str">
            <v>부장</v>
          </cell>
          <cell r="D80" t="str">
            <v>생기계획팀장</v>
          </cell>
          <cell r="E80" t="str">
            <v>1</v>
          </cell>
        </row>
        <row r="81">
          <cell r="A81" t="str">
            <v>배태모</v>
          </cell>
          <cell r="B81" t="str">
            <v>2370293</v>
          </cell>
          <cell r="C81" t="str">
            <v>차장</v>
          </cell>
          <cell r="D81" t="str">
            <v>차체생기팀장</v>
          </cell>
          <cell r="E81" t="str">
            <v>1</v>
          </cell>
        </row>
        <row r="82">
          <cell r="A82" t="str">
            <v>백동호</v>
          </cell>
          <cell r="B82" t="str">
            <v>2381237</v>
          </cell>
          <cell r="C82" t="str">
            <v>차장</v>
          </cell>
          <cell r="D82" t="str">
            <v>정보기술운영팀장</v>
          </cell>
          <cell r="E82" t="str">
            <v>1</v>
          </cell>
        </row>
        <row r="83">
          <cell r="A83" t="str">
            <v>백영수</v>
          </cell>
          <cell r="B83" t="str">
            <v>2380148</v>
          </cell>
          <cell r="C83" t="str">
            <v>차장</v>
          </cell>
          <cell r="D83" t="str">
            <v>연)상용설계1팀</v>
          </cell>
          <cell r="E83" t="str">
            <v>1</v>
          </cell>
        </row>
        <row r="84">
          <cell r="A84" t="str">
            <v>백웅렬</v>
          </cell>
          <cell r="B84" t="str">
            <v>12128</v>
          </cell>
          <cell r="C84" t="str">
            <v>차장</v>
          </cell>
          <cell r="D84" t="str">
            <v>관리시스템팀장</v>
          </cell>
          <cell r="E84" t="str">
            <v>1</v>
          </cell>
        </row>
        <row r="85">
          <cell r="A85" t="str">
            <v>백원량</v>
          </cell>
          <cell r="B85" t="str">
            <v>2387508001</v>
          </cell>
          <cell r="C85" t="str">
            <v>차장</v>
          </cell>
          <cell r="D85" t="str">
            <v>대구부품판매사업소장</v>
          </cell>
          <cell r="E85" t="str">
            <v>1</v>
          </cell>
        </row>
        <row r="86">
          <cell r="A86" t="str">
            <v>백종원</v>
          </cell>
          <cell r="B86" t="str">
            <v>2380070</v>
          </cell>
          <cell r="C86" t="str">
            <v>부장</v>
          </cell>
          <cell r="D86" t="str">
            <v>소하)P/T공장장</v>
          </cell>
          <cell r="E86" t="str">
            <v>1</v>
          </cell>
        </row>
        <row r="87">
          <cell r="A87" t="str">
            <v>백현철</v>
          </cell>
          <cell r="B87" t="str">
            <v>2380179</v>
          </cell>
          <cell r="C87" t="str">
            <v>차장</v>
          </cell>
          <cell r="D87" t="str">
            <v>생기계획팀</v>
          </cell>
          <cell r="E87" t="str">
            <v>1</v>
          </cell>
        </row>
        <row r="88">
          <cell r="A88" t="str">
            <v>변진근</v>
          </cell>
          <cell r="B88" t="str">
            <v>2390246000</v>
          </cell>
          <cell r="C88" t="str">
            <v>차장</v>
          </cell>
          <cell r="D88" t="str">
            <v>소하)생산관리1부장</v>
          </cell>
          <cell r="E88" t="str">
            <v>1</v>
          </cell>
        </row>
        <row r="89">
          <cell r="A89" t="str">
            <v>상창규</v>
          </cell>
          <cell r="B89" t="str">
            <v>2460819</v>
          </cell>
          <cell r="C89" t="str">
            <v>차장</v>
          </cell>
          <cell r="D89" t="str">
            <v>해외보상팀장</v>
          </cell>
          <cell r="E89" t="str">
            <v>1</v>
          </cell>
        </row>
        <row r="90">
          <cell r="A90" t="str">
            <v>서광태</v>
          </cell>
          <cell r="B90" t="str">
            <v>2400198</v>
          </cell>
          <cell r="C90" t="str">
            <v>부장</v>
          </cell>
          <cell r="D90" t="str">
            <v>아산)A-3공장장</v>
          </cell>
          <cell r="E90" t="str">
            <v>1</v>
          </cell>
        </row>
        <row r="91">
          <cell r="A91" t="str">
            <v>서기홍</v>
          </cell>
          <cell r="B91" t="str">
            <v>2400150</v>
          </cell>
          <cell r="C91" t="str">
            <v>부장</v>
          </cell>
          <cell r="D91" t="str">
            <v>아산)차체1부장</v>
          </cell>
          <cell r="E91" t="str">
            <v>1</v>
          </cell>
        </row>
        <row r="92">
          <cell r="A92" t="str">
            <v>서성호</v>
          </cell>
          <cell r="B92" t="str">
            <v>2402208</v>
          </cell>
          <cell r="C92" t="str">
            <v>차장</v>
          </cell>
          <cell r="D92" t="str">
            <v>회계팀</v>
          </cell>
          <cell r="E92" t="str">
            <v>1</v>
          </cell>
        </row>
        <row r="93">
          <cell r="A93" t="str">
            <v>서윤철</v>
          </cell>
          <cell r="B93" t="str">
            <v>2400228</v>
          </cell>
          <cell r="C93" t="str">
            <v>부장</v>
          </cell>
          <cell r="D93" t="str">
            <v>승용의장부품개발팀장</v>
          </cell>
          <cell r="E93" t="str">
            <v>1</v>
          </cell>
        </row>
        <row r="94">
          <cell r="A94" t="str">
            <v>서천범</v>
          </cell>
          <cell r="B94" t="str">
            <v>2402178</v>
          </cell>
          <cell r="C94" t="str">
            <v>차장</v>
          </cell>
          <cell r="D94" t="str">
            <v>전략경영팀</v>
          </cell>
          <cell r="E94" t="str">
            <v>1</v>
          </cell>
        </row>
        <row r="95">
          <cell r="A95" t="str">
            <v>성상훈</v>
          </cell>
          <cell r="B95" t="str">
            <v>2410180</v>
          </cell>
          <cell r="C95" t="str">
            <v>차장</v>
          </cell>
          <cell r="D95" t="str">
            <v>생기계획팀</v>
          </cell>
          <cell r="E95" t="str">
            <v>1</v>
          </cell>
        </row>
        <row r="96">
          <cell r="A96" t="str">
            <v>손영우</v>
          </cell>
          <cell r="B96" t="str">
            <v>2420219</v>
          </cell>
          <cell r="C96" t="str">
            <v>차장</v>
          </cell>
          <cell r="D96" t="str">
            <v>소하)공장관리부</v>
          </cell>
          <cell r="E96" t="str">
            <v>1</v>
          </cell>
        </row>
        <row r="97">
          <cell r="A97" t="str">
            <v>손흥식</v>
          </cell>
          <cell r="B97" t="str">
            <v>2420103</v>
          </cell>
          <cell r="C97" t="str">
            <v>부장</v>
          </cell>
          <cell r="D97" t="str">
            <v>소하)엔진가공부장</v>
          </cell>
          <cell r="E97" t="str">
            <v>1</v>
          </cell>
        </row>
        <row r="98">
          <cell r="A98" t="str">
            <v>송각순</v>
          </cell>
          <cell r="B98" t="str">
            <v>2430034</v>
          </cell>
          <cell r="C98" t="str">
            <v>부장</v>
          </cell>
          <cell r="D98" t="str">
            <v>기술연수팀</v>
          </cell>
          <cell r="E98" t="str">
            <v>1</v>
          </cell>
        </row>
        <row r="99">
          <cell r="A99" t="str">
            <v>송시용</v>
          </cell>
          <cell r="B99" t="str">
            <v>2432069</v>
          </cell>
          <cell r="C99" t="str">
            <v>부장</v>
          </cell>
          <cell r="D99" t="str">
            <v>구매실장</v>
          </cell>
          <cell r="E99" t="str">
            <v>1</v>
          </cell>
        </row>
        <row r="100">
          <cell r="A100" t="str">
            <v>송영수</v>
          </cell>
          <cell r="B100" t="str">
            <v>2430102</v>
          </cell>
          <cell r="C100" t="str">
            <v>부장</v>
          </cell>
          <cell r="D100" t="str">
            <v>아산)품질관리3부장</v>
          </cell>
          <cell r="E100" t="str">
            <v>1</v>
          </cell>
        </row>
        <row r="101">
          <cell r="A101" t="str">
            <v>송영현</v>
          </cell>
          <cell r="B101" t="str">
            <v>2430614</v>
          </cell>
          <cell r="C101" t="str">
            <v>차장</v>
          </cell>
          <cell r="D101" t="str">
            <v>연)LPM팀</v>
          </cell>
          <cell r="E101" t="str">
            <v>1</v>
          </cell>
        </row>
        <row r="102">
          <cell r="A102" t="str">
            <v>송윤신</v>
          </cell>
          <cell r="B102" t="str">
            <v>2430263000</v>
          </cell>
          <cell r="C102" t="str">
            <v>부장</v>
          </cell>
          <cell r="D102" t="str">
            <v>성동정비사업소장</v>
          </cell>
          <cell r="E102" t="str">
            <v>1</v>
          </cell>
        </row>
        <row r="103">
          <cell r="A103" t="str">
            <v>송준석</v>
          </cell>
          <cell r="B103" t="str">
            <v>2437201001</v>
          </cell>
          <cell r="C103" t="str">
            <v>부장</v>
          </cell>
          <cell r="D103" t="str">
            <v>유통개선팀장</v>
          </cell>
          <cell r="E103" t="str">
            <v>1</v>
          </cell>
        </row>
        <row r="104">
          <cell r="A104" t="str">
            <v>신동호</v>
          </cell>
          <cell r="B104" t="str">
            <v>2440217</v>
          </cell>
          <cell r="C104" t="str">
            <v>부장</v>
          </cell>
          <cell r="D104" t="str">
            <v>부품물류부장장</v>
          </cell>
          <cell r="E104" t="str">
            <v>1</v>
          </cell>
        </row>
        <row r="105">
          <cell r="A105" t="str">
            <v>신동훈</v>
          </cell>
          <cell r="B105" t="str">
            <v>10105</v>
          </cell>
          <cell r="C105" t="str">
            <v>차장</v>
          </cell>
          <cell r="D105" t="str">
            <v>정보기기사업부</v>
          </cell>
          <cell r="E105" t="str">
            <v>1</v>
          </cell>
        </row>
        <row r="106">
          <cell r="A106" t="str">
            <v>신수식</v>
          </cell>
          <cell r="B106" t="str">
            <v>8310871</v>
          </cell>
          <cell r="C106" t="str">
            <v>차장</v>
          </cell>
          <cell r="D106" t="str">
            <v>광주)특장제조부</v>
          </cell>
          <cell r="E106" t="str">
            <v>1</v>
          </cell>
        </row>
        <row r="107">
          <cell r="A107" t="str">
            <v>신용식</v>
          </cell>
          <cell r="B107" t="str">
            <v>2440590</v>
          </cell>
          <cell r="C107" t="str">
            <v>차장</v>
          </cell>
          <cell r="D107" t="str">
            <v>아산)시설관리팀장</v>
          </cell>
          <cell r="E107" t="str">
            <v>1</v>
          </cell>
        </row>
        <row r="108">
          <cell r="A108" t="str">
            <v>신지철</v>
          </cell>
          <cell r="B108" t="str">
            <v>2447702001</v>
          </cell>
          <cell r="C108" t="str">
            <v>부장</v>
          </cell>
          <cell r="D108" t="str">
            <v>정비운영팀장</v>
          </cell>
          <cell r="E108" t="str">
            <v>1</v>
          </cell>
        </row>
        <row r="109">
          <cell r="A109" t="str">
            <v>신헌철</v>
          </cell>
          <cell r="B109" t="str">
            <v>8611530</v>
          </cell>
          <cell r="C109" t="str">
            <v>차장</v>
          </cell>
          <cell r="D109" t="str">
            <v>개발계획실</v>
          </cell>
          <cell r="E109" t="str">
            <v>1</v>
          </cell>
        </row>
        <row r="110">
          <cell r="A110" t="str">
            <v>신희택</v>
          </cell>
          <cell r="B110" t="str">
            <v>2440804</v>
          </cell>
          <cell r="C110" t="str">
            <v>차장</v>
          </cell>
          <cell r="D110" t="str">
            <v>연)실험계획부</v>
          </cell>
          <cell r="E110" t="str">
            <v>1</v>
          </cell>
        </row>
        <row r="111">
          <cell r="A111" t="str">
            <v>심원보</v>
          </cell>
          <cell r="B111" t="str">
            <v>8310960</v>
          </cell>
          <cell r="C111" t="str">
            <v>차장</v>
          </cell>
          <cell r="D111" t="str">
            <v>영업기획실</v>
          </cell>
          <cell r="E111" t="str">
            <v>1</v>
          </cell>
        </row>
        <row r="112">
          <cell r="A112" t="str">
            <v>심익섭</v>
          </cell>
          <cell r="B112" t="str">
            <v>2450216</v>
          </cell>
          <cell r="C112" t="str">
            <v>차장</v>
          </cell>
          <cell r="D112" t="str">
            <v>연)승용설계1팀</v>
          </cell>
          <cell r="E112" t="str">
            <v>1</v>
          </cell>
        </row>
        <row r="114">
          <cell r="A114" t="str">
            <v>4  -  2</v>
          </cell>
        </row>
        <row r="115">
          <cell r="A115" t="str">
            <v>성  명</v>
          </cell>
          <cell r="B115" t="str">
            <v>사  번</v>
          </cell>
          <cell r="C115" t="str">
            <v>직급</v>
          </cell>
          <cell r="D115" t="str">
            <v>부  서</v>
          </cell>
          <cell r="E115" t="str">
            <v>차수</v>
          </cell>
        </row>
        <row r="116">
          <cell r="A116" t="str">
            <v>이범열</v>
          </cell>
          <cell r="B116" t="str">
            <v>2600062000</v>
          </cell>
          <cell r="C116" t="str">
            <v>부장</v>
          </cell>
          <cell r="D116" t="str">
            <v>영등포정비사업소장</v>
          </cell>
          <cell r="E116" t="str">
            <v>1</v>
          </cell>
        </row>
        <row r="117">
          <cell r="A117" t="str">
            <v>이병훈</v>
          </cell>
          <cell r="B117" t="str">
            <v>2601014</v>
          </cell>
          <cell r="C117" t="str">
            <v>차장</v>
          </cell>
          <cell r="D117" t="str">
            <v>채권관리팀장</v>
          </cell>
          <cell r="E117" t="str">
            <v>1</v>
          </cell>
        </row>
        <row r="118">
          <cell r="A118" t="str">
            <v>이봉연</v>
          </cell>
          <cell r="B118" t="str">
            <v>2607706005</v>
          </cell>
          <cell r="C118" t="str">
            <v>부장</v>
          </cell>
          <cell r="D118" t="str">
            <v>창원정비사업소장</v>
          </cell>
          <cell r="E118" t="str">
            <v>1</v>
          </cell>
        </row>
        <row r="119">
          <cell r="A119" t="str">
            <v>이삼웅</v>
          </cell>
          <cell r="B119" t="str">
            <v>2620534000</v>
          </cell>
          <cell r="C119" t="str">
            <v>부장</v>
          </cell>
          <cell r="D119" t="str">
            <v>인천정비사업소장</v>
          </cell>
          <cell r="E119" t="str">
            <v>1</v>
          </cell>
        </row>
        <row r="120">
          <cell r="A120" t="str">
            <v>이상규</v>
          </cell>
          <cell r="B120" t="str">
            <v>2610054</v>
          </cell>
          <cell r="C120" t="str">
            <v>부장</v>
          </cell>
          <cell r="D120" t="str">
            <v>원가관리팀장</v>
          </cell>
          <cell r="E120" t="str">
            <v>1</v>
          </cell>
        </row>
        <row r="121">
          <cell r="A121" t="str">
            <v>이상열</v>
          </cell>
          <cell r="B121" t="str">
            <v>2620145</v>
          </cell>
          <cell r="C121" t="str">
            <v>부장</v>
          </cell>
          <cell r="D121" t="str">
            <v>소하)TR조립부장</v>
          </cell>
          <cell r="E121" t="str">
            <v>1</v>
          </cell>
        </row>
        <row r="122">
          <cell r="A122" t="str">
            <v>이상일</v>
          </cell>
          <cell r="B122" t="str">
            <v>2627808006</v>
          </cell>
          <cell r="C122" t="str">
            <v>차장</v>
          </cell>
          <cell r="D122" t="str">
            <v>경산정비사업소장</v>
          </cell>
          <cell r="E122" t="str">
            <v>1</v>
          </cell>
        </row>
        <row r="123">
          <cell r="A123" t="str">
            <v>이상진</v>
          </cell>
          <cell r="B123" t="str">
            <v>7910533</v>
          </cell>
          <cell r="C123" t="str">
            <v>차장</v>
          </cell>
          <cell r="D123" t="str">
            <v>광주)경리팀장</v>
          </cell>
          <cell r="E123" t="str">
            <v>1</v>
          </cell>
        </row>
        <row r="124">
          <cell r="A124" t="str">
            <v>이석환</v>
          </cell>
          <cell r="B124" t="str">
            <v>2610191</v>
          </cell>
          <cell r="C124" t="str">
            <v>차장</v>
          </cell>
          <cell r="D124" t="str">
            <v>아산)A/T부장</v>
          </cell>
          <cell r="E124" t="str">
            <v>1</v>
          </cell>
        </row>
        <row r="125">
          <cell r="A125" t="str">
            <v>이성복</v>
          </cell>
          <cell r="B125" t="str">
            <v>2610092</v>
          </cell>
          <cell r="C125" t="str">
            <v>부장</v>
          </cell>
          <cell r="D125" t="str">
            <v>아산)생산관리1부장</v>
          </cell>
          <cell r="E125" t="str">
            <v>1</v>
          </cell>
        </row>
        <row r="126">
          <cell r="A126" t="str">
            <v>이성훈</v>
          </cell>
          <cell r="B126" t="str">
            <v>2620459</v>
          </cell>
          <cell r="C126" t="str">
            <v>차장</v>
          </cell>
          <cell r="D126" t="str">
            <v>연)엔진설계팀</v>
          </cell>
          <cell r="E126" t="str">
            <v>1</v>
          </cell>
        </row>
        <row r="127">
          <cell r="A127" t="str">
            <v>이수면</v>
          </cell>
          <cell r="B127" t="str">
            <v>2617707002</v>
          </cell>
          <cell r="C127" t="str">
            <v>부장</v>
          </cell>
          <cell r="D127" t="str">
            <v>시흥정비사업소장</v>
          </cell>
          <cell r="E127" t="str">
            <v>1</v>
          </cell>
        </row>
        <row r="128">
          <cell r="A128" t="str">
            <v>이승구</v>
          </cell>
          <cell r="B128" t="str">
            <v>12151</v>
          </cell>
          <cell r="C128" t="str">
            <v>차장</v>
          </cell>
          <cell r="D128" t="str">
            <v>정보기술기획팀</v>
          </cell>
          <cell r="E128" t="str">
            <v>1</v>
          </cell>
        </row>
        <row r="129">
          <cell r="A129" t="str">
            <v>이승철</v>
          </cell>
          <cell r="B129" t="str">
            <v>12176</v>
          </cell>
          <cell r="C129" t="str">
            <v>차장</v>
          </cell>
          <cell r="D129" t="str">
            <v>정보기술운영팀</v>
          </cell>
          <cell r="E129" t="str">
            <v>1</v>
          </cell>
        </row>
        <row r="130">
          <cell r="A130" t="str">
            <v>이영빈</v>
          </cell>
          <cell r="B130" t="str">
            <v>2630243000</v>
          </cell>
          <cell r="C130" t="str">
            <v>부장</v>
          </cell>
          <cell r="D130" t="str">
            <v>부산부품판매사업소장</v>
          </cell>
          <cell r="E130" t="str">
            <v>1</v>
          </cell>
        </row>
        <row r="131">
          <cell r="A131" t="str">
            <v>이용국</v>
          </cell>
          <cell r="B131" t="str">
            <v>2637401003</v>
          </cell>
          <cell r="C131" t="str">
            <v>차장</v>
          </cell>
          <cell r="D131" t="str">
            <v>전주정비사업소장</v>
          </cell>
          <cell r="E131" t="str">
            <v>1</v>
          </cell>
        </row>
        <row r="132">
          <cell r="A132" t="str">
            <v>이용운</v>
          </cell>
          <cell r="B132" t="str">
            <v>2640822</v>
          </cell>
          <cell r="C132" t="str">
            <v>부장</v>
          </cell>
          <cell r="D132" t="str">
            <v>대외협력팀장</v>
          </cell>
          <cell r="E132" t="str">
            <v>1</v>
          </cell>
        </row>
        <row r="133">
          <cell r="A133" t="str">
            <v>이용훈</v>
          </cell>
          <cell r="B133" t="str">
            <v>2640235</v>
          </cell>
          <cell r="C133" t="str">
            <v>부장</v>
          </cell>
          <cell r="D133" t="str">
            <v>아산)프레스부장</v>
          </cell>
          <cell r="E133" t="str">
            <v>1</v>
          </cell>
        </row>
        <row r="134">
          <cell r="A134" t="str">
            <v>이응래</v>
          </cell>
          <cell r="B134" t="str">
            <v>8210714</v>
          </cell>
          <cell r="C134" t="str">
            <v>차장</v>
          </cell>
          <cell r="D134" t="str">
            <v>엔진연구부</v>
          </cell>
          <cell r="E134" t="str">
            <v>1</v>
          </cell>
        </row>
        <row r="135">
          <cell r="A135" t="str">
            <v>이인용</v>
          </cell>
          <cell r="B135" t="str">
            <v>2640228</v>
          </cell>
          <cell r="C135" t="str">
            <v>부장</v>
          </cell>
          <cell r="D135" t="str">
            <v>부품조달팀장</v>
          </cell>
          <cell r="E135" t="str">
            <v>1</v>
          </cell>
        </row>
        <row r="136">
          <cell r="A136" t="str">
            <v>이종근</v>
          </cell>
          <cell r="B136" t="str">
            <v>7910222</v>
          </cell>
          <cell r="C136" t="str">
            <v>차장</v>
          </cell>
          <cell r="D136" t="str">
            <v>영업기획실</v>
          </cell>
          <cell r="E136" t="str">
            <v>1</v>
          </cell>
        </row>
        <row r="137">
          <cell r="A137" t="str">
            <v>이종석</v>
          </cell>
          <cell r="B137" t="str">
            <v>2650234</v>
          </cell>
          <cell r="C137" t="str">
            <v>차장</v>
          </cell>
          <cell r="D137" t="str">
            <v>수출업무팀</v>
          </cell>
          <cell r="E137" t="str">
            <v>1</v>
          </cell>
        </row>
        <row r="138">
          <cell r="A138" t="str">
            <v>이종연</v>
          </cell>
          <cell r="B138" t="str">
            <v>7710186</v>
          </cell>
          <cell r="C138" t="str">
            <v>차장</v>
          </cell>
          <cell r="D138" t="str">
            <v>광)금형기술팀장</v>
          </cell>
          <cell r="E138" t="str">
            <v>1</v>
          </cell>
        </row>
        <row r="139">
          <cell r="A139" t="str">
            <v>이종철</v>
          </cell>
          <cell r="B139" t="str">
            <v>2660165</v>
          </cell>
          <cell r="C139" t="str">
            <v>부장</v>
          </cell>
          <cell r="D139" t="str">
            <v>아산)원자재부장</v>
          </cell>
          <cell r="E139" t="str">
            <v>1</v>
          </cell>
        </row>
        <row r="140">
          <cell r="A140" t="str">
            <v>이창희</v>
          </cell>
          <cell r="B140" t="str">
            <v>2670164000</v>
          </cell>
          <cell r="C140" t="str">
            <v>부장</v>
          </cell>
          <cell r="D140" t="str">
            <v>수원정비사업소장</v>
          </cell>
          <cell r="E140" t="str">
            <v>1</v>
          </cell>
        </row>
        <row r="141">
          <cell r="A141" t="str">
            <v>이충모</v>
          </cell>
          <cell r="B141" t="str">
            <v>2670546</v>
          </cell>
          <cell r="C141" t="str">
            <v>차장</v>
          </cell>
          <cell r="D141" t="str">
            <v>해외부품개발팀</v>
          </cell>
          <cell r="E141" t="str">
            <v>1</v>
          </cell>
        </row>
        <row r="142">
          <cell r="A142" t="str">
            <v>이필욱</v>
          </cell>
          <cell r="B142" t="str">
            <v>2680088</v>
          </cell>
          <cell r="C142" t="str">
            <v>차장</v>
          </cell>
          <cell r="D142" t="str">
            <v>소하)P/T보전부장</v>
          </cell>
          <cell r="E142" t="str">
            <v>1</v>
          </cell>
        </row>
        <row r="143">
          <cell r="A143" t="str">
            <v>이항구</v>
          </cell>
          <cell r="B143" t="str">
            <v>2690216</v>
          </cell>
          <cell r="C143" t="str">
            <v>부장</v>
          </cell>
          <cell r="D143" t="str">
            <v>소하)생산교육팀장</v>
          </cell>
          <cell r="E143" t="str">
            <v>1</v>
          </cell>
        </row>
        <row r="144">
          <cell r="A144" t="str">
            <v>이해영</v>
          </cell>
          <cell r="B144" t="str">
            <v>2690049</v>
          </cell>
          <cell r="C144" t="str">
            <v>부장</v>
          </cell>
          <cell r="D144" t="str">
            <v>주식팀</v>
          </cell>
          <cell r="E144" t="str">
            <v>1</v>
          </cell>
        </row>
        <row r="145">
          <cell r="A145" t="str">
            <v>이형택</v>
          </cell>
          <cell r="B145" t="str">
            <v>2690315</v>
          </cell>
          <cell r="C145" t="str">
            <v>차장</v>
          </cell>
          <cell r="D145" t="str">
            <v>수출3팀장</v>
          </cell>
          <cell r="E145" t="str">
            <v>1</v>
          </cell>
        </row>
        <row r="146">
          <cell r="A146" t="str">
            <v>이호성</v>
          </cell>
          <cell r="B146" t="str">
            <v>2690742</v>
          </cell>
          <cell r="C146" t="str">
            <v>부장</v>
          </cell>
          <cell r="D146" t="str">
            <v>소하)생산관리2부장</v>
          </cell>
          <cell r="E146" t="str">
            <v>1</v>
          </cell>
        </row>
        <row r="147">
          <cell r="A147" t="str">
            <v>이호창</v>
          </cell>
          <cell r="B147" t="str">
            <v>2690469</v>
          </cell>
          <cell r="C147" t="str">
            <v>차장</v>
          </cell>
          <cell r="D147" t="str">
            <v>관재팀장</v>
          </cell>
          <cell r="E147" t="str">
            <v>1</v>
          </cell>
        </row>
        <row r="148">
          <cell r="A148" t="str">
            <v>이홍형</v>
          </cell>
          <cell r="B148" t="str">
            <v>2692579</v>
          </cell>
          <cell r="C148" t="str">
            <v>부장</v>
          </cell>
          <cell r="D148" t="str">
            <v>산업경영팀</v>
          </cell>
          <cell r="E148" t="str">
            <v>1</v>
          </cell>
        </row>
        <row r="149">
          <cell r="A149" t="str">
            <v>이희섭</v>
          </cell>
          <cell r="B149" t="str">
            <v>2690414</v>
          </cell>
          <cell r="C149" t="str">
            <v>차장</v>
          </cell>
          <cell r="D149" t="str">
            <v>FA팀장</v>
          </cell>
          <cell r="E149" t="str">
            <v>1</v>
          </cell>
        </row>
        <row r="150">
          <cell r="A150" t="str">
            <v>인치왕</v>
          </cell>
          <cell r="B150" t="str">
            <v>2520094</v>
          </cell>
          <cell r="C150" t="str">
            <v>부장</v>
          </cell>
          <cell r="D150" t="str">
            <v>연)승용설계1팀</v>
          </cell>
          <cell r="E150" t="str">
            <v>1</v>
          </cell>
        </row>
        <row r="151">
          <cell r="A151" t="str">
            <v>임보순</v>
          </cell>
          <cell r="B151" t="str">
            <v>2701431</v>
          </cell>
          <cell r="C151" t="str">
            <v>부장</v>
          </cell>
          <cell r="D151" t="str">
            <v>해외부품수출팀장</v>
          </cell>
          <cell r="E151" t="str">
            <v>1</v>
          </cell>
        </row>
        <row r="152">
          <cell r="A152" t="str">
            <v>임사연</v>
          </cell>
          <cell r="B152" t="str">
            <v>8510106</v>
          </cell>
          <cell r="C152" t="str">
            <v>차장</v>
          </cell>
          <cell r="D152" t="str">
            <v>버스)버스제조부장</v>
          </cell>
          <cell r="E152" t="str">
            <v>1</v>
          </cell>
        </row>
        <row r="153">
          <cell r="A153" t="str">
            <v>임상봉</v>
          </cell>
          <cell r="B153" t="str">
            <v>2700328</v>
          </cell>
          <cell r="C153" t="str">
            <v>차장</v>
          </cell>
          <cell r="D153" t="str">
            <v>구매개발2팀</v>
          </cell>
          <cell r="E153" t="str">
            <v>1</v>
          </cell>
        </row>
        <row r="154">
          <cell r="A154" t="str">
            <v>임성식</v>
          </cell>
          <cell r="B154" t="str">
            <v>7810787</v>
          </cell>
          <cell r="C154" t="str">
            <v>차장</v>
          </cell>
          <cell r="D154" t="str">
            <v>광주)보전1부장</v>
          </cell>
          <cell r="E154" t="str">
            <v>1</v>
          </cell>
        </row>
        <row r="155">
          <cell r="A155" t="str">
            <v>임철호</v>
          </cell>
          <cell r="B155" t="str">
            <v>2710440</v>
          </cell>
          <cell r="C155" t="str">
            <v>부장</v>
          </cell>
          <cell r="D155" t="str">
            <v>연)개발계획팀</v>
          </cell>
          <cell r="E155" t="str">
            <v>1</v>
          </cell>
        </row>
        <row r="156">
          <cell r="A156" t="str">
            <v>장길현</v>
          </cell>
          <cell r="B156" t="str">
            <v>2720401</v>
          </cell>
          <cell r="C156" t="str">
            <v>차장</v>
          </cell>
          <cell r="D156" t="str">
            <v>연)P/T실험부</v>
          </cell>
          <cell r="E156" t="str">
            <v>1</v>
          </cell>
        </row>
        <row r="157">
          <cell r="A157" t="str">
            <v>장   석</v>
          </cell>
          <cell r="B157" t="str">
            <v>2720326</v>
          </cell>
          <cell r="C157" t="str">
            <v>부장</v>
          </cell>
          <cell r="D157" t="str">
            <v>소하)시설관리팀장</v>
          </cell>
          <cell r="E157" t="str">
            <v>1</v>
          </cell>
        </row>
        <row r="158">
          <cell r="A158" t="str">
            <v>장태주</v>
          </cell>
          <cell r="B158" t="str">
            <v>2722580</v>
          </cell>
          <cell r="C158" t="str">
            <v>차장</v>
          </cell>
          <cell r="D158" t="str">
            <v>해외생기팀장</v>
          </cell>
          <cell r="E158" t="str">
            <v>1</v>
          </cell>
        </row>
        <row r="159">
          <cell r="A159" t="str">
            <v>전창환</v>
          </cell>
          <cell r="B159" t="str">
            <v>11123</v>
          </cell>
          <cell r="C159" t="str">
            <v>차장</v>
          </cell>
          <cell r="D159" t="str">
            <v>시스템영업부</v>
          </cell>
          <cell r="E159" t="str">
            <v>1</v>
          </cell>
        </row>
        <row r="160">
          <cell r="A160" t="str">
            <v>전춘석</v>
          </cell>
          <cell r="B160" t="str">
            <v>2730530</v>
          </cell>
          <cell r="C160" t="str">
            <v>차장</v>
          </cell>
          <cell r="D160" t="str">
            <v>연)엔진설계팀</v>
          </cell>
          <cell r="E160" t="str">
            <v>1</v>
          </cell>
        </row>
        <row r="161">
          <cell r="A161" t="str">
            <v>정경면</v>
          </cell>
          <cell r="B161" t="str">
            <v>2740799</v>
          </cell>
          <cell r="C161" t="str">
            <v>차장</v>
          </cell>
          <cell r="D161" t="str">
            <v>연)개발계획팀</v>
          </cell>
          <cell r="E161" t="str">
            <v>1</v>
          </cell>
        </row>
        <row r="162">
          <cell r="A162" t="str">
            <v>정광섭</v>
          </cell>
          <cell r="B162" t="str">
            <v>2740225</v>
          </cell>
          <cell r="C162" t="str">
            <v>부장</v>
          </cell>
          <cell r="D162" t="str">
            <v>정비지원팀장</v>
          </cell>
          <cell r="E162" t="str">
            <v>1</v>
          </cell>
        </row>
        <row r="163">
          <cell r="A163" t="str">
            <v>정기석</v>
          </cell>
          <cell r="B163" t="str">
            <v>2740256</v>
          </cell>
          <cell r="C163" t="str">
            <v>부장</v>
          </cell>
          <cell r="D163" t="str">
            <v>생산물류팀장</v>
          </cell>
          <cell r="E163" t="str">
            <v>1</v>
          </cell>
        </row>
        <row r="164">
          <cell r="A164" t="str">
            <v>정대의</v>
          </cell>
          <cell r="B164" t="str">
            <v>8210047</v>
          </cell>
          <cell r="C164" t="str">
            <v>차장</v>
          </cell>
          <cell r="D164" t="str">
            <v>광주)생산관리2부장</v>
          </cell>
          <cell r="E164" t="str">
            <v>1</v>
          </cell>
        </row>
        <row r="165">
          <cell r="A165" t="str">
            <v>정맹화</v>
          </cell>
          <cell r="B165" t="str">
            <v>2740379</v>
          </cell>
          <cell r="C165" t="str">
            <v>차장</v>
          </cell>
          <cell r="D165" t="str">
            <v>아산)보전2부장</v>
          </cell>
          <cell r="E165" t="str">
            <v>1</v>
          </cell>
        </row>
        <row r="166">
          <cell r="A166" t="str">
            <v>정   선</v>
          </cell>
          <cell r="B166" t="str">
            <v>2740683</v>
          </cell>
          <cell r="C166" t="str">
            <v>차장</v>
          </cell>
          <cell r="D166" t="str">
            <v>부품업무팀</v>
          </cell>
          <cell r="E166" t="str">
            <v>1</v>
          </cell>
        </row>
        <row r="167">
          <cell r="A167" t="str">
            <v>정성표</v>
          </cell>
          <cell r="B167" t="str">
            <v>2740492</v>
          </cell>
          <cell r="C167" t="str">
            <v>차장</v>
          </cell>
          <cell r="D167" t="str">
            <v>수출3팀</v>
          </cell>
          <cell r="E167" t="str">
            <v>1</v>
          </cell>
        </row>
        <row r="168">
          <cell r="A168" t="str">
            <v>정안섭</v>
          </cell>
          <cell r="B168" t="str">
            <v>8611507</v>
          </cell>
          <cell r="C168" t="str">
            <v>차장</v>
          </cell>
          <cell r="D168" t="str">
            <v>설계부</v>
          </cell>
          <cell r="E168" t="str">
            <v>1</v>
          </cell>
        </row>
        <row r="169">
          <cell r="A169" t="str">
            <v>정연국</v>
          </cell>
          <cell r="B169" t="str">
            <v>2754093</v>
          </cell>
          <cell r="C169" t="str">
            <v>부장</v>
          </cell>
          <cell r="D169" t="str">
            <v>구매계획팀장</v>
          </cell>
          <cell r="E169" t="str">
            <v>1</v>
          </cell>
        </row>
        <row r="171">
          <cell r="A171" t="str">
            <v>4  -  3</v>
          </cell>
        </row>
        <row r="172">
          <cell r="A172" t="str">
            <v>성  명</v>
          </cell>
          <cell r="B172" t="str">
            <v>사  번</v>
          </cell>
          <cell r="C172" t="str">
            <v>직급</v>
          </cell>
          <cell r="D172" t="str">
            <v>부  서</v>
          </cell>
          <cell r="E172" t="str">
            <v>차수</v>
          </cell>
        </row>
        <row r="173">
          <cell r="A173" t="str">
            <v>한용근</v>
          </cell>
          <cell r="B173" t="str">
            <v>2860251000</v>
          </cell>
          <cell r="C173" t="str">
            <v>부장</v>
          </cell>
          <cell r="D173" t="str">
            <v>광주정비사업소장</v>
          </cell>
          <cell r="E173" t="str">
            <v>1</v>
          </cell>
        </row>
        <row r="174">
          <cell r="A174" t="str">
            <v>한창규</v>
          </cell>
          <cell r="B174" t="str">
            <v>2860398</v>
          </cell>
          <cell r="C174" t="str">
            <v>차장</v>
          </cell>
          <cell r="D174" t="str">
            <v>연)시작1부</v>
          </cell>
          <cell r="E174" t="str">
            <v>1</v>
          </cell>
        </row>
        <row r="175">
          <cell r="A175" t="str">
            <v>한창균</v>
          </cell>
          <cell r="B175" t="str">
            <v>8410494</v>
          </cell>
          <cell r="C175" t="str">
            <v>차장</v>
          </cell>
          <cell r="D175" t="str">
            <v>자금부</v>
          </cell>
          <cell r="E175" t="str">
            <v>1</v>
          </cell>
        </row>
        <row r="176">
          <cell r="A176" t="str">
            <v>한춘봉</v>
          </cell>
          <cell r="B176" t="str">
            <v>2860305</v>
          </cell>
          <cell r="C176" t="str">
            <v>부장</v>
          </cell>
          <cell r="D176" t="str">
            <v>연)상용개발실</v>
          </cell>
          <cell r="E176" t="str">
            <v>1</v>
          </cell>
        </row>
        <row r="177">
          <cell r="A177" t="str">
            <v>함유현</v>
          </cell>
          <cell r="B177" t="str">
            <v>10964</v>
          </cell>
          <cell r="C177" t="str">
            <v>차장</v>
          </cell>
          <cell r="D177" t="str">
            <v>P/J추진부</v>
          </cell>
          <cell r="E177" t="str">
            <v>1</v>
          </cell>
        </row>
        <row r="178">
          <cell r="A178" t="str">
            <v>허   경</v>
          </cell>
          <cell r="B178" t="str">
            <v>2887706004</v>
          </cell>
          <cell r="C178" t="str">
            <v>부장</v>
          </cell>
          <cell r="D178" t="str">
            <v>부품구매부</v>
          </cell>
          <cell r="E178" t="str">
            <v>1</v>
          </cell>
        </row>
        <row r="179">
          <cell r="A179" t="str">
            <v>허재성</v>
          </cell>
          <cell r="B179" t="str">
            <v>2880167</v>
          </cell>
          <cell r="C179" t="str">
            <v>차장</v>
          </cell>
          <cell r="D179" t="str">
            <v>품질기술팀장</v>
          </cell>
          <cell r="E179" t="str">
            <v>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월10일"/>
      <sheetName val="1차명단"/>
      <sheetName val="1월"/>
      <sheetName val="원자재세부내역-금액"/>
    </sheetNames>
    <definedNames>
      <definedName name="보고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본부별팀별9911"/>
      <sheetName val="부품LIST"/>
      <sheetName val="CLM-MP"/>
      <sheetName val="p2-1"/>
      <sheetName val="#REF"/>
      <sheetName val="DAT(목표)"/>
      <sheetName val="12-30"/>
      <sheetName val="PC%계산"/>
      <sheetName val="CD-실적"/>
      <sheetName val="LEASE4"/>
      <sheetName val="major"/>
      <sheetName val="차체부품 INS REPORT(갑)"/>
      <sheetName val="본문"/>
      <sheetName val="FUEL FILLER"/>
      <sheetName val="SM-NEW"/>
      <sheetName val="전부인쇄"/>
      <sheetName val="수리결과"/>
      <sheetName val="day"/>
      <sheetName val="2.대외공문"/>
      <sheetName val="5.WIRE적용LIST"/>
      <sheetName val="Sheet1"/>
      <sheetName val="상용"/>
      <sheetName val="PP%계산"/>
      <sheetName val="BM_NEW2"/>
      <sheetName val="진행 DATA (2)"/>
      <sheetName val="Sheet4"/>
      <sheetName val="CALENDAR"/>
      <sheetName val="협조전"/>
      <sheetName val="RD제품개발투자비(매가)"/>
      <sheetName val="명단"/>
      <sheetName val="GRACE"/>
      <sheetName val="외주현황.wq1"/>
      <sheetName val="Macro1"/>
      <sheetName val="2"/>
      <sheetName val=" 납촉자"/>
      <sheetName val="업체명"/>
      <sheetName val="RC"/>
      <sheetName val="SUB 2월 재검사추이도"/>
      <sheetName val="M1master"/>
      <sheetName val="3.일반사상"/>
      <sheetName val="MPS Q3 FY04"/>
      <sheetName val="MPS Q4 FY04"/>
      <sheetName val="신규DEP"/>
      <sheetName val="PTR台손익"/>
      <sheetName val="125PIECE"/>
      <sheetName val="상세"/>
      <sheetName val="계산정보"/>
      <sheetName val="INPUT"/>
      <sheetName val="82150-39000"/>
      <sheetName val="LX3.0 RR"/>
      <sheetName val="3-2.귀책부서별 DT현황"/>
      <sheetName val="통합data"/>
      <sheetName val="PRDW30"/>
      <sheetName val="환율기준"/>
      <sheetName val="영업"/>
      <sheetName val="대외공문"/>
      <sheetName val="확정실적"/>
      <sheetName val="5.세운W-A"/>
      <sheetName val="초도발주서"/>
      <sheetName val="미국"/>
      <sheetName val="현금경비중역"/>
      <sheetName val="순위"/>
      <sheetName val="Macro2"/>
      <sheetName val="RHD"/>
      <sheetName val="Open"/>
      <sheetName val="공정능력외경"/>
      <sheetName val="추이도"/>
      <sheetName val="그패프"/>
      <sheetName val="지점분석00"/>
      <sheetName val="투자-국내2"/>
      <sheetName val="95하U$가격"/>
      <sheetName val="업체등록"/>
      <sheetName val="자재입고"/>
      <sheetName val="자재출고"/>
      <sheetName val="제품등록"/>
      <sheetName val="총소요량"/>
      <sheetName val="현재고"/>
      <sheetName val="참조영역"/>
      <sheetName val="GB-IC Villingen GG"/>
      <sheetName val="Sheet2"/>
      <sheetName val="c.db"/>
      <sheetName val="설비"/>
      <sheetName val="단중표"/>
      <sheetName val="뒤차축소"/>
      <sheetName val="원본"/>
      <sheetName val="0000"/>
      <sheetName val="DWPM"/>
      <sheetName val="검구사양서"/>
      <sheetName val="계산DATA입력"/>
      <sheetName val="교육계획"/>
      <sheetName val="재료율"/>
      <sheetName val="대일산업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차체부품_INS_REPORT(갑)"/>
      <sheetName val="FUEL_FILLER"/>
      <sheetName val="2_대외공문"/>
      <sheetName val="5_WIRE적용LIST"/>
      <sheetName val="진행_DATA_(2)"/>
      <sheetName val="외주현황_wq1"/>
      <sheetName val="_납촉자"/>
      <sheetName val="3_일반사상"/>
      <sheetName val="환율"/>
      <sheetName val="재료비"/>
      <sheetName val="JT3.0견적-구1"/>
      <sheetName val="효율계획(당월)"/>
      <sheetName val="J150 승인진도관리 LIST"/>
      <sheetName val="MH_생산"/>
      <sheetName val="LIST"/>
      <sheetName val="TOTAL LIST"/>
      <sheetName val="EXP-COST"/>
      <sheetName val="T진도"/>
      <sheetName val="지정공장"/>
      <sheetName val="서울정비"/>
      <sheetName val="차체"/>
      <sheetName val="data"/>
      <sheetName val="전체실적"/>
      <sheetName val="Price Range"/>
      <sheetName val="FTR MACRo"/>
      <sheetName val="BRAKE"/>
      <sheetName val="RHN"/>
      <sheetName val="액슬"/>
      <sheetName val="종합"/>
      <sheetName val="프레임"/>
      <sheetName val="시설업체주소록"/>
      <sheetName val="점유면적"/>
      <sheetName val="F4-F7"/>
      <sheetName val="품의서"/>
      <sheetName val="업종별"/>
      <sheetName val="97"/>
      <sheetName val="EQ"/>
      <sheetName val="B053 (990701)공정실적PP%계산"/>
      <sheetName val="작성양식"/>
      <sheetName val="차수"/>
      <sheetName val="간이연락"/>
      <sheetName val="PPK"/>
      <sheetName val="3-2_귀책부서별_DT현황"/>
      <sheetName val="result0927"/>
      <sheetName val="대우자동차용역비"/>
      <sheetName val="XREF"/>
      <sheetName val="원소재인상자료"/>
      <sheetName val="제품목록"/>
      <sheetName val="일자별"/>
      <sheetName val="●일일실적"/>
      <sheetName val="1.2내수"/>
      <sheetName val="콤보"/>
      <sheetName val="운영실적(세부)"/>
      <sheetName val="품의예산"/>
      <sheetName val="HP1AMLIST"/>
      <sheetName val="등속"/>
      <sheetName val="_x0000__x0000__x0000__x0000_ilencer"/>
      <sheetName val="1"/>
      <sheetName val="0 절삭조건"/>
      <sheetName val="변속"/>
      <sheetName val="1월"/>
      <sheetName val="월별손익"/>
      <sheetName val="CPK"/>
      <sheetName val="실적"/>
      <sheetName val="내경"/>
      <sheetName val="금강투자2000"/>
      <sheetName val="건재양식"/>
      <sheetName val="일일 업무 현황 (3)"/>
      <sheetName val="일일 업무 현황 (5)"/>
      <sheetName val="생산품목"/>
      <sheetName val="5311"/>
      <sheetName val="내역서"/>
      <sheetName val="유효"/>
      <sheetName val="COST관리"/>
      <sheetName val="자재단가"/>
      <sheetName val=""/>
      <sheetName val="문서처리전"/>
      <sheetName val="부서CODE"/>
      <sheetName val="호봉CODE"/>
      <sheetName val="LX3_0_RR"/>
      <sheetName val="5_세운W-A"/>
      <sheetName val="SUB_2월_재검사추이도"/>
      <sheetName val="(평균)"/>
      <sheetName val="GK_XDBASE"/>
      <sheetName val="Tbom-tot"/>
      <sheetName val="기준"/>
      <sheetName val="11"/>
      <sheetName val="득점현황"/>
      <sheetName val="SAM"/>
      <sheetName val="점검시트"/>
      <sheetName val="SANTAMO"/>
      <sheetName val="기안"/>
      <sheetName val="2-1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3-2_귀책부서별_DT현황1"/>
      <sheetName val="3_일반사상1"/>
      <sheetName val="B053_(990701)공정실적PP%계산"/>
      <sheetName val="_납촉자1"/>
      <sheetName val="GB-IC_Villingen_GG"/>
      <sheetName val="c_db"/>
      <sheetName val="1_2내수"/>
      <sheetName val="0_절삭조건"/>
      <sheetName val="DataBase"/>
      <sheetName val="SS"/>
      <sheetName val="가공비"/>
      <sheetName val="금형비"/>
      <sheetName val="9-1차이내역"/>
      <sheetName val="판매98"/>
      <sheetName val="기준입력"/>
      <sheetName val="카메라"/>
      <sheetName val="GSTOTAL"/>
      <sheetName val="임율 &amp; LOT"/>
      <sheetName val="Segments"/>
      <sheetName val="내구품질향상1"/>
      <sheetName val="협력사 일반현황"/>
      <sheetName val="발생집계"/>
      <sheetName val="검기갑지"/>
      <sheetName val="생산계획 (2)"/>
      <sheetName val="동명재고"/>
      <sheetName val="작업시간"/>
      <sheetName val="경비공통"/>
      <sheetName val="14.1부"/>
      <sheetName val="RR저항Cp"/>
      <sheetName val="1.ER유체응용"/>
      <sheetName val="4.시험장비"/>
      <sheetName val="98종합"/>
      <sheetName val="표지"/>
      <sheetName val="MCT6"/>
      <sheetName val="SPT"/>
      <sheetName val="선반OPT"/>
      <sheetName val="지침"/>
      <sheetName val="MC&amp;다변화"/>
      <sheetName val="VS1 Paretto분석"/>
      <sheetName val="CASE ASM"/>
      <sheetName val="MPL 技連"/>
      <sheetName val="342E BLOCK"/>
      <sheetName val="상품재고(97)"/>
      <sheetName val="냉연"/>
      <sheetName val="ML"/>
      <sheetName val="양식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구동"/>
      <sheetName val="Evaluation objects"/>
      <sheetName val="FRONT HUB견적가"/>
      <sheetName val="급여대장(기능직)"/>
      <sheetName val="1-1.General Code"/>
      <sheetName val="가공비(2)"/>
      <sheetName val="주행"/>
      <sheetName val="생산1-1"/>
      <sheetName val="Type"/>
      <sheetName val="포머 비가동 내역"/>
      <sheetName val="작업일보"/>
      <sheetName val="SHAFT"/>
      <sheetName val="오정용선임"/>
      <sheetName val="검사성적서(갑)"/>
      <sheetName val="생산현황 (입력)"/>
      <sheetName val="NGS4"/>
      <sheetName val="공정별"/>
      <sheetName val="hp_td_calc"/>
      <sheetName val="6B008"/>
      <sheetName val="TOTAL"/>
      <sheetName val="시험연구비상각"/>
      <sheetName val="전체지분도"/>
      <sheetName val="장적산출"/>
      <sheetName val="일일_업무_현황_(3)"/>
      <sheetName val="일일_업무_현황_(5)"/>
      <sheetName val="JT3_0견적-구1"/>
      <sheetName val="내장"/>
      <sheetName val="전체현황"/>
      <sheetName val="W-현원가"/>
      <sheetName val="작업장"/>
      <sheetName val="회순"/>
      <sheetName val="승인1팀"/>
      <sheetName val="제품"/>
      <sheetName val="MBNBSMTR"/>
      <sheetName val="intro"/>
      <sheetName val="BND"/>
      <sheetName val="WEIGHT"/>
      <sheetName val="생산소모품"/>
      <sheetName val="일일 생산및판매계획 대 실적"/>
      <sheetName val="세부내용"/>
      <sheetName val="02 07 27 부품판매가"/>
      <sheetName val="총"/>
      <sheetName val="윤영환"/>
      <sheetName val="R&amp;D"/>
      <sheetName val="상세 계산 내역"/>
      <sheetName val="채권(하반기)"/>
      <sheetName val="DATA BASE"/>
      <sheetName val="DFMEA"/>
      <sheetName val="二.POSITION.XLS"/>
      <sheetName val="96PLAN"/>
      <sheetName val="626TD"/>
      <sheetName val="FMEAPRO5"/>
      <sheetName val="1ဲ.ALT"/>
      <sheetName val="1ဳ.O.S"/>
      <sheetName val="15.၄AMPER"/>
      <sheetName val="96"/>
      <sheetName val="반송불량율"/>
      <sheetName val="KMCWD"/>
      <sheetName val="OPT손익 내수"/>
      <sheetName val="OPT손익 수출"/>
      <sheetName val="BACK DATA 08.7.1~"/>
      <sheetName val="E.W"/>
      <sheetName val="P.W"/>
      <sheetName val="가공비data"/>
      <sheetName val="S.W"/>
      <sheetName val="기초"/>
      <sheetName val="TEMP TORQUE"/>
      <sheetName val="10월작업불량"/>
      <sheetName val="재료(확정,11월19일)"/>
      <sheetName val="손익"/>
      <sheetName val="BACK DATA"/>
      <sheetName val="정리"/>
      <sheetName val="기초자료"/>
      <sheetName val="VT원단위"/>
      <sheetName val="KD율"/>
      <sheetName val="64164"/>
      <sheetName val="불량현황"/>
      <sheetName val="자산LIST"/>
      <sheetName val="HOUSING"/>
      <sheetName val="126.255"/>
      <sheetName val="출력값"/>
      <sheetName val="기초DATA"/>
      <sheetName val="95계획"/>
      <sheetName val="동아합의"/>
      <sheetName val="BL제조표준"/>
      <sheetName val="TCA"/>
      <sheetName val="건축공사"/>
      <sheetName val="AN43"/>
      <sheetName val="매출종합.`09"/>
      <sheetName val="부문손익"/>
      <sheetName val="수입"/>
      <sheetName val="생계99ST"/>
      <sheetName val="SPEC별"/>
      <sheetName val="일본출1"/>
      <sheetName val="삼공기계"/>
      <sheetName val="화환비상"/>
      <sheetName val="소상 &quot;1&quot;"/>
      <sheetName val="금형품"/>
      <sheetName val="매출계획"/>
      <sheetName val="현재"/>
      <sheetName val="Tiburon"/>
      <sheetName val="결함코드"/>
      <sheetName val="부품코드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Nego PV"/>
      <sheetName val="code"/>
      <sheetName val="C100보고서"/>
      <sheetName val="Pc1%계산"/>
      <sheetName val="engline"/>
      <sheetName val="1.변경범위"/>
      <sheetName val="직원신상"/>
      <sheetName val="HCCE01"/>
      <sheetName val="A-100전제"/>
      <sheetName val="CIELO발주"/>
      <sheetName val="세부"/>
      <sheetName val="법인+비법인"/>
      <sheetName val="LANOS"/>
      <sheetName val="LEGANZA"/>
      <sheetName val="NUBIRA"/>
      <sheetName val="팀별 합계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MAIN"/>
      <sheetName val="ENG"/>
      <sheetName val="CONT"/>
      <sheetName val="Claim이력_내수내자"/>
      <sheetName val="RESN_SUM"/>
      <sheetName val="Actions"/>
      <sheetName val="설비능력및 종합공정능력산출시 사용"/>
      <sheetName val="손익계산서"/>
      <sheetName val="CF"/>
      <sheetName val="V64"/>
      <sheetName val="31323-4A005(PPK)"/>
      <sheetName val="B"/>
      <sheetName val="일반관리비"/>
      <sheetName val="매입세율"/>
      <sheetName val="공사개요"/>
      <sheetName val="CR CODE"/>
      <sheetName val="THEME CODE"/>
      <sheetName val="업무분장"/>
      <sheetName val="공통"/>
      <sheetName val="P&amp;L,Bal Sheet,Cash Forecast"/>
      <sheetName val="Sheet3"/>
      <sheetName val="중점과제-경비(제안)"/>
      <sheetName val="Budget"/>
      <sheetName val="사유코드"/>
      <sheetName val="자체실적1Q"/>
      <sheetName val="공정및생산관리절차서"/>
      <sheetName val="BTS-시범물량"/>
      <sheetName val="시설투자"/>
      <sheetName val="단가MSTR"/>
      <sheetName val="계획수량"/>
      <sheetName val="SPONGE단가"/>
      <sheetName val="정비손익"/>
      <sheetName val="6월수불"/>
      <sheetName val="ROYALTY"/>
      <sheetName val="생산실적"/>
      <sheetName val="PC%계산(WM.COMM단차)"/>
      <sheetName val="연구인원내역"/>
      <sheetName val="주E95711"/>
      <sheetName val="TM1Variables"/>
      <sheetName val="050218"/>
      <sheetName val="07주차별실적"/>
      <sheetName val="대표자"/>
      <sheetName val="급여대장(입력용)"/>
      <sheetName val="417CPK"/>
      <sheetName val="TABLE"/>
      <sheetName val="공문"/>
      <sheetName val="R&amp;R(DATA)"/>
      <sheetName val="팀별종합"/>
      <sheetName val="검사협정서"/>
      <sheetName val="보고"/>
      <sheetName val="변수"/>
      <sheetName val="불량현상별END"/>
      <sheetName val="회사정보"/>
      <sheetName val="경비"/>
      <sheetName val="A-A"/>
      <sheetName val="시산9812"/>
      <sheetName val="LX3_0_RR1"/>
      <sheetName val="포머_비가동_내역"/>
      <sheetName val="Evaluation_objects"/>
      <sheetName val="FRONT_HUB견적가"/>
      <sheetName val="VS1_Paretto분석"/>
      <sheetName val="정미시간"/>
      <sheetName val="예산코드"/>
      <sheetName val="11년단가"/>
      <sheetName val="프레스"/>
      <sheetName val="생산직"/>
      <sheetName val="1월~3월"/>
      <sheetName val="4월~6월"/>
      <sheetName val="7-9월"/>
      <sheetName val="10월~12월"/>
      <sheetName val="공평7"/>
      <sheetName val="첨부6)CAPA분석표"/>
      <sheetName val="공평3"/>
      <sheetName val="업체별 단가현황"/>
      <sheetName val="총괄표"/>
      <sheetName val="FLOW PROSES (A)"/>
      <sheetName val="VPP(BD-010) 이상보고"/>
      <sheetName val="소계정"/>
      <sheetName val="master"/>
      <sheetName val="내수1.8GL"/>
      <sheetName val="수출"/>
      <sheetName val="Takt"/>
      <sheetName val="매각단가"/>
      <sheetName val="CVT산정"/>
      <sheetName val="15-COMP"/>
      <sheetName val="완성차"/>
      <sheetName val="2002년판매실적"/>
      <sheetName val="MACRO1.XLM"/>
      <sheetName val="factor"/>
      <sheetName val="인사자료총집계"/>
      <sheetName val="SPG생산"/>
      <sheetName val="출장거리"/>
      <sheetName val="비교원가제출.고"/>
      <sheetName val="RDLEVLST"/>
      <sheetName val="Sheet5"/>
      <sheetName val="10-1"/>
      <sheetName val="Basic assumptions"/>
      <sheetName val="98지급계획"/>
      <sheetName val="월간인력"/>
      <sheetName val="기타코드"/>
      <sheetName val="년령분석표(02년)"/>
      <sheetName val="지역별"/>
      <sheetName val="이름표모음"/>
      <sheetName val="MTK_사후"/>
      <sheetName val="94B"/>
      <sheetName val="원본(실제)"/>
      <sheetName val="712"/>
      <sheetName val="56"/>
      <sheetName val="#142-1-갑"/>
      <sheetName val="1.세부비교원가(내수)"/>
      <sheetName val="1.종합비교원가(내수_일반_유럽)"/>
      <sheetName val="DAT_목표_"/>
      <sheetName val="물산(양산)"/>
      <sheetName val="정공(양산)"/>
      <sheetName val="테크(양산)"/>
      <sheetName val="계열사현황종합"/>
      <sheetName val="CSC"/>
      <sheetName val="중점과제별관리도"/>
      <sheetName val="금형991202"/>
      <sheetName val="BUS제원1"/>
      <sheetName val="DOOR"/>
      <sheetName val="프로젝트"/>
      <sheetName val="5-1차수정"/>
      <sheetName val="Sheet13"/>
      <sheetName val="안산"/>
      <sheetName val="천안"/>
      <sheetName val="PB내역"/>
      <sheetName val="10.예산 및 원가 계획(02년)"/>
      <sheetName val="입고단가기준"/>
      <sheetName val="리드14"/>
      <sheetName val="규칙"/>
      <sheetName val="2차 OIL량측정"/>
      <sheetName val="지점장"/>
      <sheetName val="5월"/>
      <sheetName val="측정-1"/>
      <sheetName val="WBS98"/>
      <sheetName val="설비LIST"/>
      <sheetName val=" "/>
      <sheetName val="등록의뢰"/>
      <sheetName val="주요재무비율"/>
      <sheetName val="Data Sheet"/>
      <sheetName val="대표경력"/>
      <sheetName val="송전기본"/>
      <sheetName val="매출"/>
      <sheetName val="무부하 회전수"/>
      <sheetName val="6C007(A)"/>
      <sheetName val="진행중 설변"/>
      <sheetName val="수입명세서"/>
      <sheetName val="03 PFD-1"/>
      <sheetName val="SYS검토(1A1)"/>
      <sheetName val="2. Definitions"/>
      <sheetName val="세부견적"/>
      <sheetName val="_x005f_x0000__x005f_x0000__x005f_x0000__x005f_x0000_ile"/>
      <sheetName val="설계일정"/>
      <sheetName val="가2"/>
      <sheetName val="76210원가"/>
      <sheetName val="13-1-2"/>
      <sheetName val="印刷補助"/>
      <sheetName val="System"/>
      <sheetName val="협력사_일반현황"/>
      <sheetName val="MPL_技連"/>
      <sheetName val="342E_BLOCK"/>
      <sheetName val="Hilfstabellen"/>
      <sheetName val="cost base e dati"/>
      <sheetName val="상불"/>
      <sheetName val="Summary Sheet"/>
      <sheetName val="Datasheet for KPI Model 1"/>
      <sheetName val="업체리스트"/>
      <sheetName val="ENG油洩れ"/>
      <sheetName val="1차명단"/>
      <sheetName val="단기차입금(200006)"/>
      <sheetName val="세계수요종합OK"/>
      <sheetName val="TEMP1"/>
      <sheetName val="ORIGIN"/>
      <sheetName val="상각율표"/>
      <sheetName val="F4"/>
      <sheetName val="코드"/>
      <sheetName val="LAMBDA 자작"/>
      <sheetName val="항목(1)"/>
      <sheetName val="유효성"/>
      <sheetName val="(BS,CF)-BACK"/>
      <sheetName val="예산실적전체당월"/>
      <sheetName val="N46"/>
      <sheetName val="정산내역"/>
      <sheetName val="운임.환차손-Y"/>
      <sheetName val="1_변경범위"/>
      <sheetName val="TEMP_TORQUE"/>
      <sheetName val="운임_환차손-Y"/>
      <sheetName val="존4"/>
      <sheetName val="96갑지"/>
      <sheetName val="Specification"/>
      <sheetName val="지부전체"/>
      <sheetName val="CSTHA616"/>
      <sheetName val="개발 TOOL 집계표"/>
      <sheetName val="경상 개발비"/>
      <sheetName val="16~31"/>
      <sheetName val="1-C,D"/>
      <sheetName val="품명_자재코드"/>
      <sheetName val="코드 조건표"/>
      <sheetName val="코드_조건표"/>
      <sheetName val="금형_(2)"/>
      <sheetName val="오음명부"/>
      <sheetName val="HMC 사전원가(원혁기준)13%"/>
      <sheetName val="세목별"/>
      <sheetName val="P&amp;L"/>
      <sheetName val="5-Why Root Cause Analysis "/>
      <sheetName val="#REF!"/>
      <sheetName val="조정내역"/>
      <sheetName val="0105"/>
      <sheetName val="0505"/>
      <sheetName val="A"/>
      <sheetName val="스풀능력"/>
      <sheetName val="HOLE 9905(1)"/>
      <sheetName val="자료"/>
      <sheetName val="직원명부"/>
      <sheetName val="판가반영"/>
      <sheetName val="침탄데이타"/>
      <sheetName val="차체 품안표"/>
      <sheetName val="양식_샘플"/>
      <sheetName val="품의양"/>
      <sheetName val="."/>
      <sheetName val="Financials"/>
      <sheetName val="Yield"/>
      <sheetName val="공정능력(마운틴 홀 거리)"/>
      <sheetName val="2001Org"/>
      <sheetName val="PP%계산-1"/>
      <sheetName val="PNL ASS'Y CRASH PAD UPR RH"/>
      <sheetName val="000000"/>
      <sheetName val="CHINO검량선"/>
      <sheetName val="재고정확2"/>
      <sheetName val="DB"/>
      <sheetName val="9703"/>
      <sheetName val="DATE"/>
      <sheetName val="12.Inv."/>
      <sheetName val="주요재료비"/>
      <sheetName val="CSP원자재"/>
      <sheetName val="97년 재료예산(안)"/>
      <sheetName val="추산서총괄"/>
      <sheetName val="1.터빈"/>
      <sheetName val="HEAD"/>
      <sheetName val="6.수입검사 "/>
      <sheetName val="실적관리"/>
      <sheetName val="인원수계산"/>
      <sheetName val="이름"/>
      <sheetName val="장비 전체리스트"/>
      <sheetName val="장비리스트"/>
      <sheetName val="VXX"/>
      <sheetName val="총론"/>
      <sheetName val="생산"/>
      <sheetName val="진도현황"/>
      <sheetName val="테이블"/>
      <sheetName val="INDIA-ML"/>
      <sheetName val="production dept"/>
      <sheetName val="공정별CR"/>
      <sheetName val="집연95"/>
      <sheetName val="91"/>
      <sheetName val="불량 리스트"/>
      <sheetName val="불량 코드"/>
      <sheetName val="S50 "/>
      <sheetName val="여비"/>
      <sheetName val="기아계획"/>
      <sheetName val="현금흐름표"/>
      <sheetName val="원재료불량"/>
      <sheetName val="그림목록"/>
      <sheetName val="1.1 2008 OTIF"/>
      <sheetName val="차액보증"/>
      <sheetName val="공정능력(1)"/>
      <sheetName val="품목"/>
      <sheetName val="계산program"/>
      <sheetName val="impianti"/>
      <sheetName val="KMO"/>
      <sheetName val="그래프"/>
      <sheetName val="공사원가계산서"/>
      <sheetName val="Questionnaire"/>
      <sheetName val="동성세부내역"/>
      <sheetName val="협력업체"/>
      <sheetName val="TOP_trans"/>
      <sheetName val="생산실적db"/>
      <sheetName val="기간별품목별불량유형집계"/>
      <sheetName val="품목표"/>
      <sheetName val="96수표어음"/>
      <sheetName val="_0602주-무결점운동 진행현황 보고 (20140610)"/>
      <sheetName val="견적마법사"/>
      <sheetName val="전처리"/>
      <sheetName val="Option"/>
      <sheetName val="Upgrades pricing"/>
      <sheetName val="7.3 DY팀"/>
      <sheetName val="info"/>
      <sheetName val="Sale"/>
      <sheetName val="List Total"/>
      <sheetName val="List(Retired)"/>
      <sheetName val="Attendance"/>
      <sheetName val="Book"/>
      <sheetName val="Person.Cost"/>
      <sheetName val="summary"/>
      <sheetName val="입퇴사"/>
      <sheetName val="Absent"/>
      <sheetName val="THEO DÕI THAI SẢN (2)"/>
      <sheetName val="Maternity"/>
      <sheetName val="Man"/>
      <sheetName val="TIME"/>
      <sheetName val="Time.Man"/>
      <sheetName val="Salary(Section)"/>
      <sheetName val="Salary(Cus.)"/>
      <sheetName val="OT OVER"/>
      <sheetName val="1_TM2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차체부품_INS_REPORT(갑)2"/>
      <sheetName val="FUEL_FILLER2"/>
      <sheetName val="진행_DATA_(2)2"/>
      <sheetName val="2_대외공문2"/>
      <sheetName val="5_WIRE적용LIST2"/>
      <sheetName val="외주현황_wq12"/>
      <sheetName val="_납촉자2"/>
      <sheetName val="3_일반사상2"/>
      <sheetName val="GB-IC_Villingen_GG1"/>
      <sheetName val="SUB_2월_재검사추이도1"/>
      <sheetName val="5_세운W-A1"/>
      <sheetName val="JT3_0견적-구11"/>
      <sheetName val="c_db1"/>
      <sheetName val="금형_(2)1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차체부품_INS_REPORT(갑)4"/>
      <sheetName val="FUEL_FILLER4"/>
      <sheetName val="진행_DATA_(2)4"/>
      <sheetName val="2_대외공문4"/>
      <sheetName val="5_WIRE적용LIST4"/>
      <sheetName val="외주현황_wq14"/>
      <sheetName val="_납촉자4"/>
      <sheetName val="3-2_귀책부서별_DT현황3"/>
      <sheetName val="3_일반사상4"/>
      <sheetName val="LX3_0_RR3"/>
      <sheetName val="GB-IC_Villingen_GG3"/>
      <sheetName val="SUB_2월_재검사추이도3"/>
      <sheetName val="5_세운W-A3"/>
      <sheetName val="JT3_0견적-구13"/>
      <sheetName val="c_db3"/>
      <sheetName val="금형_(2)3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차체부품_INS_REPORT(갑)3"/>
      <sheetName val="FUEL_FILLER3"/>
      <sheetName val="진행_DATA_(2)3"/>
      <sheetName val="2_대외공문3"/>
      <sheetName val="5_WIRE적용LIST3"/>
      <sheetName val="외주현황_wq13"/>
      <sheetName val="_납촉자3"/>
      <sheetName val="3-2_귀책부서별_DT현황2"/>
      <sheetName val="3_일반사상3"/>
      <sheetName val="LX3_0_RR2"/>
      <sheetName val="GB-IC_Villingen_GG2"/>
      <sheetName val="SUB_2월_재검사추이도2"/>
      <sheetName val="5_세운W-A2"/>
      <sheetName val="JT3_0견적-구12"/>
      <sheetName val="c_db2"/>
      <sheetName val="금형_(2)2"/>
      <sheetName val="일반급여"/>
      <sheetName val="물량표"/>
      <sheetName val="10년01월부터"/>
      <sheetName val="예적금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차체부품_INS_REPORT(갑)5"/>
      <sheetName val="FUEL_FILLER5"/>
      <sheetName val="진행_DATA_(2)5"/>
      <sheetName val="2_대외공문5"/>
      <sheetName val="5_WIRE적용LIST5"/>
      <sheetName val="외주현황_wq15"/>
      <sheetName val="_납촉자5"/>
      <sheetName val="3-2_귀책부서별_DT현황4"/>
      <sheetName val="3_일반사상5"/>
      <sheetName val="LX3_0_RR4"/>
      <sheetName val="GB-IC_Villingen_GG4"/>
      <sheetName val="SUB_2월_재검사추이도4"/>
      <sheetName val="5_세운W-A4"/>
      <sheetName val="JT3_0견적-구14"/>
      <sheetName val="c_db4"/>
      <sheetName val="금형_(2)4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차체부품_INS_REPORT(갑)6"/>
      <sheetName val="FUEL_FILLER6"/>
      <sheetName val="진행_DATA_(2)6"/>
      <sheetName val="2_대외공문6"/>
      <sheetName val="5_WIRE적용LIST6"/>
      <sheetName val="외주현황_wq16"/>
      <sheetName val="_납촉자6"/>
      <sheetName val="3-2_귀책부서별_DT현황5"/>
      <sheetName val="3_일반사상6"/>
      <sheetName val="LX3_0_RR5"/>
      <sheetName val="GB-IC_Villingen_GG5"/>
      <sheetName val="SUB_2월_재검사추이도5"/>
      <sheetName val="5_세운W-A5"/>
      <sheetName val="JT3_0견적-구15"/>
      <sheetName val="c_db5"/>
      <sheetName val="금형_(2)5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차체부품_INS_REPORT(갑)7"/>
      <sheetName val="FUEL_FILLER7"/>
      <sheetName val="진행_DATA_(2)7"/>
      <sheetName val="2_대외공문7"/>
      <sheetName val="5_WIRE적용LIST7"/>
      <sheetName val="외주현황_wq17"/>
      <sheetName val="_납촉자7"/>
      <sheetName val="3-2_귀책부서별_DT현황6"/>
      <sheetName val="3_일반사상7"/>
      <sheetName val="LX3_0_RR6"/>
      <sheetName val="GB-IC_Villingen_GG6"/>
      <sheetName val="SUB_2월_재검사추이도6"/>
      <sheetName val="5_세운W-A6"/>
      <sheetName val="JT3_0견적-구16"/>
      <sheetName val="c_db6"/>
      <sheetName val="금형_(2)6"/>
      <sheetName val="J150_승인진도관리_LIST"/>
      <sheetName val="TOTAL_LIST"/>
      <sheetName val="Price_Range"/>
      <sheetName val="FTR_MACRo"/>
      <sheetName val="14_1부"/>
      <sheetName val="상세_계산_내역"/>
      <sheetName val="Base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차체부품_INS_REPORT(갑)9"/>
      <sheetName val="FUEL_FILLER9"/>
      <sheetName val="진행_DATA_(2)9"/>
      <sheetName val="2_대외공문9"/>
      <sheetName val="5_WIRE적용LIST9"/>
      <sheetName val="외주현황_wq19"/>
      <sheetName val="_납촉자9"/>
      <sheetName val="3-2_귀책부서별_DT현황8"/>
      <sheetName val="3_일반사상9"/>
      <sheetName val="LX3_0_RR8"/>
      <sheetName val="GB-IC_Villingen_GG8"/>
      <sheetName val="SUB_2월_재검사추이도8"/>
      <sheetName val="5_세운W-A8"/>
      <sheetName val="JT3_0견적-구18"/>
      <sheetName val="c_db8"/>
      <sheetName val="금형_(2)8"/>
      <sheetName val="일일_업무_현황_(3)2"/>
      <sheetName val="일일_업무_현황_(5)2"/>
      <sheetName val="B053_(990701)공정실적PP%계산2"/>
      <sheetName val="1_2내수2"/>
      <sheetName val="J150_승인진도관리_LIST2"/>
      <sheetName val="TOTAL_LIST2"/>
      <sheetName val="Price_Range2"/>
      <sheetName val="FTR_MACRo2"/>
      <sheetName val="14_1부2"/>
      <sheetName val="협력사_일반현황2"/>
      <sheetName val="0_절삭조건2"/>
      <sheetName val="상세_계산_내역2"/>
      <sheetName val="MPL_技連2"/>
      <sheetName val="342E_BLOCK2"/>
      <sheetName val="Evaluation_objects1"/>
      <sheetName val="FRONT_HUB견적가1"/>
      <sheetName val="1-1_General_Code1"/>
      <sheetName val="VS1_Paretto분석1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차체부품_INS_REPORT(갑)8"/>
      <sheetName val="FUEL_FILLER8"/>
      <sheetName val="진행_DATA_(2)8"/>
      <sheetName val="2_대외공문8"/>
      <sheetName val="5_WIRE적용LIST8"/>
      <sheetName val="외주현황_wq18"/>
      <sheetName val="_납촉자8"/>
      <sheetName val="3-2_귀책부서별_DT현황7"/>
      <sheetName val="3_일반사상8"/>
      <sheetName val="LX3_0_RR7"/>
      <sheetName val="GB-IC_Villingen_GG7"/>
      <sheetName val="SUB_2월_재검사추이도7"/>
      <sheetName val="5_세운W-A7"/>
      <sheetName val="JT3_0견적-구17"/>
      <sheetName val="c_db7"/>
      <sheetName val="금형_(2)7"/>
      <sheetName val="일일_업무_현황_(3)1"/>
      <sheetName val="일일_업무_현황_(5)1"/>
      <sheetName val="B053_(990701)공정실적PP%계산1"/>
      <sheetName val="1_2내수1"/>
      <sheetName val="J150_승인진도관리_LIST1"/>
      <sheetName val="TOTAL_LIST1"/>
      <sheetName val="Price_Range1"/>
      <sheetName val="FTR_MACRo1"/>
      <sheetName val="14_1부1"/>
      <sheetName val="협력사_일반현황1"/>
      <sheetName val="0_절삭조건1"/>
      <sheetName val="상세_계산_내역1"/>
      <sheetName val="MPL_技連1"/>
      <sheetName val="342E_BLOCK1"/>
      <sheetName val="1-1_General_Code"/>
      <sheetName val="세무서코드"/>
      <sheetName val="Chart"/>
      <sheetName val="만년달력"/>
      <sheetName val="휴일"/>
      <sheetName val="数据源"/>
      <sheetName val="UPC+EAN"/>
      <sheetName val="物料規格"/>
      <sheetName val="Cfg"/>
      <sheetName val="Segment 4 Bid Sheet"/>
      <sheetName val="Feuil2"/>
      <sheetName val="CPK1"/>
      <sheetName val="可测试性需求基线"/>
      <sheetName val="参数表"/>
      <sheetName val="Hi6810 功能信号表"/>
      <sheetName val="6.FQC检验数据"/>
      <sheetName val="集計２"/>
      <sheetName val="输入清单"/>
      <sheetName val="平衡分析"/>
      <sheetName val="2003 prod2"/>
      <sheetName val="2003 Target"/>
      <sheetName val="通讯录"/>
      <sheetName val="Data_Tim"/>
      <sheetName val="RA Bearer"/>
      <sheetName val="法規課84上半年經營實績"/>
      <sheetName val="Trend Total nguyên nhân"/>
      <sheetName val="zzin"/>
      <sheetName val="Lists"/>
      <sheetName val="Investigation_Note"/>
      <sheetName val="测试计划与结果"/>
      <sheetName val="CPK样板"/>
      <sheetName val="700-001563-03"/>
      <sheetName val="設備預算總表附件3 "/>
      <sheetName val="FA Definitions"/>
      <sheetName val="Sheet6"/>
      <sheetName val="예상투자비"/>
      <sheetName val="개발원가 종합"/>
      <sheetName val="C-L"/>
      <sheetName val="DATA입력"/>
      <sheetName val="자료실"/>
      <sheetName val="明细账"/>
      <sheetName val="신1"/>
      <sheetName val="期別全体表"/>
      <sheetName val="Sensitivity"/>
      <sheetName val="기타 부자재"/>
      <sheetName val="분리막"/>
      <sheetName val="전해액"/>
      <sheetName val="폼관조직"/>
      <sheetName val="report_20"/>
      <sheetName val="camera_30"/>
      <sheetName val="다목적갑"/>
      <sheetName val="계산 DATA 입력"/>
      <sheetName val="재품별 단가"/>
      <sheetName val="komentár"/>
      <sheetName val="?????"/>
      <sheetName val="집중검사 리스트"/>
      <sheetName val="회사제시"/>
      <sheetName val="ISRDATA"/>
      <sheetName val="Master Cable"/>
      <sheetName val="MOTO"/>
      <sheetName val="ppcarpet"/>
      <sheetName val="PRESS DATA"/>
      <sheetName val="조립지적"/>
      <sheetName val="1ဲ_ALT1"/>
      <sheetName val="1ဳ_O_S1"/>
      <sheetName val="15_၄AMPER1"/>
      <sheetName val="二_POSITION_XLS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126_255"/>
      <sheetName val="CASE_ASM"/>
      <sheetName val="설비능력및_종합공정능력산출시_사용"/>
      <sheetName val="생산일보(전체)"/>
      <sheetName val="RP변환코드"/>
      <sheetName val="Supplement2"/>
      <sheetName val="DBL LPG시험"/>
      <sheetName val="목표대비실적(R)"/>
      <sheetName val="SMXEXPS"/>
      <sheetName val="재1"/>
      <sheetName val="BAU"/>
      <sheetName val="검토사항"/>
      <sheetName val="96수출"/>
      <sheetName val="파일테이블"/>
      <sheetName val="Cost Reduction"/>
      <sheetName val="카니발슈마세피아"/>
      <sheetName val="1-Tables"/>
      <sheetName val="2_2공정능력"/>
      <sheetName val="작업제품군"/>
      <sheetName val="차종"/>
      <sheetName val="사용자코드1"/>
      <sheetName val="사용자코드2"/>
      <sheetName val="매출성격"/>
      <sheetName val="지역"/>
      <sheetName val="금형표지"/>
      <sheetName val="INVESTMENT (Hardware)"/>
      <sheetName val="감사ⓚA"/>
      <sheetName val="기초데이타"/>
      <sheetName val="BSL"/>
      <sheetName val="소재 이력"/>
      <sheetName val="FAB별"/>
      <sheetName val="C_Pnl원가1"/>
      <sheetName val="물품관리"/>
      <sheetName val="업체관리"/>
      <sheetName val="예상효과"/>
      <sheetName val="실행내역서 "/>
      <sheetName val="개발 LIST"/>
      <sheetName val="관로공표지"/>
      <sheetName val="조정명세서"/>
      <sheetName val="시산표"/>
      <sheetName val="99판매상세"/>
      <sheetName val="예산계획"/>
      <sheetName val="가격표"/>
      <sheetName val="Book1"/>
      <sheetName val="공정별설비검토"/>
      <sheetName val="Auswahl"/>
      <sheetName val="종합(PD,FD,RS)"/>
      <sheetName val="차종별"/>
      <sheetName val="TABLE(KR)"/>
      <sheetName val="수정시산표"/>
      <sheetName val="A1"/>
      <sheetName val="일괄인쇄"/>
      <sheetName val="END"/>
      <sheetName val="1~3월 지시사항"/>
      <sheetName val="소유주(원)"/>
      <sheetName val="인원01"/>
      <sheetName val="1.POSITIONING"/>
      <sheetName val="사양정리"/>
      <sheetName val="COND"/>
      <sheetName val="Value Analysis - Sheet 1"/>
      <sheetName val="BAFFLE HMC TABLE1"/>
      <sheetName val="84531"/>
      <sheetName val="5300"/>
      <sheetName val="기준계정"/>
      <sheetName val="Calculation"/>
      <sheetName val="lot"/>
      <sheetName val="f3"/>
      <sheetName val="조립"/>
      <sheetName val="신규"/>
      <sheetName val="국영"/>
      <sheetName val="주간업무(개발구매팀)"/>
      <sheetName val="항목"/>
      <sheetName val="부동산세금"/>
      <sheetName val="별제권_정리담보권"/>
      <sheetName val="ﾏｽﾀ"/>
      <sheetName val="광주 소요량"/>
      <sheetName val="2월"/>
      <sheetName val="CR_CODE"/>
      <sheetName val="THEME_CODE"/>
      <sheetName val="1_세부비교원가(내수)"/>
      <sheetName val="1_종합비교원가(내수_일반_유럽)"/>
      <sheetName val="임율_&amp;_LOT"/>
      <sheetName val="생산현황_(입력)"/>
      <sheetName val="포머_비가동_내역1"/>
      <sheetName val="1_ER유체응용"/>
      <sheetName val="4_시험장비"/>
      <sheetName val="생산계획_(2)"/>
      <sheetName val="DATA_BASE"/>
      <sheetName val="TEMP_TORQUE1"/>
      <sheetName val="매출종합_`09"/>
      <sheetName val="소상_&quot;1&quot;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Nego_PV"/>
      <sheetName val="1_변경범위1"/>
      <sheetName val="팀별_합계"/>
      <sheetName val="02_07_27_부품판매가"/>
      <sheetName val="P&amp;L,Bal_Sheet,Cash_Forecast"/>
      <sheetName val="MPS_Q3_FY04"/>
      <sheetName val="MPS_Q4_FY04"/>
      <sheetName val="2__Definitions"/>
      <sheetName val="03_PFD-1"/>
      <sheetName val="MACRO1_XLM"/>
      <sheetName val="내수1_8GL"/>
      <sheetName val="업체별_단가현황"/>
      <sheetName val="비교원가제출_고"/>
      <sheetName val="Basic_assumptions"/>
      <sheetName val="LAMBDA_자작"/>
      <sheetName val="운임_환차손-Y1"/>
      <sheetName val="개발_TOOL_집계표"/>
      <sheetName val="경상_개발비"/>
      <sheetName val="코드_조건표1"/>
      <sheetName val="일일_생산및판매계획_대_실적"/>
      <sheetName val="HMC_사전원가(원혁기준)13%"/>
      <sheetName val="2차_OIL량측정"/>
      <sheetName val="계산_DATA_입력"/>
      <sheetName val="FLOW_PROSES_(A)"/>
      <sheetName val="VPP(BD-010)_이상보고"/>
      <sheetName val="장비_전체리스트"/>
      <sheetName val="재품별_단가"/>
      <sheetName val="full (2)"/>
      <sheetName val="Production Plan1"/>
      <sheetName val="조정"/>
      <sheetName val="영업외"/>
      <sheetName val="▶사출"/>
      <sheetName val="▶R_C FRM"/>
      <sheetName val="ﾊﾟｲﾌﾟ"/>
      <sheetName val="冷延鋼板"/>
      <sheetName val="熱延鋼板"/>
      <sheetName val="他材料費"/>
      <sheetName val="印刷"/>
      <sheetName val="条件表"/>
      <sheetName val="GAGE R&amp;R(FRT UPR)"/>
      <sheetName val="사업소별9812"/>
      <sheetName val="10년11월이월현황"/>
      <sheetName val="1.세부비교_x001b__x0000__x0000_㣪洁ᚦ"/>
      <sheetName val="일보"/>
      <sheetName val="재고품목"/>
      <sheetName val="1.TAT_Info."/>
      <sheetName val="목차"/>
      <sheetName val="TEAM하반기 계획 (2)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공정능력 (2)"/>
      <sheetName val="cpk data"/>
      <sheetName val="Tubelists"/>
      <sheetName val="96연구소인건비"/>
      <sheetName val="KURSER"/>
      <sheetName val="거래처관리"/>
      <sheetName val="02-2W"/>
      <sheetName val="ROLL"/>
      <sheetName val="95MAKER"/>
      <sheetName val="표준"/>
      <sheetName val="설비사양서B-1"/>
      <sheetName val="계정"/>
      <sheetName val="중공업 실적"/>
      <sheetName val="16-1531"/>
      <sheetName val=" 하반기 경비 조정계획_150627(사계 r2 기준).x"/>
      <sheetName val="HD1070(T)"/>
      <sheetName val="치공구"/>
      <sheetName val="Cover"/>
      <sheetName val="포트외경(A)"/>
      <sheetName val="so-021"/>
      <sheetName val="2-1.제품군별계획대비실적(B.A)"/>
      <sheetName val="LINE_VENT"/>
      <sheetName val="OEM 이의제기 종합"/>
      <sheetName val="X-3 ENG"/>
      <sheetName val="노무비"/>
      <sheetName val="인원"/>
      <sheetName val="_x005f_x005f_x005f_x0000__x005f_x005f_x005f_x0000__x005"/>
      <sheetName val="분석mast"/>
      <sheetName val="Appendix_TT"/>
      <sheetName val="99원가원판"/>
      <sheetName val="CAPA분석 360K"/>
      <sheetName val="구매실(원본)"/>
      <sheetName val="ALPROFILE 발주실적"/>
      <sheetName val="악성"/>
      <sheetName val="TUBE시험성적서"/>
      <sheetName val="월생산"/>
      <sheetName val="전력시간대(합계)"/>
      <sheetName val="소요량분석(부자재)"/>
      <sheetName val="소요량분석(외주)"/>
      <sheetName val="발주"/>
      <sheetName val="S13_관리계획서(체크시트)"/>
      <sheetName val="내용"/>
      <sheetName val="전장"/>
      <sheetName val="목록"/>
      <sheetName val="Lookups"/>
      <sheetName val="요약"/>
      <sheetName val="신고서.전"/>
      <sheetName val="PPS2"/>
      <sheetName val="材料"/>
      <sheetName val="SPA원가"/>
      <sheetName val="인건비"/>
      <sheetName val="종합BDATA"/>
      <sheetName val="적하보험"/>
      <sheetName val="Sheet6 (3)"/>
      <sheetName val="옹벽1"/>
      <sheetName val="영업.일1"/>
      <sheetName val="품-(주)코①"/>
      <sheetName val="TOT"/>
      <sheetName val="적용수량"/>
      <sheetName val="자재소요"/>
      <sheetName val="판매계획"/>
      <sheetName val="Y3-LIST"/>
      <sheetName val="(2)월생산현황 "/>
      <sheetName val="4.20)통계적기법관리절차서"/>
      <sheetName val="Dual PMP수율"/>
      <sheetName val="상용_mp"/>
      <sheetName val="업체별매출실적"/>
      <sheetName val="연습"/>
      <sheetName val="기본정보"/>
      <sheetName val="초기화면"/>
      <sheetName val="제품정보"/>
      <sheetName val="근태일지"/>
      <sheetName val="GLOBAL PT NEW FORMAT OCT 2002"/>
      <sheetName val="시설이용권명세서"/>
      <sheetName val="특정현금과예금"/>
      <sheetName val="GK차체EO-CUT전"/>
      <sheetName val="건설성적"/>
      <sheetName val="이자율"/>
      <sheetName val="재질단가"/>
      <sheetName val="Sch7a (토요일)"/>
      <sheetName val="실적 및 계획"/>
      <sheetName val="LL"/>
      <sheetName val="대차대조표"/>
      <sheetName val="국내품"/>
      <sheetName val="수입부품비"/>
      <sheetName val="980710"/>
      <sheetName val="한성화물"/>
      <sheetName val="내역"/>
      <sheetName val="Sheet1 (2)"/>
      <sheetName val="판매종합"/>
      <sheetName val="Data1"/>
      <sheetName val="PRO (참조)"/>
      <sheetName val="2공구산출내역"/>
      <sheetName val="불출요청"/>
      <sheetName val="금액"/>
      <sheetName val="resume"/>
      <sheetName val="Dashboard"/>
      <sheetName val="재고자산명세(Y)"/>
      <sheetName val="ASSIGN"/>
      <sheetName val="제안그래프"/>
      <sheetName val="단가"/>
      <sheetName val="을"/>
      <sheetName val="초등학교내역서"/>
      <sheetName val="출금계획"/>
      <sheetName val="EurotoolsXRates"/>
      <sheetName val=" PPAP 작성중 .xlsx"/>
      <sheetName val="YOKE-H(10.3)"/>
      <sheetName val="#93"/>
      <sheetName val="PFMEA.XLS"/>
      <sheetName val="File_Table"/>
      <sheetName val="Cpk3"/>
      <sheetName val="Config"/>
      <sheetName val="체재비"/>
      <sheetName val="국산화"/>
      <sheetName val="담당"/>
      <sheetName val="월간단가"/>
      <sheetName val="业体目录"/>
      <sheetName val="LINE PPM-분석"/>
      <sheetName val="비용구조"/>
      <sheetName val="Dossier_Cdc"/>
      <sheetName val="DFMEA-DRBFM"/>
      <sheetName val="_x0000__x0000__x0000__x0000_ile"/>
      <sheetName val="STD_DEVCHARTadd"/>
      <sheetName val="Tool Type"/>
      <sheetName val="매출DATA"/>
      <sheetName val="BS"/>
      <sheetName val="TB"/>
      <sheetName val="Team 종합"/>
      <sheetName val="LEGAN"/>
      <sheetName val="品質保証責任者届"/>
      <sheetName val="sheet17"/>
      <sheetName val="PV"/>
      <sheetName val="귀책별TOP"/>
      <sheetName val="RHW"/>
      <sheetName val="부서별1월"/>
      <sheetName val="Moulding data"/>
      <sheetName val="Volumes"/>
      <sheetName val="SCP 4"/>
      <sheetName val="SCP 5 D2UXT"/>
      <sheetName val="SCP 6 D2UX"/>
      <sheetName val="Invest (MAC)"/>
      <sheetName val="SCP Apr2015"/>
      <sheetName val="5업체"/>
      <sheetName val="갑지"/>
      <sheetName val="수출가격"/>
      <sheetName val="사외외주매출"/>
      <sheetName val="20일시험전표지"/>
      <sheetName val="FRONT"/>
      <sheetName val="REAR "/>
      <sheetName val="FR저항Cp"/>
      <sheetName val="abs dac검사대비분석자료2"/>
      <sheetName val="년도별"/>
      <sheetName val="DWPM분석시트"/>
      <sheetName val="J100"/>
      <sheetName val="RFQ Template"/>
      <sheetName val="D300726_1"/>
      <sheetName val="１１月"/>
      <sheetName val="LCAUTO.4"/>
      <sheetName val="LCAT수.조"/>
      <sheetName val="9609추"/>
      <sheetName val="3. Acronyms and abbreviations"/>
      <sheetName val="매출(총액)"/>
      <sheetName val="판관비"/>
      <sheetName val="3-2002년 소모공구비"/>
      <sheetName val="数据库不可删除"/>
      <sheetName val="재품명"/>
      <sheetName val="PC%계산DWMC"/>
      <sheetName val="내년"/>
      <sheetName val="신공항A-9(원가수정)"/>
      <sheetName val="감독1130"/>
      <sheetName val="RECIMAKE"/>
      <sheetName val="여신보고용"/>
      <sheetName val="서진단가"/>
      <sheetName val="매출이익(실적)"/>
      <sheetName val="불량명"/>
      <sheetName val="82351"/>
      <sheetName val="6_수입검사_"/>
      <sheetName val="12_Inv_"/>
      <sheetName val="97년_재료예산(안)"/>
      <sheetName val="1_터빈"/>
      <sheetName val="cost_base_e_dati"/>
      <sheetName val="_"/>
      <sheetName val="집중검사_리스트"/>
      <sheetName val="10_예산_및_원가_계획(02년)"/>
      <sheetName val="실행내역서_"/>
      <sheetName val="개발_LIST"/>
      <sheetName val="Data_Sheet"/>
      <sheetName val="BAFFLE_HMC_TABLE1"/>
      <sheetName val="Value_Analysis_-_Sheet_1"/>
      <sheetName val="PC%계산(WM_COMM단차)"/>
      <sheetName val="PRESS_DATA"/>
      <sheetName val="Cost_Reduction"/>
      <sheetName val="차체_품안표"/>
      <sheetName val="1_1_2008_OTIF"/>
      <sheetName val="1~3월_지시사항"/>
      <sheetName val="1_POSITIONING"/>
      <sheetName val="production_dept"/>
      <sheetName val="XMA 12월 8,000대 원,부자재_完"/>
      <sheetName val="YFA 10월분 원자재(10.12)_미납완료_完"/>
      <sheetName val="YFA 10월분 부자재(10.7,9)_FEDEX_完"/>
      <sheetName val="51700-C2100(이의제기)"/>
      <sheetName val="출력-생산일보"/>
      <sheetName val="07DATA"/>
      <sheetName val="????ilencer"/>
      <sheetName val="작동logic"/>
      <sheetName val="주소(한문)"/>
      <sheetName val="은행"/>
      <sheetName val="현장관리비"/>
      <sheetName val="부서별3월"/>
      <sheetName val="HeaderInfo"/>
      <sheetName val="업무분장 "/>
      <sheetName val="종합장"/>
      <sheetName val="품의서양식 (3)"/>
      <sheetName val="SOURCE"/>
      <sheetName val="공수"/>
      <sheetName val="이자수입"/>
      <sheetName val="첨부5"/>
      <sheetName val="재발방지대책서"/>
      <sheetName val="3월말 장기악성(국내)"/>
      <sheetName val="2월말 장기악성(국내)"/>
      <sheetName val="3월"/>
      <sheetName val="정비사업장별전망"/>
      <sheetName val="부품목표"/>
      <sheetName val="부평"/>
      <sheetName val="분당"/>
      <sheetName val="평촌"/>
      <sheetName val="95WBS"/>
      <sheetName val="승인율"/>
      <sheetName val="RFQ 1804"/>
      <sheetName val="운영"/>
      <sheetName val="기준정보"/>
      <sheetName val="DS_MBR RR Side  - PcA"/>
      <sheetName val="ALVXXL01"/>
      <sheetName val="철심금중량"/>
      <sheetName val="조선용암면"/>
      <sheetName val="集計ﾘｽﾄ"/>
      <sheetName val="원가분석"/>
      <sheetName val="법인(환율지정)"/>
      <sheetName val="1. 보고"/>
      <sheetName val="분석"/>
      <sheetName val="TABLE DB"/>
      <sheetName val="쌍용 data base"/>
      <sheetName val="본부재고"/>
      <sheetName val="VERTICAL PIPE"/>
      <sheetName val="2쪽"/>
      <sheetName val="Sum"/>
      <sheetName val="ALL"/>
      <sheetName val="LIDE"/>
      <sheetName val="광주재료"/>
      <sheetName val="감가상각"/>
      <sheetName val="소요단량"/>
      <sheetName val="2과 공수집계"/>
      <sheetName val="2000"/>
      <sheetName val="LS"/>
      <sheetName val="5-2"/>
      <sheetName val="_____"/>
      <sheetName val="무부하_회전수"/>
      <sheetName val="진행중_설변"/>
      <sheetName val="HOLE_9905(1)"/>
      <sheetName val="Production_Plan1"/>
      <sheetName val="생산계획"/>
      <sheetName val="108.수선비"/>
      <sheetName val="8기전사사업계획"/>
      <sheetName val="36기상반기자금실적"/>
      <sheetName val="科目余额表"/>
      <sheetName val="X3"/>
      <sheetName val="SPEC1"/>
      <sheetName val="4.Vendor price"/>
      <sheetName val="14년 증판안 판촉"/>
      <sheetName val="14,15,16"/>
      <sheetName val="3사분기"/>
      <sheetName val="RSDB"/>
      <sheetName val="WSDB"/>
      <sheetName val="0.CHMSL LED ASSY"/>
      <sheetName val="SRC(현재)"/>
      <sheetName val="TEMP2"/>
      <sheetName val="원가계산서양식"/>
      <sheetName val="TA10"/>
      <sheetName val="미익SUB"/>
      <sheetName val="Europe PU-1"/>
      <sheetName val="MM利益・原価企画方針書ｶｸ１"/>
      <sheetName val="WE'T"/>
      <sheetName val="BREAKDOWN(철거설치)"/>
      <sheetName val="6월"/>
      <sheetName val="00년거래처별실적"/>
      <sheetName val="구매내역"/>
      <sheetName val="계실5-1"/>
      <sheetName val="Full PBD"/>
      <sheetName val="데이터"/>
      <sheetName val="FELT"/>
      <sheetName val=" Common Info Page"/>
      <sheetName val="6월재고2"/>
      <sheetName val="효과금액비교"/>
      <sheetName val="DV Flow Chart DV-PV1 (PFC)"/>
      <sheetName val="소결재공"/>
      <sheetName val="MATEMST (2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8월3주"/>
      <sheetName val="sapactivexlhiddensheet"/>
      <sheetName val="사업소득자세수추계"/>
      <sheetName val="WS"/>
      <sheetName val="DATA(1-8)"/>
      <sheetName val="1부생산계획"/>
      <sheetName val="업체별"/>
      <sheetName val="CONSUMO DE RESINA "/>
      <sheetName val="공정별공법-W.HSE-LH"/>
      <sheetName val="구분목록"/>
      <sheetName val="사원관리"/>
      <sheetName val="96원가"/>
      <sheetName val="생산실적입력"/>
      <sheetName val="월별수입"/>
      <sheetName val="5사남"/>
      <sheetName val="비교원RD-S"/>
      <sheetName val="RFQ Form"/>
      <sheetName val="Aug01 Status Rpt"/>
      <sheetName val="산출기준(파견전산실)"/>
      <sheetName val="법인세부담액"/>
      <sheetName val="등록자료"/>
      <sheetName val="입력정보"/>
      <sheetName val="선재"/>
      <sheetName val="표준(재질단가,조형단가)"/>
      <sheetName val="표준(중자)"/>
      <sheetName val="기본데이타"/>
      <sheetName val="2WD(KJ5G0662)"/>
      <sheetName val="PIVOT"/>
      <sheetName val="MAT_N048"/>
      <sheetName val="basic_info"/>
      <sheetName val="10매출"/>
      <sheetName val="NEW TOOL MASTER"/>
      <sheetName val="stockmonthlylist(stock_20190828"/>
      <sheetName val="권취Simu"/>
      <sheetName val="공문송부업체"/>
      <sheetName val="진천MOBIS"/>
      <sheetName val="외주수입검사 종합(6월)"/>
      <sheetName val="Sheet"/>
      <sheetName val="CFLOW"/>
      <sheetName val="실적(Q11)"/>
      <sheetName val="예산(Q11)"/>
      <sheetName val="_x005f_x005f_x005f_x005f_x005f_x005f_x005f_x0000__x005f"/>
      <sheetName val="구list"/>
      <sheetName val="금형 이력 카드"/>
      <sheetName val="Q13"/>
      <sheetName val="Q11"/>
      <sheetName val="Q23"/>
      <sheetName val="Q12"/>
      <sheetName val="10월"/>
      <sheetName val="VT-5T"/>
      <sheetName val="곡성"/>
      <sheetName val="1.TP조립"/>
      <sheetName val="99 조정금액"/>
      <sheetName val="주간실적상세"/>
      <sheetName val="생산성상세"/>
      <sheetName val="99년1월"/>
      <sheetName val="변환테이블"/>
      <sheetName val="업체정보"/>
      <sheetName val="WJ素材費"/>
      <sheetName val="수지타입(ASSY)"/>
      <sheetName val="ISSUE LIST"/>
      <sheetName val="PNL_ASS'Y_CRASH_PAD_UPR_RH"/>
      <sheetName val="Input Page"/>
      <sheetName val="Input Sheet"/>
      <sheetName val="현금및현금등가물"/>
      <sheetName val="Base Info"/>
      <sheetName val="Asset98-CAK"/>
      <sheetName val="3M000"/>
      <sheetName val="3월판매예상_2주차"/>
      <sheetName val="이체비용포함2"/>
      <sheetName val="이체비용포함"/>
      <sheetName val="Assumption"/>
      <sheetName val="CPK_CHART"/>
      <sheetName val="철판2"/>
      <sheetName val="G2설비도급"/>
      <sheetName val="Filter"/>
      <sheetName val="Hw_0415_TOTAL"/>
      <sheetName val="가동일보"/>
      <sheetName val="1.종합평가표"/>
      <sheetName val="SALE분석"/>
      <sheetName val="Actual In &amp; Out"/>
      <sheetName val="내부품질감사절차서"/>
      <sheetName val="2008 г"/>
      <sheetName val="조서목차"/>
      <sheetName val="Sheet6_(3)"/>
      <sheetName val="월매출"/>
      <sheetName val="가격품의"/>
      <sheetName val="RELAY FAX양식"/>
      <sheetName val="INVESTMENT_(Hardware)"/>
      <sheetName val="거래처"/>
      <sheetName val="COKBOM"/>
      <sheetName val="상세 견적서 (HMC)"/>
      <sheetName val="M96현황-동아"/>
      <sheetName val="PILOT품"/>
      <sheetName val="금형품의서"/>
      <sheetName val="도표"/>
      <sheetName val="2.중요한회계정책"/>
      <sheetName val="9.관계기업투자"/>
      <sheetName val="42.리스"/>
      <sheetName val="25.법인세"/>
      <sheetName val="STEEL95"/>
      <sheetName val="분기별데이타"/>
      <sheetName val="월별데이타"/>
      <sheetName val="ﾀｰﾋﾞﾝﾃﾞｰﾀ"/>
      <sheetName val="Proj List 00E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Bosch ADVP&amp;R"/>
      <sheetName val="양식(주)"/>
      <sheetName val="PQ분석2"/>
      <sheetName val="PQ분석3"/>
      <sheetName val="PQ분석1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HSA"/>
      <sheetName val="투자승인절차"/>
      <sheetName val="99예산"/>
      <sheetName val="광주"/>
      <sheetName val="TEL"/>
      <sheetName val="Bas Moteur"/>
      <sheetName val="Hab2"/>
      <sheetName val="Hab1"/>
      <sheetName val="전산DATA"/>
      <sheetName val="PARAMETRES"/>
      <sheetName val="069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생산(전장입력)-1"/>
      <sheetName val="GLOBAL PT NEW FORMAT JULY  2002"/>
      <sheetName val="PAKAGE4362"/>
      <sheetName val="인원부하"/>
      <sheetName val="C100"/>
      <sheetName val="Grafikdaten"/>
      <sheetName val="02년 SUC"/>
      <sheetName val="기준코드"/>
      <sheetName val="MexiqueVentes97"/>
      <sheetName val="SP"/>
      <sheetName val="첨부2"/>
      <sheetName val="DV_Flow_Chart_DV-PV1_(PFC)"/>
      <sheetName val="Cost_Reduction1"/>
      <sheetName val="2008_г"/>
      <sheetName val="Sheet6_(3)1"/>
      <sheetName val="매출종합_`091"/>
      <sheetName val="신고서_전"/>
      <sheetName val="영업_일1"/>
      <sheetName val="임율"/>
      <sheetName val="13년임율"/>
      <sheetName val="사정표"/>
      <sheetName val="FMEAPRO3"/>
      <sheetName val="DOM-競合車SPEC"/>
      <sheetName val="销售计划"/>
      <sheetName val="Headcount"/>
      <sheetName val="Sales_LT"/>
      <sheetName val="출입자명단"/>
      <sheetName val="ｴｱﾃﾞｨｽｸ"/>
      <sheetName val="생산2부(COL'M,U_J)"/>
      <sheetName val="BOM"/>
      <sheetName val="산업판매입력"/>
      <sheetName val="평가표"/>
      <sheetName val="3.PT개발계획"/>
      <sheetName val="단가2"/>
      <sheetName val="Burnish"/>
      <sheetName val="기타"/>
      <sheetName val="3620SE"/>
      <sheetName val="재질표"/>
      <sheetName val="pl2k12"/>
      <sheetName val="판매수량"/>
      <sheetName val="1-1-1-2"/>
      <sheetName val="工程信息"/>
      <sheetName val="외주품 감점 유형 기준"/>
      <sheetName val="SFM-TTL"/>
      <sheetName val="근태현황"/>
      <sheetName val="수h"/>
      <sheetName val="원단위 전후비교"/>
      <sheetName val="EF-SONATA"/>
      <sheetName val="1st"/>
      <sheetName val="3. 관리점지수실적-1.1생산성"/>
      <sheetName val="현장"/>
      <sheetName val="p2_1"/>
      <sheetName val="Sales"/>
      <sheetName val="N719(NC)"/>
      <sheetName val="해외생산"/>
      <sheetName val="FO원단위"/>
      <sheetName val="종목코드"/>
      <sheetName val="Sec 1 - RFQ"/>
      <sheetName val="Sheet10"/>
      <sheetName val="K55"/>
      <sheetName val="71336(R)"/>
      <sheetName val="일위대가(계측기설치)"/>
      <sheetName val="●현황"/>
      <sheetName val="●목차"/>
      <sheetName val="원가계산서"/>
      <sheetName val="Rate data"/>
      <sheetName val="Sheet16"/>
      <sheetName val="TRANSLAT"/>
      <sheetName val="21444-41900"/>
      <sheetName val="Technology"/>
      <sheetName val="원가절감"/>
      <sheetName val="별도관리"/>
      <sheetName val="4월채무증감"/>
      <sheetName val="제품원재"/>
      <sheetName val="부재예실1월"/>
      <sheetName val="임시12월"/>
      <sheetName val="자가2급"/>
      <sheetName val="종합(LH)"/>
      <sheetName val="cv"/>
      <sheetName val="대외공문 "/>
      <sheetName val="기안지"/>
      <sheetName val="MethodC"/>
      <sheetName val="업무담당"/>
      <sheetName val="ERP도입후 시정현황"/>
      <sheetName val="应收帐款"/>
      <sheetName val="예금미수이자(6월)"/>
      <sheetName val="대지급(한미)"/>
      <sheetName val="전장품(관리용)"/>
      <sheetName val="2선재"/>
      <sheetName val="094_APP別"/>
      <sheetName val="PPK(공정능력조사표)"/>
      <sheetName val="공정능력평가-2"/>
      <sheetName val="공정능력평가-3"/>
      <sheetName val="외관검사"/>
      <sheetName val="Purchasing Data"/>
      <sheetName val="변제"/>
      <sheetName val="최신"/>
      <sheetName val="JUNY"/>
      <sheetName val="과제"/>
      <sheetName val="금관"/>
      <sheetName val="백화"/>
      <sheetName val="6 N.m CCW 전류"/>
      <sheetName val="생산_P"/>
      <sheetName val="Graph"/>
      <sheetName val="pri"/>
      <sheetName val="외주업체"/>
      <sheetName val="c.db1"/>
      <sheetName val="초기공정능력"/>
      <sheetName val="예정임율"/>
      <sheetName val=" SR3차원단위 (3)"/>
      <sheetName val="투입공수계획"/>
      <sheetName val="생산일보"/>
      <sheetName val="월간생산계획"/>
      <sheetName val="품목테이블"/>
      <sheetName val="二_POSITION_XLS2"/>
      <sheetName val="1ဲ_ALT2"/>
      <sheetName val="1ဳ_O_S2"/>
      <sheetName val="15_၄AMPER2"/>
      <sheetName val="OPT손익_내수2"/>
      <sheetName val="OPT손익_수출2"/>
      <sheetName val="BACK_DATA_08_7_1~2"/>
      <sheetName val="E_W2"/>
      <sheetName val="P_W2"/>
      <sheetName val="S_W2"/>
      <sheetName val="BACK_DATA2"/>
      <sheetName val="CASE_ASM1"/>
      <sheetName val="설비능력및_종합공정능력산출시_사용1"/>
      <sheetName val="126_2551"/>
      <sheetName val="소상_&quot;1&quot;1"/>
      <sheetName val="LAMBDA_자작1"/>
      <sheetName val="팀별_합계1"/>
      <sheetName val="Nego_PV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X-3_ENG"/>
      <sheetName val="ALPROFILE_발주실적"/>
      <sheetName val="Sheet1_(2)"/>
      <sheetName val="첨부⑥"/>
      <sheetName val="수주단가"/>
      <sheetName val="고객불만 건"/>
      <sheetName val="일보_생산"/>
      <sheetName val="_1"/>
      <sheetName val="2-1_제품군별계획대비실적(B_A)"/>
      <sheetName val="공정능력(마운틴_홀_거리)"/>
      <sheetName val="Summary_Sheet"/>
      <sheetName val="Datasheet_for_KPI_Model_1"/>
      <sheetName val="OEM_이의제기_종합"/>
      <sheetName val="S50_"/>
      <sheetName val="BI-FUEL AIR VENT PIPE"/>
      <sheetName val="접촉온도"/>
      <sheetName val="Upgrades_pricing"/>
      <sheetName val="7_3_DY팀"/>
      <sheetName val="드롭다운"/>
      <sheetName val="업체데이터"/>
      <sheetName val="일일판매현황"/>
      <sheetName val="2차 OI_x0010__x0000__xda10_࠱"/>
      <sheetName val="2차 OI_x0000__x0000_젘_x0000_"/>
      <sheetName val="2차 OI䑲⿀_x0000__x0000_"/>
      <sheetName val="93상각비"/>
      <sheetName val="거래선별 매출현황 내역"/>
      <sheetName val="97계획(96.11"/>
      <sheetName val="재공품기초자료"/>
      <sheetName val="DATAinput"/>
      <sheetName val="총list"/>
      <sheetName val="03년 체제결과"/>
      <sheetName val="Evaluation_objects2"/>
      <sheetName val="FRONT_HUB견적가2"/>
      <sheetName val="VS1_Paretto분석2"/>
      <sheetName val="포머_비가동_내역2"/>
      <sheetName val="1_2내수3"/>
      <sheetName val="CASE_ASM2"/>
      <sheetName val="생산현황_(입력)1"/>
      <sheetName val="MPS_Q3_FY041"/>
      <sheetName val="MPS_Q4_FY041"/>
      <sheetName val="1_ER유체응용1"/>
      <sheetName val="4_시험장비1"/>
      <sheetName val="FLOW_PROSES_(A)1"/>
      <sheetName val="DATA_BASE1"/>
      <sheetName val="업체별_단가현황1"/>
      <sheetName val="MACRO1_XLM1"/>
      <sheetName val="VPP(BD-010)_이상보고1"/>
      <sheetName val="THEME_CODE1"/>
      <sheetName val="CR_CODE1"/>
      <sheetName val="임율_&amp;_LOT1"/>
      <sheetName val="생산계획_(2)1"/>
      <sheetName val="1ဲ_ALT3"/>
      <sheetName val="1ဳ_O_S3"/>
      <sheetName val="15_၄AMPER3"/>
      <sheetName val="二_POSITION_XLS3"/>
      <sheetName val="OPT손익_내수3"/>
      <sheetName val="OPT손익_수출3"/>
      <sheetName val="BACK_DATA_08_7_1~3"/>
      <sheetName val="E_W3"/>
      <sheetName val="P_W3"/>
      <sheetName val="S_W3"/>
      <sheetName val="TEMP_TORQUE2"/>
      <sheetName val="BACK_DATA3"/>
      <sheetName val="126_2552"/>
      <sheetName val="매출종합_`092"/>
      <sheetName val="소상_&quot;1&quot;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1_변경범위2"/>
      <sheetName val="팀별_합계2"/>
      <sheetName val="설비능력및_종합공정능력산출시_사용2"/>
      <sheetName val="P&amp;L,Bal_Sheet,Cash_Forecast1"/>
      <sheetName val="02_07_27_부품판매가1"/>
      <sheetName val="1_세부비교원가(내수)1"/>
      <sheetName val="1_종합비교원가(내수_일반_유럽)1"/>
      <sheetName val="03_PFD-11"/>
      <sheetName val="2__Definitions1"/>
      <sheetName val="내수1_8GL1"/>
      <sheetName val="LAMBDA_자작2"/>
      <sheetName val="운임_환차손-Y2"/>
      <sheetName val="개발_TOOL_집계표1"/>
      <sheetName val="경상_개발비1"/>
      <sheetName val="비교원가제출_고1"/>
      <sheetName val="Basic_assumptions1"/>
      <sheetName val="코드_조건표2"/>
      <sheetName val="일일_생산및판매계획_대_실적1"/>
      <sheetName val="장비_전체리스트1"/>
      <sheetName val="HMC_사전원가(원혁기준)13%1"/>
      <sheetName val="계산_DATA_입력1"/>
      <sheetName val="2차_OIL량측정1"/>
      <sheetName val="재품별_단가1"/>
      <sheetName val="집중검사_리스트1"/>
      <sheetName val="10_예산_및_원가_계획(02년)1"/>
      <sheetName val="6_수입검사_1"/>
      <sheetName val="12_Inv_1"/>
      <sheetName val="97년_재료예산(안)1"/>
      <sheetName val="1_터빈1"/>
      <sheetName val="cost_base_e_dati1"/>
      <sheetName val="차체_품안표1"/>
      <sheetName val="Data_Sheet1"/>
      <sheetName val="_2"/>
      <sheetName val="_3"/>
      <sheetName val="실행내역서_1"/>
      <sheetName val="개발_LIST1"/>
      <sheetName val="PRESS_DATA1"/>
      <sheetName val="Cost_Reduction2"/>
      <sheetName val="PC%계산(WM_COMM단차)1"/>
      <sheetName val="1_1_2008_OTIF1"/>
      <sheetName val="1~3월_지시사항1"/>
      <sheetName val="1_POSITIONING1"/>
      <sheetName val="production_dept1"/>
      <sheetName val="Value_Analysis_-_Sheet_11"/>
      <sheetName val="BAFFLE_HMC_TABLE11"/>
      <sheetName val="2-1_제품군별계획대비실적(B_A)1"/>
      <sheetName val="OEM_이의제기_종합1"/>
      <sheetName val="공정능력(마운틴_홀_거리)1"/>
      <sheetName val="Production_Plan11"/>
      <sheetName val="PNL_ASS'Y_CRASH_PAD_UPR_RH1"/>
      <sheetName val="Summary_Sheet1"/>
      <sheetName val="Datasheet_for_KPI_Model_11"/>
      <sheetName val="Upgrades_pricing1"/>
      <sheetName val="7_3_DY팀1"/>
      <sheetName val="진행중_설변1"/>
      <sheetName val="HOLE_9905(1)1"/>
      <sheetName val="무부하_회전수1"/>
      <sheetName val="5-Why_Root_Cause_Analysis_"/>
      <sheetName val="광주_소요량"/>
      <sheetName val="Master_Cable"/>
      <sheetName val="DBL_LPG시험"/>
      <sheetName val="INVESTMENT_(Hardware)1"/>
      <sheetName val="full_(2)"/>
      <sheetName val="▶R_C_FRM"/>
      <sheetName val="TEAM하반기_계획_(2)"/>
      <sheetName val="초_성"/>
      <sheetName val="CHECK_성"/>
      <sheetName val="공정능력_(2)"/>
      <sheetName val="cpk_data"/>
      <sheetName val="S50_1"/>
      <sheetName val="GAGE_R&amp;R(FRT_UPR)"/>
      <sheetName val="중공업_실적"/>
      <sheetName val="_하반기_경비_조정계획_150627(사계_r2_기준)_x"/>
      <sheetName val="X-3_ENG1"/>
      <sheetName val="Moulding_data"/>
      <sheetName val="3월말_장기악성(국내)"/>
      <sheetName val="2월말_장기악성(국내)"/>
      <sheetName val="SCP_4"/>
      <sheetName val="SCP_5_D2UXT"/>
      <sheetName val="SCP_6_D2UX"/>
      <sheetName val="Invest_(MAC)"/>
      <sheetName val="SCP_Apr2015"/>
      <sheetName val="DV_Flow_Chart_DV-PV1_(PFC)1"/>
      <sheetName val="MATEMST_(2)"/>
      <sheetName val="Actual_In_&amp;_Out"/>
      <sheetName val="Team_종합"/>
      <sheetName val="불량_리스트"/>
      <sheetName val="불량_코드"/>
      <sheetName val="1_종합평가표"/>
      <sheetName val="ISSUE_LIST"/>
      <sheetName val="업무분장_"/>
      <sheetName val="BI-FUEL_AIR_VENT_PIPE"/>
      <sheetName val="0_CHMSL_LED_ASSY"/>
      <sheetName val="108_수선비"/>
      <sheetName val="YOKE-H(10_3)"/>
      <sheetName val="TABLE_DB"/>
      <sheetName val="쌍용_data_base"/>
      <sheetName val="VERTICAL_PIPE"/>
      <sheetName val="2과_공수집계"/>
      <sheetName val="REAR_"/>
      <sheetName val="abs_dac검사대비분석자료2"/>
      <sheetName val="RFQ_Form"/>
      <sheetName val="Sheet6_(3)2"/>
      <sheetName val="2008_г1"/>
      <sheetName val="신고서_전1"/>
      <sheetName val="영업_일11"/>
      <sheetName val="RELAY_FAX양식"/>
      <sheetName val="PFMEA_XLS"/>
      <sheetName val="상세_견적서_(HMC)"/>
      <sheetName val="_PPAP_작성중__xlsx"/>
      <sheetName val="2_중요한회계정책"/>
      <sheetName val="9_관계기업투자"/>
      <sheetName val="42_리스"/>
      <sheetName val="25_법인세"/>
      <sheetName val="Proj_List_00E"/>
      <sheetName val="Bosch_ADVP&amp;R"/>
      <sheetName val="Bas_Moteur"/>
      <sheetName val="국내_"/>
      <sheetName val="4,5공장_"/>
      <sheetName val="시트_"/>
      <sheetName val="GLOBAL_PT_NEW_FORMAT_OCT_2002"/>
      <sheetName val="GLOBAL_PT_NEW_FORMAT_JULY__2002"/>
      <sheetName val="ALPROFILE_발주실적1"/>
      <sheetName val="Sheet1_(2)1"/>
      <sheetName val="02년_SUC"/>
      <sheetName val="3_PT개발계획"/>
      <sheetName val="외주품_감점_유형_기준"/>
      <sheetName val="CAPA분석_360K"/>
      <sheetName val="원단위_전후비교"/>
      <sheetName val="Sch7a_(토요일)"/>
      <sheetName val="3__관리점지수실적-1_1생산성"/>
      <sheetName val="Sec_1_-_RFQ"/>
      <sheetName val="Rate_data"/>
      <sheetName val="실적_및_계획"/>
      <sheetName val="PRO_(참조)"/>
      <sheetName val="대외공문_"/>
      <sheetName val="ERP도입후_시정현황"/>
      <sheetName val="공정별공법-W_HSE-LH"/>
      <sheetName val="Purchasing_Data"/>
      <sheetName val="6_N_m_CCW_전류"/>
      <sheetName val="c_db11"/>
      <sheetName val="_SR3차원단위_(3)"/>
      <sheetName val="고객불만_건"/>
      <sheetName val="1_TP조립"/>
      <sheetName val="2차_OI࠱"/>
      <sheetName val="2차_OI젘"/>
      <sheetName val="2차_OI䑲⿀"/>
      <sheetName val="1_세부비교㣪洁ᚦ"/>
      <sheetName val="XMA_12월_8,000대_원,부자재_完"/>
      <sheetName val="YFA_10월분_원자재(10_12)_미납완료_完"/>
      <sheetName val="YFA_10월분_부자재(10_7,9)_FEDEX_完"/>
      <sheetName val="1_TAT_Info_"/>
      <sheetName val="외주수입검사_종합(6월)"/>
      <sheetName val="RFQ_Template"/>
      <sheetName val="품의서양식_(3)"/>
      <sheetName val="4_Vendor_price"/>
      <sheetName val="14년_증판안_판촉"/>
      <sheetName val="1__보고"/>
      <sheetName val="Evaluation_objects3"/>
      <sheetName val="FRONT_HUB견적가3"/>
      <sheetName val="VS1_Paretto분석3"/>
      <sheetName val="포머_비가동_내역3"/>
      <sheetName val="일일_업무_현황_(3)3"/>
      <sheetName val="일일_업무_현황_(5)3"/>
      <sheetName val="1-1_General_Code2"/>
      <sheetName val="B053_(990701)공정실적PP%계산3"/>
      <sheetName val="1_2내수4"/>
      <sheetName val="0_절삭조건3"/>
      <sheetName val="CASE_ASM3"/>
      <sheetName val="생산현황_(입력)2"/>
      <sheetName val="14_1부3"/>
      <sheetName val="MPL_技連3"/>
      <sheetName val="342E_BLOCK3"/>
      <sheetName val="MPS_Q3_FY042"/>
      <sheetName val="MPS_Q4_FY042"/>
      <sheetName val="1_ER유체응용2"/>
      <sheetName val="4_시험장비2"/>
      <sheetName val="협력사_일반현황3"/>
      <sheetName val="FLOW_PROSES_(A)2"/>
      <sheetName val="DATA_BASE2"/>
      <sheetName val="업체별_단가현황2"/>
      <sheetName val="MACRO1_XLM2"/>
      <sheetName val="VPP(BD-010)_이상보고2"/>
      <sheetName val="THEME_CODE2"/>
      <sheetName val="CR_CODE2"/>
      <sheetName val="임율_&amp;_LOT2"/>
      <sheetName val="생산계획_(2)2"/>
      <sheetName val="1ဲ_ALT4"/>
      <sheetName val="1ဳ_O_S4"/>
      <sheetName val="15_၄AMPER4"/>
      <sheetName val="二_POSITION_XLS4"/>
      <sheetName val="OPT손익_내수4"/>
      <sheetName val="OPT손익_수출4"/>
      <sheetName val="BACK_DATA_08_7_1~4"/>
      <sheetName val="E_W4"/>
      <sheetName val="P_W4"/>
      <sheetName val="S_W4"/>
      <sheetName val="TEMP_TORQUE3"/>
      <sheetName val="BACK_DATA4"/>
      <sheetName val="126_2553"/>
      <sheetName val="매출종합_`093"/>
      <sheetName val="소상_&quot;1&quot;3"/>
      <sheetName val="검사기준서_을_치수3"/>
      <sheetName val="검사기준서_갑3"/>
      <sheetName val="검사기준서_을3"/>
      <sheetName val="검사협정_갑3"/>
      <sheetName val="검사성적서_갑3"/>
      <sheetName val="검사성적서_을3"/>
      <sheetName val="검사성적서_병3"/>
      <sheetName val="Nego_PV3"/>
      <sheetName val="1_변경범위3"/>
      <sheetName val="팀별_합계3"/>
      <sheetName val="설비능력및_종합공정능력산출시_사용3"/>
      <sheetName val="P&amp;L,Bal_Sheet,Cash_Forecast2"/>
      <sheetName val="02_07_27_부품판매가2"/>
      <sheetName val="1_세부비교원가(내수)2"/>
      <sheetName val="1_종합비교원가(내수_일반_유럽)2"/>
      <sheetName val="03_PFD-12"/>
      <sheetName val="2__Definitions2"/>
      <sheetName val="내수1_8GL2"/>
      <sheetName val="LAMBDA_자작3"/>
      <sheetName val="운임_환차손-Y3"/>
      <sheetName val="개발_TOOL_집계표2"/>
      <sheetName val="경상_개발비2"/>
      <sheetName val="비교원가제출_고2"/>
      <sheetName val="Basic_assumptions2"/>
      <sheetName val="코드_조건표3"/>
      <sheetName val="일일_생산및판매계획_대_실적2"/>
      <sheetName val="장비_전체리스트2"/>
      <sheetName val="HMC_사전원가(원혁기준)13%2"/>
      <sheetName val="계산_DATA_입력2"/>
      <sheetName val="2차_OIL량측정2"/>
      <sheetName val="재품별_단가2"/>
      <sheetName val="집중검사_리스트2"/>
      <sheetName val="10_예산_및_원가_계획(02년)2"/>
      <sheetName val="6_수입검사_2"/>
      <sheetName val="12_Inv_2"/>
      <sheetName val="97년_재료예산(안)2"/>
      <sheetName val="1_터빈2"/>
      <sheetName val="cost_base_e_dati2"/>
      <sheetName val="차체_품안표2"/>
      <sheetName val="Data_Sheet2"/>
      <sheetName val="_4"/>
      <sheetName val="_5"/>
      <sheetName val="실행내역서_2"/>
      <sheetName val="개발_LIST2"/>
      <sheetName val="PRESS_DATA2"/>
      <sheetName val="Cost_Reduction3"/>
      <sheetName val="PC%계산(WM_COMM단차)2"/>
      <sheetName val="1_1_2008_OTIF2"/>
      <sheetName val="1~3월_지시사항2"/>
      <sheetName val="1_POSITIONING2"/>
      <sheetName val="production_dept2"/>
      <sheetName val="Value_Analysis_-_Sheet_12"/>
      <sheetName val="BAFFLE_HMC_TABLE12"/>
      <sheetName val="2-1_제품군별계획대비실적(B_A)2"/>
      <sheetName val="OEM_이의제기_종합2"/>
      <sheetName val="공정능력(마운틴_홀_거리)2"/>
      <sheetName val="Production_Plan12"/>
      <sheetName val="PNL_ASS'Y_CRASH_PAD_UPR_RH2"/>
      <sheetName val="1_TM10"/>
      <sheetName val="2_align10"/>
      <sheetName val="3_JUDDER10"/>
      <sheetName val="4_M_S10"/>
      <sheetName val="5_P_W_R10"/>
      <sheetName val="6_F_G10"/>
      <sheetName val="7__SCABLE10"/>
      <sheetName val="8_DIFF10"/>
      <sheetName val="9_A_C10"/>
      <sheetName val="10_GEAR10"/>
      <sheetName val="11_ISC10"/>
      <sheetName val="12_ALT10"/>
      <sheetName val="13_O_S10"/>
      <sheetName val="14_silencer10"/>
      <sheetName val="15_DAMPER10"/>
      <sheetName val="16_HUB10"/>
      <sheetName val="17_DLOCK10"/>
      <sheetName val="18_PSP10"/>
      <sheetName val="19_누수10"/>
      <sheetName val="20_K_S10"/>
      <sheetName val="차체부품_INS_REPORT(갑)10"/>
      <sheetName val="FUEL_FILLER10"/>
      <sheetName val="2_대외공문10"/>
      <sheetName val="5_WIRE적용LIST10"/>
      <sheetName val="_납촉자10"/>
      <sheetName val="진행_DATA_(2)10"/>
      <sheetName val="외주현황_wq110"/>
      <sheetName val="3_일반사상10"/>
      <sheetName val="3-2_귀책부서별_DT현황9"/>
      <sheetName val="LX3_0_RR9"/>
      <sheetName val="5_세운W-A9"/>
      <sheetName val="Evaluation_objects4"/>
      <sheetName val="FRONT_HUB견적가4"/>
      <sheetName val="SUB_2월_재검사추이도9"/>
      <sheetName val="c_db9"/>
      <sheetName val="VS1_Paretto분석4"/>
      <sheetName val="포머_비가동_내역4"/>
      <sheetName val="GB-IC_Villingen_GG9"/>
      <sheetName val="일일_업무_현황_(3)4"/>
      <sheetName val="일일_업무_현황_(5)4"/>
      <sheetName val="1-1_General_Code3"/>
      <sheetName val="JT3_0견적-구19"/>
      <sheetName val="B053_(990701)공정실적PP%계산4"/>
      <sheetName val="1_2내수5"/>
      <sheetName val="0_절삭조건4"/>
      <sheetName val="CASE_ASM4"/>
      <sheetName val="금형_(2)9"/>
      <sheetName val="생산현황_(입력)3"/>
      <sheetName val="14_1부4"/>
      <sheetName val="상세_계산_내역3"/>
      <sheetName val="J150_승인진도관리_LIST3"/>
      <sheetName val="TOTAL_LIST3"/>
      <sheetName val="Price_Range3"/>
      <sheetName val="FTR_MACRo3"/>
      <sheetName val="MPL_技連4"/>
      <sheetName val="342E_BLOCK4"/>
      <sheetName val="MPS_Q3_FY043"/>
      <sheetName val="MPS_Q4_FY043"/>
      <sheetName val="1_ER유체응용3"/>
      <sheetName val="4_시험장비3"/>
      <sheetName val="협력사_일반현황4"/>
      <sheetName val="FLOW_PROSES_(A)3"/>
      <sheetName val="DATA_BASE3"/>
      <sheetName val="업체별_단가현황3"/>
      <sheetName val="MACRO1_XLM3"/>
      <sheetName val="VPP(BD-010)_이상보고3"/>
      <sheetName val="THEME_CODE3"/>
      <sheetName val="CR_CODE3"/>
      <sheetName val="임율_&amp;_LOT3"/>
      <sheetName val="생산계획_(2)3"/>
      <sheetName val="1ဲ_ALT5"/>
      <sheetName val="1ဳ_O_S5"/>
      <sheetName val="15_၄AMPER5"/>
      <sheetName val="二_POSITION_XLS5"/>
      <sheetName val="OPT손익_내수5"/>
      <sheetName val="OPT손익_수출5"/>
      <sheetName val="BACK_DATA_08_7_1~5"/>
      <sheetName val="E_W5"/>
      <sheetName val="P_W5"/>
      <sheetName val="S_W5"/>
      <sheetName val="TEMP_TORQUE4"/>
      <sheetName val="BACK_DATA5"/>
      <sheetName val="126_2554"/>
      <sheetName val="매출종합_`094"/>
      <sheetName val="소상_&quot;1&quot;4"/>
      <sheetName val="검사기준서_을_치수4"/>
      <sheetName val="검사기준서_갑4"/>
      <sheetName val="검사기준서_을4"/>
      <sheetName val="검사협정_갑4"/>
      <sheetName val="검사성적서_갑4"/>
      <sheetName val="검사성적서_을4"/>
      <sheetName val="검사성적서_병4"/>
      <sheetName val="Nego_PV4"/>
      <sheetName val="1_변경범위4"/>
      <sheetName val="팀별_합계4"/>
      <sheetName val="설비능력및_종합공정능력산출시_사용4"/>
      <sheetName val="P&amp;L,Bal_Sheet,Cash_Forecast3"/>
      <sheetName val="02_07_27_부품판매가3"/>
      <sheetName val="1_세부비교원가(내수)3"/>
      <sheetName val="1_종합비교원가(내수_일반_유럽)3"/>
      <sheetName val="03_PFD-13"/>
      <sheetName val="2__Definitions3"/>
      <sheetName val="내수1_8GL3"/>
      <sheetName val="LAMBDA_자작4"/>
      <sheetName val="운임_환차손-Y4"/>
      <sheetName val="개발_TOOL_집계표3"/>
      <sheetName val="경상_개발비3"/>
      <sheetName val="비교원가제출_고3"/>
      <sheetName val="Basic_assumptions3"/>
      <sheetName val="코드_조건표4"/>
      <sheetName val="일일_생산및판매계획_대_실적3"/>
      <sheetName val="장비_전체리스트3"/>
      <sheetName val="HMC_사전원가(원혁기준)13%3"/>
      <sheetName val="계산_DATA_입력3"/>
      <sheetName val="2차_OIL량측정3"/>
      <sheetName val="재품별_단가3"/>
      <sheetName val="집중검사_리스트3"/>
      <sheetName val="10_예산_및_원가_계획(02년)3"/>
      <sheetName val="6_수입검사_3"/>
      <sheetName val="12_Inv_3"/>
      <sheetName val="97년_재료예산(안)3"/>
      <sheetName val="1_터빈3"/>
      <sheetName val="cost_base_e_dati3"/>
      <sheetName val="차체_품안표3"/>
      <sheetName val="Data_Sheet3"/>
      <sheetName val="_6"/>
      <sheetName val="_7"/>
      <sheetName val="실행내역서_3"/>
      <sheetName val="개발_LIST3"/>
      <sheetName val="PRESS_DATA3"/>
      <sheetName val="Cost_Reduction4"/>
      <sheetName val="PC%계산(WM_COMM단차)3"/>
      <sheetName val="1_1_2008_OTIF3"/>
      <sheetName val="1~3월_지시사항3"/>
      <sheetName val="1_POSITIONING3"/>
      <sheetName val="production_dept3"/>
      <sheetName val="Value_Analysis_-_Sheet_13"/>
      <sheetName val="BAFFLE_HMC_TABLE13"/>
      <sheetName val="2-1_제품군별계획대비실적(B_A)3"/>
      <sheetName val="OEM_이의제기_종합3"/>
      <sheetName val="공정능력(마운틴_홀_거리)3"/>
      <sheetName val="Production_Plan13"/>
      <sheetName val="PNL_ASS'Y_CRASH_PAD_UPR_RH3"/>
      <sheetName val="Summary_Sheet2"/>
      <sheetName val="Datasheet_for_KPI_Model_12"/>
      <sheetName val="Upgrades_pricing2"/>
      <sheetName val="7_3_DY팀2"/>
      <sheetName val="진행중_설변2"/>
      <sheetName val="HOLE_9905(1)2"/>
      <sheetName val="무부하_회전수2"/>
      <sheetName val="5-Why_Root_Cause_Analysis_1"/>
      <sheetName val="광주_소요량1"/>
      <sheetName val="Master_Cable1"/>
      <sheetName val="DBL_LPG시험1"/>
      <sheetName val="INVESTMENT_(Hardware)2"/>
      <sheetName val="full_(2)1"/>
      <sheetName val="▶R_C_FRM1"/>
      <sheetName val="TEAM하반기_계획_(2)1"/>
      <sheetName val="초_성1"/>
      <sheetName val="CHECK_성1"/>
      <sheetName val="공정능력_(2)1"/>
      <sheetName val="cpk_data1"/>
      <sheetName val="S50_2"/>
      <sheetName val="GAGE_R&amp;R(FRT_UPR)1"/>
      <sheetName val="중공업_실적1"/>
      <sheetName val="_하반기_경비_조정계획_150627(사계_r2_기준)_1"/>
      <sheetName val="X-3_ENG2"/>
      <sheetName val="Moulding_data1"/>
      <sheetName val="3월말_장기악성(국내)1"/>
      <sheetName val="2월말_장기악성(국내)1"/>
      <sheetName val="SCP_41"/>
      <sheetName val="SCP_5_D2UXT1"/>
      <sheetName val="SCP_6_D2UX1"/>
      <sheetName val="Invest_(MAC)1"/>
      <sheetName val="SCP_Apr20151"/>
      <sheetName val="DV_Flow_Chart_DV-PV1_(PFC)2"/>
      <sheetName val="MATEMST_(2)1"/>
      <sheetName val="Actual_In_&amp;_Out1"/>
      <sheetName val="Team_종합1"/>
      <sheetName val="불량_리스트1"/>
      <sheetName val="불량_코드1"/>
      <sheetName val="1_종합평가표1"/>
      <sheetName val="ISSUE_LIST1"/>
      <sheetName val="업무분장_1"/>
      <sheetName val="BI-FUEL_AIR_VENT_PIPE1"/>
      <sheetName val="0_CHMSL_LED_ASSY1"/>
      <sheetName val="108_수선비1"/>
      <sheetName val="YOKE-H(10_3)1"/>
      <sheetName val="TABLE_DB1"/>
      <sheetName val="쌍용_data_base1"/>
      <sheetName val="VERTICAL_PIPE1"/>
      <sheetName val="2과_공수집계1"/>
      <sheetName val="REAR_1"/>
      <sheetName val="abs_dac검사대비분석자료21"/>
      <sheetName val="RFQ_Form1"/>
      <sheetName val="Sheet6_(3)3"/>
      <sheetName val="2008_г2"/>
      <sheetName val="신고서_전2"/>
      <sheetName val="영업_일12"/>
      <sheetName val="RELAY_FAX양식1"/>
      <sheetName val="PFMEA_XLS1"/>
      <sheetName val="상세_견적서_(HMC)1"/>
      <sheetName val="_PPAP_작성중__xlsx1"/>
      <sheetName val="2_중요한회계정책1"/>
      <sheetName val="9_관계기업투자1"/>
      <sheetName val="42_리스1"/>
      <sheetName val="25_법인세1"/>
      <sheetName val="Proj_List_00E1"/>
      <sheetName val="Bosch_ADVP&amp;R1"/>
      <sheetName val="Bas_Moteur1"/>
      <sheetName val="국내_1"/>
      <sheetName val="4,5공장_1"/>
      <sheetName val="시트_1"/>
      <sheetName val="GLOBAL_PT_NEW_FORMAT_OCT_20021"/>
      <sheetName val="GLOBAL_PT_NEW_FORMAT_JULY__2001"/>
      <sheetName val="ALPROFILE_발주실적2"/>
      <sheetName val="Sheet1_(2)2"/>
      <sheetName val="02년_SUC1"/>
      <sheetName val="3_PT개발계획1"/>
      <sheetName val="외주품_감점_유형_기준1"/>
      <sheetName val="CAPA분석_360K1"/>
      <sheetName val="원단위_전후비교1"/>
      <sheetName val="Sch7a_(토요일)1"/>
      <sheetName val="3__관리점지수실적-1_1생산성1"/>
      <sheetName val="Sec_1_-_RFQ1"/>
      <sheetName val="Rate_data1"/>
      <sheetName val="실적_및_계획1"/>
      <sheetName val="PRO_(참조)1"/>
      <sheetName val="대외공문_1"/>
      <sheetName val="ERP도입후_시정현황1"/>
      <sheetName val="공정별공법-W_HSE-LH1"/>
      <sheetName val="Purchasing_Data1"/>
      <sheetName val="6_N_m_CCW_전류1"/>
      <sheetName val="c_db12"/>
      <sheetName val="_SR3차원단위_(3)1"/>
      <sheetName val="고객불만_건1"/>
      <sheetName val="1_TP조립1"/>
      <sheetName val="XMA_12월_8,000대_원,부자재_完1"/>
      <sheetName val="YFA_10월분_원자재(10_12)_미납완료_完1"/>
      <sheetName val="YFA_10월분_부자재(10_7,9)_FEDEX_完1"/>
      <sheetName val="1_TAT_Info_1"/>
      <sheetName val="외주수입검사_종합(6월)1"/>
      <sheetName val="RFQ_Template1"/>
      <sheetName val="품의서양식_(3)1"/>
      <sheetName val="4_Vendor_price1"/>
      <sheetName val="14년_증판안_판촉1"/>
      <sheetName val="1__보고1"/>
      <sheetName val="거래선별_매출현황_내역"/>
      <sheetName val="03년_체제결과"/>
      <sheetName val="_0602주-무결점운동_진행현황_보고_(20140610)"/>
      <sheetName val="기타_부자재"/>
      <sheetName val="4_20)통계적기법관리절차서"/>
      <sheetName val="Full_PBD"/>
      <sheetName val="Europe_PU-1"/>
      <sheetName val="(2)월생산현황_"/>
      <sheetName val="RFQ_1804"/>
      <sheetName val="DS_MBR_RR_Side__-_PcA"/>
      <sheetName val="Dual_PMP수율"/>
      <sheetName val="CONSUMO_DE_RESINA_"/>
      <sheetName val="매입자료1"/>
      <sheetName val="LJM"/>
      <sheetName val="수식파일 (삭제금지)"/>
      <sheetName val="불량"/>
      <sheetName val="품질보증"/>
      <sheetName val="ref"/>
      <sheetName val="DepPlan"/>
      <sheetName val="Consignes"/>
      <sheetName val="BDachats"/>
      <sheetName val="旧玉"/>
      <sheetName val="UC_UM"/>
      <sheetName val="THS - Key Inputs"/>
      <sheetName val="3.3검토국"/>
      <sheetName val="ACCN9909"/>
      <sheetName val="Accn9910"/>
      <sheetName val="ACCN9908"/>
      <sheetName val="공사별5"/>
      <sheetName val="pr00_10_20"/>
      <sheetName val="고정자산원본"/>
      <sheetName val="Sch9"/>
      <sheetName val="5 Why's"/>
      <sheetName val="NC-CODE"/>
      <sheetName val="PART"/>
      <sheetName val="국가"/>
      <sheetName val="품질목표"/>
      <sheetName val="IN2"/>
      <sheetName val="05계약내역(新T)"/>
      <sheetName val="05 新Table(간접직)"/>
      <sheetName val="05계약내역(기존T 활용)"/>
      <sheetName val="INDEX"/>
      <sheetName val="공용라이온-2"/>
      <sheetName val="Drop-down Lists"/>
      <sheetName val="incetive"/>
      <sheetName val="종합현황"/>
      <sheetName val="B053 (990701)공정능력PC%계산"/>
      <sheetName val="2012 Volum"/>
      <sheetName val="재(실)"/>
      <sheetName val="분류"/>
      <sheetName val="Supplier QRQC"/>
      <sheetName val="발주서"/>
      <sheetName val="DIEZEL動弁相場"/>
      <sheetName val="기본정보입력"/>
      <sheetName val="세부자료"/>
      <sheetName val="참조코드현황"/>
      <sheetName val="투자예산"/>
      <sheetName val="GM Master"/>
      <sheetName val="4.3 첨부1"/>
      <sheetName val="customer"/>
      <sheetName val="_x0000_PRDW30.XL"/>
      <sheetName val="검사협정 보충"/>
      <sheetName val="효성"/>
      <sheetName val="参照条件"/>
      <sheetName val="진급관련DATA"/>
      <sheetName val="제품명 (3)"/>
      <sheetName val="99정부과제종합"/>
      <sheetName val="분석DATA(년도별)"/>
      <sheetName val="09년 현황"/>
      <sheetName val="CNC810M"/>
      <sheetName val="원가절감종합"/>
      <sheetName val="WTC BODY一覧原紙"/>
      <sheetName val="국고채권3-5"/>
      <sheetName val="퇴충수정"/>
      <sheetName val="10월11일"/>
      <sheetName val="설계명세"/>
      <sheetName val="INJ_FRT"/>
      <sheetName val="73711"/>
      <sheetName val="인도원가"/>
      <sheetName val="첨부#1(SRC)"/>
      <sheetName val="구매사양"/>
      <sheetName val="Basic"/>
      <sheetName val="1.기안을지"/>
      <sheetName val="비가동-20"/>
      <sheetName val="영업용가격대"/>
      <sheetName val="원가기초정보"/>
      <sheetName val="산정표"/>
      <sheetName val="영업인계"/>
      <sheetName val="재공재고"/>
      <sheetName val="포장현황"/>
      <sheetName val="본사-출장소구분"/>
      <sheetName val="불량코드"/>
      <sheetName val="MC%계산"/>
      <sheetName val="※목록"/>
      <sheetName val="Danh Mục"/>
      <sheetName val="Danh Muc"/>
      <sheetName val="메탈&amp;환율"/>
      <sheetName val="인건비US"/>
      <sheetName val="소재종류"/>
      <sheetName val="주E957㲆"/>
      <sheetName val="주E957㲆"/>
      <sheetName val="설비LIS_x0000_"/>
      <sheetName val="설비LIS_x0001_"/>
      <sheetName val="설비LIS"/>
      <sheetName val="Raw_data"/>
      <sheetName val="InspectionData (2)"/>
      <sheetName val="97입고현황(사내)"/>
      <sheetName val="97출고현황(SEC)"/>
      <sheetName val="97출고현황(매출분)"/>
      <sheetName val="Temp"/>
      <sheetName val="OM600"/>
      <sheetName val="반기_유가증권"/>
      <sheetName val="8월"/>
      <sheetName val="급여대장"/>
      <sheetName val="ab입고수량"/>
      <sheetName val="제품현황"/>
      <sheetName val="1.세부비교_x001b_"/>
      <sheetName val="2차 OI_x0010_"/>
      <sheetName val="2차 OI"/>
      <sheetName val="11.Inv."/>
      <sheetName val="철탑"/>
      <sheetName val="VL"/>
      <sheetName val="PMBG12LD 장비및인원소요(D.A기준) "/>
      <sheetName val="MS.SPEC"/>
      <sheetName val="8월 매출현황"/>
      <sheetName val="매출&amp;매입"/>
      <sheetName val="원재료사급"/>
      <sheetName val="서연전자"/>
      <sheetName val="사급"/>
      <sheetName val="삼익산업"/>
      <sheetName val="화인데코"/>
      <sheetName val="시무인텔"/>
      <sheetName val="태동테크"/>
      <sheetName val="원텍"/>
      <sheetName val="부자재"/>
      <sheetName val="삼익전자"/>
      <sheetName val="성우일렉스"/>
      <sheetName val="범상하이테크"/>
      <sheetName val="백광오토텍"/>
      <sheetName val="금화전자(안성전기)"/>
      <sheetName val="도료"/>
      <sheetName val="유일테크"/>
      <sheetName val="3공장 순양전자"/>
      <sheetName val="현진테크 (2)"/>
      <sheetName val="신하테크사"/>
      <sheetName val="보현산업"/>
      <sheetName val="풍기산업"/>
      <sheetName val="다건테크"/>
      <sheetName val="나래산업"/>
      <sheetName val="동신전장"/>
      <sheetName val="성호테크"/>
      <sheetName val="동경cnc 지그"/>
      <sheetName val="성실몰드테크"/>
      <sheetName val="대한테크 집계"/>
      <sheetName val="서연전자 (2)"/>
      <sheetName val="삼익전자 (2)"/>
      <sheetName val="삼익산업 (2)"/>
      <sheetName val="시무인텔 (2)"/>
      <sheetName val="성우일렉스 (2)"/>
      <sheetName val="성호테크 (2)"/>
      <sheetName val="NET면적"/>
      <sheetName val="2009년 매출 실적"/>
      <sheetName val="JINKYU"/>
      <sheetName val="OCT"/>
      <sheetName val="94열처리"/>
      <sheetName val="3월종합현황"/>
      <sheetName val="1_TM11"/>
      <sheetName val="2_align11"/>
      <sheetName val="3_JUDDER11"/>
      <sheetName val="4_M_S11"/>
      <sheetName val="5_P_W_R11"/>
      <sheetName val="6_F_G11"/>
      <sheetName val="7__SCABLE11"/>
      <sheetName val="8_DIFF11"/>
      <sheetName val="9_A_C11"/>
      <sheetName val="10_GEAR11"/>
      <sheetName val="11_ISC11"/>
      <sheetName val="12_ALT11"/>
      <sheetName val="13_O_S11"/>
      <sheetName val="14_silencer11"/>
      <sheetName val="15_DAMPER11"/>
      <sheetName val="16_HUB11"/>
      <sheetName val="17_DLOCK11"/>
      <sheetName val="18_PSP11"/>
      <sheetName val="19_누수11"/>
      <sheetName val="20_K_S11"/>
      <sheetName val="차체부품_INS_REPORT(갑)11"/>
      <sheetName val="FUEL_FILLER11"/>
      <sheetName val="2_대외공문11"/>
      <sheetName val="5_WIRE적용LIST11"/>
      <sheetName val="_납촉자11"/>
      <sheetName val="진행_DATA_(2)11"/>
      <sheetName val="외주현황_wq111"/>
      <sheetName val="3_일반사상11"/>
      <sheetName val="3-2_귀책부서별_DT현황10"/>
      <sheetName val="LX3_0_RR10"/>
      <sheetName val="5_세운W-A10"/>
      <sheetName val="Evaluation_objects5"/>
      <sheetName val="FRONT_HUB견적가5"/>
      <sheetName val="SUB_2월_재검사추이도10"/>
      <sheetName val="c_db10"/>
      <sheetName val="VS1_Paretto분석5"/>
      <sheetName val="포머_비가동_내역5"/>
      <sheetName val="GB-IC_Villingen_GG10"/>
      <sheetName val="일일_업무_현황_(3)5"/>
      <sheetName val="일일_업무_현황_(5)5"/>
      <sheetName val="1-1_General_Code4"/>
      <sheetName val="JT3_0견적-구110"/>
      <sheetName val="B053_(990701)공정실적PP%계산5"/>
      <sheetName val="1_2내수6"/>
      <sheetName val="0_절삭조건5"/>
      <sheetName val="CASE_ASM5"/>
      <sheetName val="금형_(2)10"/>
      <sheetName val="생산현황_(입력)4"/>
      <sheetName val="14_1부5"/>
      <sheetName val="상세_계산_내역4"/>
      <sheetName val="J150_승인진도관리_LIST4"/>
      <sheetName val="TOTAL_LIST4"/>
      <sheetName val="Price_Range4"/>
      <sheetName val="FTR_MACRo4"/>
      <sheetName val="MPL_技連5"/>
      <sheetName val="342E_BLOCK5"/>
      <sheetName val="MPS_Q3_FY044"/>
      <sheetName val="MPS_Q4_FY044"/>
      <sheetName val="1_ER유체응용4"/>
      <sheetName val="4_시험장비4"/>
      <sheetName val="협력사_일반현황5"/>
      <sheetName val="FLOW_PROSES_(A)4"/>
      <sheetName val="DATA_BASE4"/>
      <sheetName val="업체별_단가현황4"/>
      <sheetName val="MACRO1_XLM4"/>
      <sheetName val="VPP(BD-010)_이상보고4"/>
      <sheetName val="THEME_CODE4"/>
      <sheetName val="CR_CODE4"/>
      <sheetName val="임율_&amp;_LOT4"/>
      <sheetName val="생산계획_(2)4"/>
      <sheetName val="1ဲ_ALT6"/>
      <sheetName val="1ဳ_O_S6"/>
      <sheetName val="15_၄AMPER6"/>
      <sheetName val="二_POSITION_XLS6"/>
      <sheetName val="OPT손익_내수6"/>
      <sheetName val="OPT손익_수출6"/>
      <sheetName val="BACK_DATA_08_7_1~6"/>
      <sheetName val="E_W6"/>
      <sheetName val="P_W6"/>
      <sheetName val="S_W6"/>
      <sheetName val="TEMP_TORQUE5"/>
      <sheetName val="BACK_DATA6"/>
      <sheetName val="126_2555"/>
      <sheetName val="매출종합_`095"/>
      <sheetName val="소상_&quot;1&quot;5"/>
      <sheetName val="검사기준서_을_치수5"/>
      <sheetName val="검사기준서_갑5"/>
      <sheetName val="검사기준서_을5"/>
      <sheetName val="검사협정_갑5"/>
      <sheetName val="검사성적서_갑5"/>
      <sheetName val="검사성적서_을5"/>
      <sheetName val="검사성적서_병5"/>
      <sheetName val="Nego_PV5"/>
      <sheetName val="1_변경범위5"/>
      <sheetName val="팀별_합계5"/>
      <sheetName val="설비능력및_종합공정능력산출시_사용5"/>
      <sheetName val="P&amp;L,Bal_Sheet,Cash_Forecast4"/>
      <sheetName val="02_07_27_부품판매가4"/>
      <sheetName val="1_세부비교원가(내수)4"/>
      <sheetName val="1_종합비교원가(내수_일반_유럽)4"/>
      <sheetName val="03_PFD-14"/>
      <sheetName val="2__Definitions4"/>
      <sheetName val="내수1_8GL4"/>
      <sheetName val="LAMBDA_자작5"/>
      <sheetName val="운임_환차손-Y5"/>
      <sheetName val="개발_TOOL_집계표4"/>
      <sheetName val="경상_개발비4"/>
      <sheetName val="비교원가제출_고4"/>
      <sheetName val="Basic_assumptions4"/>
      <sheetName val="코드_조건표5"/>
      <sheetName val="일일_생산및판매계획_대_실적4"/>
      <sheetName val="장비_전체리스트4"/>
      <sheetName val="HMC_사전원가(원혁기준)13%4"/>
      <sheetName val="계산_DATA_입력4"/>
      <sheetName val="2차_OIL량측정4"/>
      <sheetName val="재품별_단가4"/>
      <sheetName val="집중검사_리스트4"/>
      <sheetName val="10_예산_및_원가_계획(02년)4"/>
      <sheetName val="6_수입검사_4"/>
      <sheetName val="12_Inv_4"/>
      <sheetName val="97년_재료예산(안)4"/>
      <sheetName val="1_터빈4"/>
      <sheetName val="cost_base_e_dati4"/>
      <sheetName val="차체_품안표4"/>
      <sheetName val="Data_Sheet4"/>
      <sheetName val="_8"/>
      <sheetName val="_9"/>
      <sheetName val="실행내역서_4"/>
      <sheetName val="개발_LIST4"/>
      <sheetName val="PRESS_DATA4"/>
      <sheetName val="Cost_Reduction5"/>
      <sheetName val="PC%계산(WM_COMM단차)4"/>
      <sheetName val="1_1_2008_OTIF4"/>
      <sheetName val="1~3월_지시사항4"/>
      <sheetName val="1_POSITIONING4"/>
      <sheetName val="production_dept4"/>
      <sheetName val="Value_Analysis_-_Sheet_14"/>
      <sheetName val="BAFFLE_HMC_TABLE14"/>
      <sheetName val="2-1_제품군별계획대비실적(B_A)4"/>
      <sheetName val="OEM_이의제기_종합4"/>
      <sheetName val="공정능력(마운틴_홀_거리)4"/>
      <sheetName val="Production_Plan14"/>
      <sheetName val="PNL_ASS'Y_CRASH_PAD_UPR_RH4"/>
      <sheetName val="Summary_Sheet3"/>
      <sheetName val="Datasheet_for_KPI_Model_13"/>
      <sheetName val="Upgrades_pricing3"/>
      <sheetName val="7_3_DY팀3"/>
      <sheetName val="진행중_설변3"/>
      <sheetName val="HOLE_9905(1)3"/>
      <sheetName val="무부하_회전수3"/>
      <sheetName val="5-Why_Root_Cause_Analysis_2"/>
      <sheetName val="광주_소요량2"/>
      <sheetName val="Master_Cable2"/>
      <sheetName val="DBL_LPG시험2"/>
      <sheetName val="INVESTMENT_(Hardware)3"/>
      <sheetName val="full_(2)2"/>
      <sheetName val="▶R_C_FRM2"/>
      <sheetName val="TEAM하반기_계획_(2)2"/>
      <sheetName val="초_성2"/>
      <sheetName val="CHECK_성2"/>
      <sheetName val="공정능력_(2)2"/>
      <sheetName val="cpk_data2"/>
      <sheetName val="S50_3"/>
      <sheetName val="GAGE_R&amp;R(FRT_UPR)2"/>
      <sheetName val="중공업_실적2"/>
      <sheetName val="_하반기_경비_조정계획_150627(사계_r2_기준)_2"/>
      <sheetName val="X-3_ENG3"/>
      <sheetName val="Moulding_data2"/>
      <sheetName val="3월말_장기악성(국내)2"/>
      <sheetName val="2월말_장기악성(국내)2"/>
      <sheetName val="SCP_42"/>
      <sheetName val="SCP_5_D2UXT2"/>
      <sheetName val="SCP_6_D2UX2"/>
      <sheetName val="Invest_(MAC)2"/>
      <sheetName val="SCP_Apr20152"/>
      <sheetName val="DV_Flow_Chart_DV-PV1_(PFC)3"/>
      <sheetName val="MATEMST_(2)2"/>
      <sheetName val="Actual_In_&amp;_Out2"/>
      <sheetName val="Team_종합2"/>
      <sheetName val="불량_리스트2"/>
      <sheetName val="불량_코드2"/>
      <sheetName val="1_종합평가표2"/>
      <sheetName val="ISSUE_LIST2"/>
      <sheetName val="업무분장_2"/>
      <sheetName val="BI-FUEL_AIR_VENT_PIPE2"/>
      <sheetName val="0_CHMSL_LED_ASSY2"/>
      <sheetName val="108_수선비2"/>
      <sheetName val="YOKE-H(10_3)2"/>
      <sheetName val="TABLE_DB2"/>
      <sheetName val="쌍용_data_base2"/>
      <sheetName val="VERTICAL_PIPE2"/>
      <sheetName val="2과_공수집계2"/>
      <sheetName val="REAR_2"/>
      <sheetName val="abs_dac검사대비분석자료22"/>
      <sheetName val="RFQ_Form2"/>
      <sheetName val="Sheet6_(3)4"/>
      <sheetName val="2008_г3"/>
      <sheetName val="신고서_전3"/>
      <sheetName val="영업_일13"/>
      <sheetName val="RELAY_FAX양식2"/>
      <sheetName val="PFMEA_XLS2"/>
      <sheetName val="상세_견적서_(HMC)2"/>
      <sheetName val="_PPAP_작성중__xlsx2"/>
      <sheetName val="2_중요한회계정책2"/>
      <sheetName val="9_관계기업투자2"/>
      <sheetName val="42_리스2"/>
      <sheetName val="25_법인세2"/>
      <sheetName val="Proj_List_00E2"/>
      <sheetName val="Bosch_ADVP&amp;R2"/>
      <sheetName val="Bas_Moteur2"/>
      <sheetName val="국내_2"/>
      <sheetName val="4,5공장_2"/>
      <sheetName val="시트_2"/>
      <sheetName val="GLOBAL_PT_NEW_FORMAT_OCT_20022"/>
      <sheetName val="GLOBAL_PT_NEW_FORMAT_JULY__2003"/>
      <sheetName val="ALPROFILE_발주실적3"/>
      <sheetName val="Sheet1_(2)3"/>
      <sheetName val="02년_SUC2"/>
      <sheetName val="3_PT개발계획2"/>
      <sheetName val="외주품_감점_유형_기준2"/>
      <sheetName val="CAPA분석_360K2"/>
      <sheetName val="원단위_전후비교2"/>
      <sheetName val="Sch7a_(토요일)2"/>
      <sheetName val="3__관리점지수실적-1_1생산성2"/>
      <sheetName val="Sec_1_-_RFQ2"/>
      <sheetName val="Rate_data2"/>
      <sheetName val="실적_및_계획2"/>
      <sheetName val="PRO_(참조)2"/>
      <sheetName val="대외공문_2"/>
      <sheetName val="ERP도입후_시정현황2"/>
      <sheetName val="공정별공법-W_HSE-LH2"/>
      <sheetName val="Purchasing_Data2"/>
      <sheetName val="6_N_m_CCW_전류2"/>
      <sheetName val="c_db13"/>
      <sheetName val="_SR3차원단위_(3)2"/>
      <sheetName val="고객불만_건2"/>
      <sheetName val="1_TP조립2"/>
      <sheetName val="XMA_12월_8,000대_원,부자재_完2"/>
      <sheetName val="YFA_10월분_원자재(10_12)_미납완료_完2"/>
      <sheetName val="YFA_10월분_부자재(10_7,9)_FEDEX_完2"/>
      <sheetName val="1_TAT_Info_2"/>
      <sheetName val="외주수입검사_종합(6월)2"/>
      <sheetName val="RFQ_Template2"/>
      <sheetName val="품의서양식_(3)2"/>
      <sheetName val="4_Vendor_price2"/>
      <sheetName val="14년_증판안_판촉2"/>
      <sheetName val="1__보고2"/>
      <sheetName val="거래선별_매출현황_내역1"/>
      <sheetName val="03년_체제결과1"/>
      <sheetName val="_0602주-무결점운동_진행현황_보고_(201406101"/>
      <sheetName val="기타_부자재1"/>
      <sheetName val="4_20)통계적기법관리절차서1"/>
      <sheetName val="Full_PBD1"/>
      <sheetName val="Europe_PU-11"/>
      <sheetName val="(2)월생산현황_1"/>
      <sheetName val="RFQ_18041"/>
      <sheetName val="DS_MBR_RR_Side__-_PcA1"/>
      <sheetName val="Dual_PMP수율1"/>
      <sheetName val="CONSUMO_DE_RESINA_1"/>
      <sheetName val="환산표"/>
      <sheetName val="99사업d"/>
      <sheetName val="코드집(수출)"/>
      <sheetName val="2005년 소요량"/>
      <sheetName val="TABLE(터키)"/>
      <sheetName val="2안"/>
      <sheetName val="경영계획"/>
      <sheetName val="項目定義"/>
      <sheetName val="FM钢材消耗表"/>
      <sheetName val="첨부13. 사출(PAD)_카메라"/>
      <sheetName val="Ref_List"/>
      <sheetName val="07주洁겦_x0000__x0000_"/>
      <sheetName val="07주᠍䌺㠀邮"/>
      <sheetName val="07주栍ᐵ蠀ꣁ"/>
      <sheetName val="07주_x0000__x0000__x0000_惪"/>
      <sheetName val="07주洁ᾦ_x0000__x0000_"/>
      <sheetName val="07주洂䢦_x0001__x0000_"/>
      <sheetName val="07주_x0000__x0000__x0000_櫪"/>
      <sheetName val="07주洂亦_x0001__x0000_"/>
      <sheetName val="07주_x0000__x0000__x0000_ᛪ"/>
      <sheetName val="07주_x0000__x0000__x0000_ᣪ"/>
      <sheetName val="07주_x0000__x0000__x0000_巪"/>
      <sheetName val="07주_x0000__x0000__x0000_濪"/>
      <sheetName val="1단가변동"/>
      <sheetName val="日程"/>
      <sheetName val="進め方"/>
      <sheetName val="報告書表紙"/>
      <sheetName val="Value "/>
      <sheetName val="_x005f_x0000__x005f_x0000__x005"/>
      <sheetName val="일수"/>
      <sheetName val="창원생산실적(190501~190520)"/>
      <sheetName val="단가80%기준(재무)"/>
      <sheetName val="매출집계-RMB"/>
      <sheetName val="Evaluation-Bewertung"/>
      <sheetName val="Input Form - EingabeMaske"/>
      <sheetName val="Language-Sprachen"/>
      <sheetName val="현황"/>
      <sheetName val="첨부3"/>
      <sheetName val="국민연금"/>
      <sheetName val="XL4Poppy"/>
      <sheetName val="부품 LIST"/>
      <sheetName val="종합원가분석 1 "/>
      <sheetName val="표"/>
      <sheetName val="AOP Summary-2"/>
      <sheetName val="천정등기구 실적"/>
      <sheetName val="实行计划书"/>
      <sheetName val="영업 입수계획 "/>
      <sheetName val="내장램프"/>
      <sheetName val="참고1 02 판매계획 (수량)"/>
      <sheetName val="전사 경영계획 수량"/>
      <sheetName val="임율_경비"/>
      <sheetName val="합천내역"/>
      <sheetName val="받을어음"/>
      <sheetName val="***********************00"/>
      <sheetName val="가격작업표"/>
      <sheetName val="1_TM12"/>
      <sheetName val="2_align12"/>
      <sheetName val="3_JUDDER12"/>
      <sheetName val="4_M_S12"/>
      <sheetName val="5_P_W_R12"/>
      <sheetName val="6_F_G12"/>
      <sheetName val="7__SCABLE12"/>
      <sheetName val="8_DIFF12"/>
      <sheetName val="9_A_C12"/>
      <sheetName val="10_GEAR12"/>
      <sheetName val="11_ISC12"/>
      <sheetName val="12_ALT12"/>
      <sheetName val="13_O_S12"/>
      <sheetName val="14_silencer12"/>
      <sheetName val="15_DAMPER12"/>
      <sheetName val="16_HUB12"/>
      <sheetName val="17_DLOCK12"/>
      <sheetName val="18_PSP12"/>
      <sheetName val="19_누수12"/>
      <sheetName val="20_K_S12"/>
      <sheetName val="차체부품_INS_REPORT(갑)12"/>
      <sheetName val="FUEL_FILLER12"/>
      <sheetName val="2_대외공문12"/>
      <sheetName val="5_WIRE적용LIST12"/>
      <sheetName val="_납촉자12"/>
      <sheetName val="진행_DATA_(2)12"/>
      <sheetName val="외주현황_wq112"/>
      <sheetName val="3_일반사상12"/>
      <sheetName val="3-2_귀책부서별_DT현황11"/>
      <sheetName val="LX3_0_RR11"/>
      <sheetName val="5_세운W-A11"/>
      <sheetName val="Evaluation_objects6"/>
      <sheetName val="FRONT_HUB견적가6"/>
      <sheetName val="SUB_2월_재검사추이도11"/>
      <sheetName val="c_db14"/>
      <sheetName val="VS1_Paretto분석6"/>
      <sheetName val="포머_비가동_내역6"/>
      <sheetName val="GB-IC_Villingen_GG11"/>
      <sheetName val="일일_업무_현황_(3)6"/>
      <sheetName val="일일_업무_현황_(5)6"/>
      <sheetName val="1-1_General_Code5"/>
      <sheetName val="JT3_0견적-구111"/>
      <sheetName val="B053_(990701)공정실적PP%계산6"/>
      <sheetName val="1_2내수7"/>
      <sheetName val="0_절삭조건6"/>
      <sheetName val="CASE_ASM6"/>
      <sheetName val="금형_(2)11"/>
      <sheetName val="생산현황_(입력)5"/>
      <sheetName val="14_1부6"/>
      <sheetName val="상세_계산_내역5"/>
      <sheetName val="J150_승인진도관리_LIST5"/>
      <sheetName val="TOTAL_LIST5"/>
      <sheetName val="Price_Range5"/>
      <sheetName val="FTR_MACRo5"/>
      <sheetName val="MPL_技連6"/>
      <sheetName val="342E_BLOCK6"/>
      <sheetName val="MPS_Q3_FY045"/>
      <sheetName val="MPS_Q4_FY045"/>
      <sheetName val="1_ER유체응용5"/>
      <sheetName val="4_시험장비5"/>
      <sheetName val="협력사_일반현황6"/>
      <sheetName val="FLOW_PROSES_(A)5"/>
      <sheetName val="DATA_BASE5"/>
      <sheetName val="업체별_단가현황5"/>
      <sheetName val="THEME_CODE5"/>
      <sheetName val="CR_CODE5"/>
      <sheetName val="VPP(BD-010)_이상보고5"/>
      <sheetName val="임율_&amp;_LOT5"/>
      <sheetName val="생산계획_(2)5"/>
      <sheetName val="P&amp;L,Bal_Sheet,Cash_Forecast5"/>
      <sheetName val="1ဲ_ALT7"/>
      <sheetName val="1ဳ_O_S7"/>
      <sheetName val="15_၄AMPER7"/>
      <sheetName val="二_POSITION_XLS7"/>
      <sheetName val="OPT손익_내수7"/>
      <sheetName val="OPT손익_수출7"/>
      <sheetName val="BACK_DATA_08_7_1~7"/>
      <sheetName val="E_W7"/>
      <sheetName val="P_W7"/>
      <sheetName val="S_W7"/>
      <sheetName val="TEMP_TORQUE6"/>
      <sheetName val="BACK_DATA7"/>
      <sheetName val="126_2556"/>
      <sheetName val="매출종합_`096"/>
      <sheetName val="소상_&quot;1&quot;6"/>
      <sheetName val="검사기준서_을_치수6"/>
      <sheetName val="검사기준서_갑6"/>
      <sheetName val="검사기준서_을6"/>
      <sheetName val="검사협정_갑6"/>
      <sheetName val="검사성적서_갑6"/>
      <sheetName val="검사성적서_을6"/>
      <sheetName val="검사성적서_병6"/>
      <sheetName val="Nego_PV6"/>
      <sheetName val="1_변경범위6"/>
      <sheetName val="팀별_합계6"/>
      <sheetName val="설비능력및_종합공정능력산출시_사용6"/>
      <sheetName val="비교원가제출_고5"/>
      <sheetName val="Basic_assumptions5"/>
      <sheetName val="02_07_27_부품판매가5"/>
      <sheetName val="MACRO1_XLM5"/>
      <sheetName val="일일_생산및판매계획_대_실적5"/>
      <sheetName val="1_세부비교원가(내수)5"/>
      <sheetName val="1_종합비교원가(내수_일반_유럽)5"/>
      <sheetName val="내수1_8GL5"/>
      <sheetName val="03_PFD-15"/>
      <sheetName val="2__Definitions5"/>
      <sheetName val="LAMBDA_자작6"/>
      <sheetName val="운임_환차손-Y6"/>
      <sheetName val="개발_TOOL_집계표5"/>
      <sheetName val="경상_개발비5"/>
      <sheetName val="코드_조건표6"/>
      <sheetName val="장비_전체리스트5"/>
      <sheetName val="HMC_사전원가(원혁기준)13%5"/>
      <sheetName val="계산_DATA_입력5"/>
      <sheetName val="2차_OIL량측정5"/>
      <sheetName val="재품별_단가5"/>
      <sheetName val="집중검사_리스트5"/>
      <sheetName val="10_예산_및_원가_계획(02년)5"/>
      <sheetName val="6_수입검사_5"/>
      <sheetName val="12_Inv_5"/>
      <sheetName val="97년_재료예산(안)5"/>
      <sheetName val="1_터빈5"/>
      <sheetName val="cost_base_e_dati5"/>
      <sheetName val="차체_품안표5"/>
      <sheetName val="Data_Sheet5"/>
      <sheetName val="_10"/>
      <sheetName val="_11"/>
      <sheetName val="실행내역서_5"/>
      <sheetName val="개발_LIST5"/>
      <sheetName val="PRESS_DATA5"/>
      <sheetName val="Cost_Reduction6"/>
      <sheetName val="PC%계산(WM_COMM단차)5"/>
      <sheetName val="1_1_2008_OTIF5"/>
      <sheetName val="1~3월_지시사항5"/>
      <sheetName val="1_POSITIONING5"/>
      <sheetName val="production_dept5"/>
      <sheetName val="Value_Analysis_-_Sheet_15"/>
      <sheetName val="BAFFLE_HMC_TABLE15"/>
      <sheetName val="2-1_제품군별계획대비실적(B_A)5"/>
      <sheetName val="OEM_이의제기_종합5"/>
      <sheetName val="공정능력(마운틴_홀_거리)5"/>
      <sheetName val="Production_Plan15"/>
      <sheetName val="Summary_Sheet4"/>
      <sheetName val="Datasheet_for_KPI_Model_14"/>
      <sheetName val="PNL_ASS'Y_CRASH_PAD_UPR_RH5"/>
      <sheetName val="Upgrades_pricing4"/>
      <sheetName val="7_3_DY팀4"/>
      <sheetName val="진행중_설변4"/>
      <sheetName val="HOLE_9905(1)4"/>
      <sheetName val="무부하_회전수4"/>
      <sheetName val="5-Why_Root_Cause_Analysis_3"/>
      <sheetName val="광주_소요량3"/>
      <sheetName val="Master_Cable3"/>
      <sheetName val="DBL_LPG시험3"/>
      <sheetName val="INVESTMENT_(Hardware)4"/>
      <sheetName val="full_(2)3"/>
      <sheetName val="▶R_C_FRM3"/>
      <sheetName val="TEAM하반기_계획_(2)3"/>
      <sheetName val="초_성3"/>
      <sheetName val="CHECK_성3"/>
      <sheetName val="공정능력_(2)3"/>
      <sheetName val="cpk_data3"/>
      <sheetName val="S50_4"/>
      <sheetName val="GAGE_R&amp;R(FRT_UPR)3"/>
      <sheetName val="중공업_실적3"/>
      <sheetName val="_하반기_경비_조정계획_150627(사계_r2_기준)_3"/>
      <sheetName val="DV_Flow_Chart_DV-PV1_(PFC)4"/>
      <sheetName val="MATEMST_(2)3"/>
      <sheetName val="Team_종합3"/>
      <sheetName val="X-3_ENG4"/>
      <sheetName val="Moulding_data3"/>
      <sheetName val="3월말_장기악성(국내)3"/>
      <sheetName val="2월말_장기악성(국내)3"/>
      <sheetName val="SCP_43"/>
      <sheetName val="SCP_5_D2UXT3"/>
      <sheetName val="SCP_6_D2UX3"/>
      <sheetName val="Invest_(MAC)3"/>
      <sheetName val="SCP_Apr20153"/>
      <sheetName val="불량_리스트3"/>
      <sheetName val="불량_코드3"/>
      <sheetName val="1_종합평가표3"/>
      <sheetName val="Actual_In_&amp;_Out3"/>
      <sheetName val="ISSUE_LIST3"/>
      <sheetName val="업무분장_3"/>
      <sheetName val="YOKE-H(10_3)3"/>
      <sheetName val="BI-FUEL_AIR_VENT_PIPE3"/>
      <sheetName val="0_CHMSL_LED_ASSY3"/>
      <sheetName val="108_수선비3"/>
      <sheetName val="TABLE_DB3"/>
      <sheetName val="쌍용_data_base3"/>
      <sheetName val="VERTICAL_PIPE3"/>
      <sheetName val="2과_공수집계3"/>
      <sheetName val="REAR_3"/>
      <sheetName val="abs_dac검사대비분석자료23"/>
      <sheetName val="RFQ_Form3"/>
      <sheetName val="Sheet6_(3)5"/>
      <sheetName val="2008_г4"/>
      <sheetName val="신고서_전4"/>
      <sheetName val="영업_일14"/>
      <sheetName val="RELAY_FAX양식3"/>
      <sheetName val="PFMEA_XLS3"/>
      <sheetName val="상세_견적서_(HMC)3"/>
      <sheetName val="_PPAP_작성중__xlsx3"/>
      <sheetName val="2_중요한회계정책3"/>
      <sheetName val="9_관계기업투자3"/>
      <sheetName val="42_리스3"/>
      <sheetName val="25_법인세3"/>
      <sheetName val="Proj_List_00E3"/>
      <sheetName val="Bosch_ADVP&amp;R3"/>
      <sheetName val="Bas_Moteur3"/>
      <sheetName val="국내_3"/>
      <sheetName val="4,5공장_3"/>
      <sheetName val="시트_3"/>
      <sheetName val="GLOBAL_PT_NEW_FORMAT_OCT_20023"/>
      <sheetName val="GLOBAL_PT_NEW_FORMAT_JULY__2004"/>
      <sheetName val="ALPROFILE_발주실적4"/>
      <sheetName val="Sheet1_(2)4"/>
      <sheetName val="02년_SUC3"/>
      <sheetName val="3_PT개발계획3"/>
      <sheetName val="외주품_감점_유형_기준3"/>
      <sheetName val="CAPA분석_360K3"/>
      <sheetName val="원단위_전후비교3"/>
      <sheetName val="Sch7a_(토요일)3"/>
      <sheetName val="3__관리점지수실적-1_1생산성3"/>
      <sheetName val="Sec_1_-_RFQ3"/>
      <sheetName val="Rate_data3"/>
      <sheetName val="실적_및_계획3"/>
      <sheetName val="PRO_(참조)3"/>
      <sheetName val="대외공문_3"/>
      <sheetName val="ERP도입후_시정현황3"/>
      <sheetName val="공정별공법-W_HSE-LH3"/>
      <sheetName val="Purchasing_Data3"/>
      <sheetName val="6_N_m_CCW_전류3"/>
      <sheetName val="c_db15"/>
      <sheetName val="_SR3차원단위_(3)3"/>
      <sheetName val="고객불만_건3"/>
      <sheetName val="1_TP조립3"/>
      <sheetName val="XMA_12월_8,000대_원,부자재_完3"/>
      <sheetName val="YFA_10월분_원자재(10_12)_미납완료_完3"/>
      <sheetName val="YFA_10월분_부자재(10_7,9)_FEDEX_完3"/>
      <sheetName val="1_TAT_Info_3"/>
      <sheetName val="외주수입검사_종합(6월)3"/>
      <sheetName val="RFQ_Template3"/>
      <sheetName val="품의서양식_(3)3"/>
      <sheetName val="4_Vendor_price3"/>
      <sheetName val="14년_증판안_판촉3"/>
      <sheetName val="1__보고3"/>
      <sheetName val="거래선별_매출현황_내역2"/>
      <sheetName val="03년_체제결과2"/>
      <sheetName val="_0602주-무결점운동_진행현황_보고_(201406102"/>
      <sheetName val="기타_부자재2"/>
      <sheetName val="4_20)통계적기법관리절차서2"/>
      <sheetName val="Full_PBD2"/>
      <sheetName val="Europe_PU-12"/>
      <sheetName val="(2)월생산현황_2"/>
      <sheetName val="RFQ_18042"/>
      <sheetName val="DS_MBR_RR_Side__-_PcA2"/>
      <sheetName val="Dual_PMP수율2"/>
      <sheetName val="CONSUMO_DE_RESINA_2"/>
      <sheetName val="Aug01_Status_Rpt"/>
      <sheetName val="97계획(96_11"/>
      <sheetName val="3-2002년_소모공구비"/>
      <sheetName val="INATAKE SYS"/>
      <sheetName val="승용"/>
      <sheetName val="General Assumptions"/>
      <sheetName val="AIS"/>
      <sheetName val="SCROLL"/>
      <sheetName val=" 제9차 회사표준 제개정 공청회 이의제기신청서.XLSX"/>
      <sheetName val="사양비교"/>
      <sheetName val="ABSENTEEISM"/>
      <sheetName val="견적서"/>
      <sheetName val="PS종합"/>
      <sheetName val="채산"/>
      <sheetName val="수불카드"/>
      <sheetName val="20060624 공조제어"/>
      <sheetName val="AP"/>
      <sheetName val="AR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경비세부"/>
      <sheetName val="전체공수"/>
      <sheetName val="외주가공"/>
      <sheetName val="한계원가"/>
      <sheetName val="hvac(제어동)"/>
      <sheetName val="공정공수.XLS"/>
      <sheetName val="개요"/>
      <sheetName val="Carryover"/>
      <sheetName val="vol_0312"/>
      <sheetName val="풍량상한치 제한 data"/>
      <sheetName val="변환"/>
      <sheetName val="Source List"/>
      <sheetName val="회의록"/>
      <sheetName val="원단위"/>
      <sheetName val="도장가공비"/>
      <sheetName val="After sales"/>
      <sheetName val="96상입"/>
      <sheetName val="주물"/>
      <sheetName val="Interco &amp; PVS Loc Cur"/>
      <sheetName val="D-개요"/>
      <sheetName val="IBASE"/>
      <sheetName val="제품상품(DL)"/>
      <sheetName val="5월DL"/>
      <sheetName val="cr2000분석"/>
      <sheetName val="경로매출"/>
      <sheetName val="참고"/>
      <sheetName val="CR금액"/>
      <sheetName val="OEM Plan"/>
      <sheetName val="Details"/>
      <sheetName val="DATA01"/>
      <sheetName val="종합표"/>
      <sheetName val="콤비품의-3"/>
      <sheetName val="첨부4.기술평가서"/>
      <sheetName val="LOCKUP"/>
      <sheetName val="99년12월 실적DATA"/>
      <sheetName val="J2(P.MT)"/>
      <sheetName val="GYOKAK2"/>
      <sheetName val="SO416"/>
      <sheetName val="목표세부명세"/>
      <sheetName val="GM_Master"/>
      <sheetName val="09년_현황"/>
      <sheetName val="WTC_BODY一覧原紙"/>
      <sheetName val="Help"/>
      <sheetName val="입력DATA"/>
      <sheetName val="Menu"/>
      <sheetName val="MS"/>
      <sheetName val="PS SIDE OTR INR 공정개선 상세"/>
      <sheetName val="PROFILE"/>
      <sheetName val="기계(1998~2003년)작업본"/>
      <sheetName val="기계(2004년)작업본"/>
      <sheetName val="입력laser"/>
      <sheetName val="노동부"/>
      <sheetName val="자체실적Y"/>
      <sheetName val="01_SW"/>
      <sheetName val="TL PROTO 2열"/>
      <sheetName val="공정능력"/>
      <sheetName val="★금형비 계산서"/>
      <sheetName val="LOWSIDE 비교"/>
      <sheetName val="구분자료"/>
      <sheetName val="10-1소요"/>
      <sheetName val="전사"/>
      <sheetName val="SNP"/>
      <sheetName val="PACKING LIST"/>
      <sheetName val="Y3"/>
      <sheetName val="조달내역"/>
      <sheetName val="COOLING UNIT"/>
      <sheetName val="자동차 종합지표"/>
      <sheetName val="데이터목록"/>
      <sheetName val="R-16E"/>
      <sheetName val="C-16MM"/>
      <sheetName val="C-12MM"/>
      <sheetName val="C-20MM"/>
      <sheetName val="5호기_Query"/>
      <sheetName val="출고현황"/>
      <sheetName val="오퍼(DS)"/>
      <sheetName val="6월(DS)"/>
      <sheetName val="물량표S"/>
      <sheetName val="PAINT"/>
      <sheetName val="실행내역"/>
      <sheetName val="4월"/>
      <sheetName val="3)재료비"/>
      <sheetName val="X-3_ENG5"/>
      <sheetName val="PRESS_DATA6"/>
      <sheetName val="X-3_ENG6"/>
      <sheetName val="1ဲ_ALT8"/>
      <sheetName val="1ဳ_O_S8"/>
      <sheetName val="15_၄AMPER8"/>
      <sheetName val="BACK_DATA_08_7_1~8"/>
      <sheetName val="E_W8"/>
      <sheetName val="P_W8"/>
      <sheetName val="S_W8"/>
      <sheetName val="二_POSITION_XLS8"/>
      <sheetName val="OPT손익_내수8"/>
      <sheetName val="OPT손익_수출8"/>
      <sheetName val="BACK_DATA8"/>
      <sheetName val="TEMP_TORQUE7"/>
      <sheetName val="126_2557"/>
      <sheetName val="B053_(990701)공정실적PP%계산7"/>
      <sheetName val="CASE_ASM7"/>
      <sheetName val="14_1부7"/>
      <sheetName val="1_변경범위7"/>
      <sheetName val="PRESS_DATA7"/>
      <sheetName val="설비능력및_종합공정능력산출시_사용7"/>
      <sheetName val="소상_&quot;1&quot;7"/>
      <sheetName val="팀별_합계7"/>
      <sheetName val="운임_환차손-Y7"/>
      <sheetName val="매출종합_`097"/>
      <sheetName val="검사기준서_을_치수7"/>
      <sheetName val="검사기준서_갑7"/>
      <sheetName val="검사기준서_을7"/>
      <sheetName val="검사협정_갑7"/>
      <sheetName val="검사성적서_갑7"/>
      <sheetName val="검사성적서_을7"/>
      <sheetName val="검사성적서_병7"/>
      <sheetName val="Nego_PV7"/>
      <sheetName val="LAMBDA_자작7"/>
      <sheetName val="X-3_ENG7"/>
      <sheetName val="전체"/>
      <sheetName val="보강사 소요량"/>
      <sheetName val="일반경비"/>
      <sheetName val="CLMN자료"/>
      <sheetName val="P&amp;L account"/>
      <sheetName val="ins"/>
      <sheetName val="P&amp;L_account"/>
      <sheetName val="2012_Volum"/>
      <sheetName val="118.세금과공과"/>
      <sheetName val="합계잔액시산표"/>
      <sheetName val="OP12037"/>
      <sheetName val="공장코드"/>
      <sheetName val="거래선"/>
      <sheetName val="완성차물량"/>
      <sheetName val="Part_no"/>
      <sheetName val="경영재무 (입력)"/>
      <sheetName val="연구개발 (입력)"/>
      <sheetName val="일반현황 (입력)"/>
      <sheetName val="품질관리 (입력)"/>
      <sheetName val="수불5-2"/>
      <sheetName val="공정외주"/>
      <sheetName val="노임이"/>
      <sheetName val="공장별판관비배부"/>
      <sheetName val="삭제금지"/>
      <sheetName val="출석부"/>
      <sheetName val="FM주간실적"/>
      <sheetName val="ﾃﾞｰﾀ5"/>
      <sheetName val="WELDING"/>
      <sheetName val="가맹점매출"/>
      <sheetName val="품의서(TL)"/>
      <sheetName val="CPK분석"/>
      <sheetName val="发动机三粗2"/>
      <sheetName val="재료1"/>
      <sheetName val="양식-금형"/>
      <sheetName val="1.2.2완제품검사('00.4월) (가라)"/>
      <sheetName val="FO-BO-ER"/>
      <sheetName val="規模表紙"/>
      <sheetName val="진행단계현황"/>
      <sheetName val="연봉산정기초자료"/>
      <sheetName val="#1-1 (2)"/>
      <sheetName val="불량건수"/>
      <sheetName val="외주집계"/>
      <sheetName val="25414-B2060"/>
      <sheetName val="2-2.매출분석"/>
      <sheetName val="RES"/>
      <sheetName val="경쟁실분"/>
      <sheetName val="제품판매_수량"/>
      <sheetName val="주재료비"/>
      <sheetName val="생산1-2"/>
      <sheetName val="Sales_1"/>
      <sheetName val="Flags"/>
      <sheetName val="금형이력"/>
      <sheetName val="건축내역"/>
      <sheetName val="평가"/>
      <sheetName val="별제권_정리담보권1"/>
      <sheetName val="기초 DATA"/>
      <sheetName val="CPk원본"/>
      <sheetName val="2100"/>
      <sheetName val="배부기준"/>
      <sheetName val="basedata"/>
      <sheetName val="신흥테크 세부내역 LIST"/>
      <sheetName val="MAT"/>
      <sheetName val="단가표"/>
      <sheetName val="SUB(C)"/>
      <sheetName val="피엘"/>
      <sheetName val="Issues List"/>
      <sheetName val="수불부"/>
      <sheetName val="Actual data"/>
      <sheetName val="XXXXXX"/>
      <sheetName val="DATA(PP%)"/>
      <sheetName val="DATA(PC%)"/>
      <sheetName val="기준정보(A) 15.10.27"/>
      <sheetName val="단중 및 예비길이 SHEET 15.9.5(K)"/>
      <sheetName val="품목실적(KK)"/>
      <sheetName val="15.1.02 15년 1월예시계획"/>
      <sheetName val="15년 12월 시작재공품 15.12.3"/>
      <sheetName val="기준정보(A) 12.02.23"/>
      <sheetName val="2001"/>
      <sheetName val="TWIST"/>
      <sheetName val="STD  CAB"/>
      <sheetName val="STD  NCAB"/>
      <sheetName val="원소재 변경 상세"/>
      <sheetName val="직거래가 변경"/>
      <sheetName val="PAN"/>
      <sheetName val="IS(Result)"/>
      <sheetName val="PL By Model(Result)"/>
      <sheetName val="PL_By_Model(Result)"/>
      <sheetName val="2000 (원본)"/>
      <sheetName val="제품군분류"/>
      <sheetName val="Macro3"/>
      <sheetName val="AQL(0.65)"/>
      <sheetName val="D300726-1"/>
      <sheetName val="CPK(Process Capanility)"/>
      <sheetName val="BLF"/>
      <sheetName val="설변이력"/>
      <sheetName val="1.생산0"/>
      <sheetName val="1.개발개요"/>
      <sheetName val="G-Exchange #667"/>
      <sheetName val="C-Mix Rate &amp; Revenue(calc)"/>
      <sheetName val="TotNA"/>
      <sheetName val="Eingaben"/>
      <sheetName val="TO"/>
      <sheetName val="CTEMCOST"/>
      <sheetName val="01년2월현황 "/>
      <sheetName val="정규분포"/>
      <sheetName val="관리도"/>
      <sheetName val="히스토그램"/>
      <sheetName val="슬림형변경"/>
      <sheetName val="출자한도"/>
      <sheetName val="대차(종합,입력금지)"/>
      <sheetName val="95신규호표"/>
      <sheetName val="입찰안"/>
      <sheetName val="07주"/>
      <sheetName val="생j_x0000_"/>
      <sheetName val="Condition"/>
      <sheetName val="월할경비"/>
      <sheetName val="의왕F사"/>
      <sheetName val="가공사"/>
      <sheetName val="SEP 2007"/>
      <sheetName val="OUTSTANDING"/>
      <sheetName val="HO"/>
      <sheetName val="OUTPUT"/>
      <sheetName val="Q1 &amp; Q2"/>
      <sheetName val="CRA-Detail"/>
      <sheetName val="ING"/>
      <sheetName val="박두익"/>
      <sheetName val="판매물량CASE"/>
      <sheetName val="_Common_Info_Page"/>
      <sheetName val="NEW_TOOL_MASTER"/>
      <sheetName val="금형_이력_카드"/>
      <sheetName val="LCAUTO_4"/>
      <sheetName val="LCAT수_조"/>
      <sheetName val="소재_이력"/>
      <sheetName val="99_조정금액"/>
      <sheetName val="8월_매출현황"/>
      <sheetName val="3공장_순양전자"/>
      <sheetName val="현진테크_(2)"/>
      <sheetName val="동경cnc_지그"/>
      <sheetName val="대한테크_집계"/>
      <sheetName val="서연전자_(2)"/>
      <sheetName val="삼익전자_(2)"/>
      <sheetName val="삼익산업_(2)"/>
      <sheetName val="시무인텔_(2)"/>
      <sheetName val="성우일렉스_(2)"/>
      <sheetName val="성호테크_(2)"/>
      <sheetName val="3_3검토국"/>
      <sheetName val="개발원가_종합"/>
      <sheetName val="THS_-_Key_Inputs"/>
      <sheetName val="단위"/>
      <sheetName val="PANEL"/>
      <sheetName val="devis qcdp2"/>
      <sheetName val="추가예산"/>
      <sheetName val="본사인상전"/>
      <sheetName val="TNC(1안)"/>
      <sheetName val="비용"/>
      <sheetName val="인상효1"/>
      <sheetName val="예산내역서"/>
      <sheetName val="매출이익011h"/>
      <sheetName val="용도01_02년비교"/>
      <sheetName val="용도02년"/>
      <sheetName val="TNC"/>
      <sheetName val="생산량"/>
      <sheetName val="현장경비"/>
      <sheetName val="Assumptions"/>
      <sheetName val="SETUP"/>
      <sheetName val="22.보증금(전신전화가입권)"/>
      <sheetName val="39.미지급법인세"/>
      <sheetName val="_x005f_x005f_x005f_x0000__x005f"/>
      <sheetName val="Z41,Z42 이외total"/>
      <sheetName val="검토서"/>
      <sheetName val="Q11(자체)"/>
      <sheetName val="KXV01"/>
      <sheetName val="개인별 교육현황"/>
      <sheetName val="관리구역도(181010)"/>
      <sheetName val="관리구역 책임자(181010)"/>
      <sheetName val="ACU기청소2018-05-04 (3)"/>
      <sheetName val="SMT구역"/>
      <sheetName val="ASM A동"/>
      <sheetName val="SMT구역 (2)"/>
      <sheetName val="관리구역 체크시트"/>
      <sheetName val="관리구역 평가시트"/>
      <sheetName val="활동대상"/>
      <sheetName val="5S카렌다"/>
      <sheetName val="양식1(사무용)"/>
      <sheetName val="양식2(현장용)"/>
      <sheetName val="문제점개선List"/>
      <sheetName val="개선전후테이블"/>
      <sheetName val="4월진단공지"/>
      <sheetName val="20150403진단"/>
      <sheetName val="책임구역표지"/>
      <sheetName val="관리구역도(140624)"/>
      <sheetName val="담당자편성표 (B)"/>
      <sheetName val="현장체크"/>
      <sheetName val="조립A구역"/>
      <sheetName val="조립A구역 (2)"/>
      <sheetName val="조립B구역"/>
      <sheetName val="구역책임자"/>
      <sheetName val="개선보고서 (2)"/>
      <sheetName val="설치작업개선"/>
      <sheetName val="현장개선"/>
      <sheetName val="COA"/>
      <sheetName val="Cover page"/>
      <sheetName val="Vwalk"/>
      <sheetName val="Adjusted OI"/>
      <sheetName val="Adjusted OI (2)"/>
      <sheetName val="Outlook"/>
      <sheetName val="Income Stmt (USD)"/>
      <sheetName val="Income Stmt (RMB)"/>
      <sheetName val="IS Loc Adj"/>
      <sheetName val="Balance Sht (USD)"/>
      <sheetName val="BS Loc+Adj"/>
      <sheetName val="Balance Sht (RMB)"/>
      <sheetName val="Cash Flow (USD)"/>
      <sheetName val="递延收益"/>
      <sheetName val="FCF"/>
      <sheetName val="Statistics"/>
      <sheetName val="AR&amp;AP&amp;Inventory"/>
      <sheetName val="Cash Forecast"/>
      <sheetName val="IC AP AR"/>
      <sheetName val="付款假设"/>
      <sheetName val="回款假设"/>
      <sheetName val="Cash Cross check"/>
      <sheetName val="TOOL"/>
      <sheetName val="EDD(DV)"/>
      <sheetName val="Volume"/>
      <sheetName val="Unit Price without LTA&amp;Pricing"/>
      <sheetName val="Sales without LTA&amp;Pricing"/>
      <sheetName val="Unit ECN Sales"/>
      <sheetName val="Total ECN Sales"/>
      <sheetName val="LTA Percentage"/>
      <sheetName val="LTA Amount"/>
      <sheetName val="P2P"/>
      <sheetName val="Total P2P"/>
      <sheetName val="Net Sales"/>
      <sheetName val="Cost-Detail"/>
      <sheetName val="Unit Mat Cost Without PS VAVE"/>
      <sheetName val="Material cost without PS VAVE"/>
      <sheetName val="Unit ECN cost"/>
      <sheetName val="ECN cost saving"/>
      <sheetName val="Unit Purchase Saving"/>
      <sheetName val="Total Purchase Saving"/>
      <sheetName val="Unit VAVE Saving"/>
      <sheetName val="Total VAVE"/>
      <sheetName val="Unit Margin Improvement"/>
      <sheetName val="Total Margin Improvement"/>
      <sheetName val="Unit mat. cost after PS VAVE"/>
      <sheetName val="Total Mat.cost after PS VAVE"/>
      <sheetName val="Unit Inb Freight Rate"/>
      <sheetName val="Inboud Freight Amount"/>
      <sheetName val="Unit Inb-Duty"/>
      <sheetName val="Inbound Duty"/>
      <sheetName val="Material cost before Scrap"/>
      <sheetName val="Scrap Rate"/>
      <sheetName val="Scrap Amount"/>
      <sheetName val="Scrap recovery rate"/>
      <sheetName val="Scrap Recovery Amount"/>
      <sheetName val="Unit Production Auxiliary"/>
      <sheetName val="Production Auxiliary"/>
      <sheetName val="Net Material"/>
      <sheetName val="Unit OB freight"/>
      <sheetName val="Total OB freight"/>
      <sheetName val="Total LC&amp;OVH"/>
      <sheetName val="LC&amp;OVH_variable"/>
      <sheetName val="LC&amp;OVH_Fix"/>
      <sheetName val="LC&amp;OVH_Undefined"/>
      <sheetName val="LC&amp;OVH_Undefined_Var."/>
      <sheetName val="LC&amp;OVH_Undefined_Fix."/>
      <sheetName val="Total headcount &amp; labor cost"/>
      <sheetName val="Direct Labor Cost"/>
      <sheetName val="Indirect Labor Cost"/>
      <sheetName val="Salary Cost"/>
      <sheetName val="Expense_Total"/>
      <sheetName val="Expense_Fix"/>
      <sheetName val="Expense_Variable"/>
      <sheetName val="Expense_Undefined"/>
      <sheetName val="Expense-Logistic"/>
      <sheetName val="Expense-HR"/>
      <sheetName val="Expense-Admin"/>
      <sheetName val="Expense-Finance"/>
      <sheetName val="Expense-IT"/>
      <sheetName val="Expense-Purchase"/>
      <sheetName val="Expense-Quality"/>
      <sheetName val="Expense-SD"/>
      <sheetName val="Expense-Engineering"/>
      <sheetName val="Expense-Manufacturing"/>
      <sheetName val="Expense-PM"/>
      <sheetName val="Expense-Production"/>
      <sheetName val="Expense-Mgnt"/>
      <sheetName val="Capex&amp;Depr"/>
      <sheetName val="MSI-Month"/>
      <sheetName val="MSI - FY(RMB)"/>
      <sheetName val="MSI - Comm Sales"/>
      <sheetName val="MSI - IC Sales"/>
      <sheetName val="MSI - Mat Cost"/>
      <sheetName val="MSI - Direct Labor"/>
      <sheetName val="MSI - Variable OH"/>
      <sheetName val="MSI - Fixed OH"/>
      <sheetName val="IC_AP_AR"/>
      <sheetName val="外仓1"/>
      <sheetName val="外仓TEM1"/>
      <sheetName val="기준DATA"/>
      <sheetName val="(9차)(본드합포)"/>
      <sheetName val="(9차)(화염양면라미)"/>
      <sheetName val="세디_율진"/>
      <sheetName val="한일은행"/>
      <sheetName val="통장출금액"/>
      <sheetName val="계획"/>
      <sheetName val="수불명세서"/>
      <sheetName val="집계표"/>
      <sheetName val="Duration "/>
      <sheetName val="인건비정보"/>
      <sheetName val="설비비-YV4"/>
      <sheetName val="인건비-YV4"/>
      <sheetName val="재료비-YV4"/>
      <sheetName val="fin5"/>
      <sheetName val="9907협력"/>
      <sheetName val="매각단ᯇ"/>
      <sheetName val="02.08생산대상대수"/>
      <sheetName val="상품입고집계"/>
      <sheetName val="삼익계산"/>
      <sheetName val="____ilencer"/>
      <sheetName val="실행"/>
      <sheetName val="PRDW30_XL"/>
      <sheetName val="Danh_Mục"/>
      <sheetName val="Danh_Muc"/>
      <sheetName val="Danh sach Hàn thùng"/>
      <sheetName val="Mẫu DMVT"/>
      <sheetName val="Mẫu DMVT (2)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DM KHAU HAO"/>
      <sheetName val="COSTING"/>
      <sheetName val="Input_Page"/>
      <sheetName val="Input_Sheet"/>
      <sheetName val="Base_Info"/>
      <sheetName val="Cover_page"/>
      <sheetName val="Adjusted_OI"/>
      <sheetName val="Adjusted_OI_(2)"/>
      <sheetName val="Income_Stmt_(USD)"/>
      <sheetName val="Income_Stmt_(RMB)"/>
      <sheetName val="IS_Loc_Adj"/>
      <sheetName val="Balance_Sht_(USD)"/>
      <sheetName val="BS_Loc+Adj"/>
      <sheetName val="Balance_Sht_(RMB)"/>
      <sheetName val="Cash_Flow_(USD)"/>
      <sheetName val="Cash_Forecast"/>
      <sheetName val="IC_AP_AR1"/>
      <sheetName val="Cash_Cross_check"/>
      <sheetName val="Unit_Price_without_LTA&amp;Pricing"/>
      <sheetName val="Sales_without_LTA&amp;Pricing"/>
      <sheetName val="Unit_ECN_Sales"/>
      <sheetName val="Total_ECN_Sales"/>
      <sheetName val="LTA_Percentage"/>
      <sheetName val="LTA_Amount"/>
      <sheetName val="Total_P2P"/>
      <sheetName val="Net_Sales"/>
      <sheetName val="Unit_Mat_Cost_Without_PS_VAVE"/>
      <sheetName val="Material_cost_without_PS_VAVE"/>
      <sheetName val="Unit_ECN_cost"/>
      <sheetName val="ECN_cost_saving"/>
      <sheetName val="Unit_Purchase_Saving"/>
      <sheetName val="Total_Purchase_Saving"/>
      <sheetName val="Unit_VAVE_Saving"/>
      <sheetName val="Total_VAVE"/>
      <sheetName val="Unit_Margin_Improvement"/>
      <sheetName val="Total_Margin_Improvement"/>
      <sheetName val="Unit_mat__cost_after_PS_VAVE"/>
      <sheetName val="Total_Mat_cost_after_PS_VAVE"/>
      <sheetName val="Unit_Inb_Freight_Rate"/>
      <sheetName val="Inboud_Freight_Amount"/>
      <sheetName val="Unit_Inb-Duty"/>
      <sheetName val="Inbound_Duty"/>
      <sheetName val="Material_cost_before_Scrap"/>
      <sheetName val="Scrap_Rate"/>
      <sheetName val="Scrap_Amount"/>
      <sheetName val="Scrap_recovery_rate"/>
      <sheetName val="Scrap_Recovery_Amount"/>
      <sheetName val="Unit_Production_Auxiliary"/>
      <sheetName val="Production_Auxiliary"/>
      <sheetName val="Net_Material"/>
      <sheetName val="Unit_OB_freight"/>
      <sheetName val="Total_OB_freight"/>
      <sheetName val="Total_LC&amp;OVH"/>
      <sheetName val="LC&amp;OVH_Undefined_Var_"/>
      <sheetName val="LC&amp;OVH_Undefined_Fix_"/>
      <sheetName val="Total_headcount_&amp;_labor_cost"/>
      <sheetName val="Direct_Labor_Cost"/>
      <sheetName val="Indirect_Labor_Cost"/>
      <sheetName val="Salary_Cost"/>
      <sheetName val="MSI_-_FY(RMB)"/>
      <sheetName val="MSI_-_Comm_Sales"/>
      <sheetName val="MSI_-_IC_Sales"/>
      <sheetName val="MSI_-_Mat_Cost"/>
      <sheetName val="MSI_-_Direct_Labor"/>
      <sheetName val="MSI_-_Variable_OH"/>
      <sheetName val="MSI_-_Fixed_OH"/>
      <sheetName val="Cty+XN(KT 2005)"/>
      <sheetName val="환산table"/>
      <sheetName val="부재료"/>
      <sheetName val="Report"/>
      <sheetName val="24.냉각실용添1"/>
      <sheetName val="조립LINE"/>
      <sheetName val="AVSSX"/>
      <sheetName val="노원열병합  건축공사기성내역서"/>
      <sheetName val="Gia vat tu"/>
      <sheetName val="SUMMARY(S)"/>
      <sheetName val="FA-LISTING"/>
      <sheetName val="test1"/>
      <sheetName val="유통망계획"/>
      <sheetName val="Data Not Used"/>
      <sheetName val="ScoreCards"/>
      <sheetName val="Variables"/>
      <sheetName val="FTQ Data"/>
      <sheetName val="Int Pulls Data"/>
      <sheetName val="Int Spills Data"/>
      <sheetName val="PPM Data"/>
      <sheetName val="Pulls Data"/>
      <sheetName val="Spills Data"/>
      <sheetName val="라이온2"/>
      <sheetName val="공통비"/>
      <sheetName val="신청현황"/>
      <sheetName val="이름정의_판매계획정리"/>
      <sheetName val="이름정의_라인운영계획"/>
      <sheetName val="PP%-low RPM"/>
      <sheetName val="After Sales Supplier #'s"/>
      <sheetName val="원단위 1계 2계"/>
      <sheetName val="RD제품개발투자비_매가_"/>
      <sheetName val="Arkusz1"/>
      <sheetName val="기준비교표"/>
      <sheetName val="모델별불량율"/>
      <sheetName val="식자재사용량(4월20일)"/>
      <sheetName val="REPAIR DATA - CONTAINER #5"/>
      <sheetName val="LINE_PPM-분석"/>
      <sheetName val="REPAIR_DATA_-_CONTAINER_#5"/>
      <sheetName val="노원열병합__건축공사기성내역서"/>
      <sheetName val="Gia_vat_tu"/>
      <sheetName val="Issues_List"/>
      <sheetName val="FCST"/>
      <sheetName val="조명시설"/>
      <sheetName val="K㘘Ï"/>
      <sheetName val="한일자야(감액손실) (2)"/>
      <sheetName val="2차 OI_x0000__x0000__x0005__x0000_"/>
      <sheetName val="2차_OI"/>
      <sheetName val="매출정리"/>
      <sheetName val="케이스 재공 재고"/>
      <sheetName val="ECU原価"/>
      <sheetName val="400H 가공,금형비"/>
      <sheetName val="OP세부내역"/>
      <sheetName val="수식기준"/>
      <sheetName val="Validation"/>
      <sheetName val="Hoja1"/>
      <sheetName val="NUEVO MODELOS 2018"/>
      <sheetName val="금형견적서(PRESS)"/>
      <sheetName val="2차 OI_x0010__x0000_?࠱"/>
      <sheetName val="5-3"/>
      <sheetName val="대환취급"/>
      <sheetName val="하자DB"/>
      <sheetName val="W3000재료비비교Table(송부용)"/>
      <sheetName val="거래처별"/>
      <sheetName val="2차 OI׃⼪_x0000__x0000_"/>
      <sheetName val="ADJTBL 3100"/>
      <sheetName val="사출계산서"/>
      <sheetName val="Prm"/>
      <sheetName val="Budget Imt mensuel (CFO)"/>
      <sheetName val="Imt"/>
      <sheetName val="CDV Pte mensuel"/>
      <sheetName val="Evol Prod (Eqpt)"/>
      <sheetName val="CAPVR Pte mensuel"/>
      <sheetName val="THƯ VIỆN"/>
      <sheetName val="BUS"/>
      <sheetName val="LOAIXE"/>
      <sheetName val="Nguon PT xetai"/>
      <sheetName val="NGUON"/>
      <sheetName val="Nguon PT xe Ben"/>
      <sheetName val="Bien s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발신정보"/>
      <sheetName val="제품별"/>
      <sheetName val="Input_Page1"/>
      <sheetName val="Input_Sheet1"/>
      <sheetName val="Aug01_Status_Rpt1"/>
      <sheetName val="Base_Info1"/>
      <sheetName val="Cover_page1"/>
      <sheetName val="Adjusted_OI1"/>
      <sheetName val="Adjusted_OI_(2)1"/>
      <sheetName val="Income_Stmt_(USD)1"/>
      <sheetName val="Income_Stmt_(RMB)1"/>
      <sheetName val="IS_Loc_Adj1"/>
      <sheetName val="Balance_Sht_(USD)1"/>
      <sheetName val="BS_Loc+Adj1"/>
      <sheetName val="Balance_Sht_(RMB)1"/>
      <sheetName val="Cash_Flow_(USD)1"/>
      <sheetName val="Cash_Forecast1"/>
      <sheetName val="IC_AP_AR2"/>
      <sheetName val="Cash_Cross_check1"/>
      <sheetName val="Unit_Price_without_LTA&amp;Pricing1"/>
      <sheetName val="Sales_without_LTA&amp;Pricing1"/>
      <sheetName val="Unit_ECN_Sales1"/>
      <sheetName val="Total_ECN_Sales1"/>
      <sheetName val="LTA_Percentage1"/>
      <sheetName val="LTA_Amount1"/>
      <sheetName val="Total_P2P1"/>
      <sheetName val="Net_Sales1"/>
      <sheetName val="Unit_Mat_Cost_Without_PS_VAVE1"/>
      <sheetName val="Material_cost_without_PS_VAVE1"/>
      <sheetName val="Unit_ECN_cost1"/>
      <sheetName val="ECN_cost_saving1"/>
      <sheetName val="Unit_Purchase_Saving1"/>
      <sheetName val="Total_Purchase_Saving1"/>
      <sheetName val="Unit_VAVE_Saving1"/>
      <sheetName val="Total_VAVE1"/>
      <sheetName val="Unit_Margin_Improvement1"/>
      <sheetName val="Total_Margin_Improvement1"/>
      <sheetName val="Unit_mat__cost_after_PS_VAVE1"/>
      <sheetName val="Total_Mat_cost_after_PS_VAVE1"/>
      <sheetName val="Unit_Inb_Freight_Rate1"/>
      <sheetName val="Inboud_Freight_Amount1"/>
      <sheetName val="Unit_Inb-Duty1"/>
      <sheetName val="Inbound_Duty1"/>
      <sheetName val="Material_cost_before_Scrap1"/>
      <sheetName val="Scrap_Rate1"/>
      <sheetName val="Scrap_Amount1"/>
      <sheetName val="Scrap_recovery_rate1"/>
      <sheetName val="Scrap_Recovery_Amount1"/>
      <sheetName val="Unit_Production_Auxiliary1"/>
      <sheetName val="Production_Auxiliary1"/>
      <sheetName val="Net_Material1"/>
      <sheetName val="Unit_OB_freight1"/>
      <sheetName val="Total_OB_freight1"/>
      <sheetName val="Total_LC&amp;OVH1"/>
      <sheetName val="LC&amp;OVH_Undefined_Var_1"/>
      <sheetName val="LC&amp;OVH_Undefined_Fix_1"/>
      <sheetName val="Total_headcount_&amp;_labor_cost1"/>
      <sheetName val="Direct_Labor_Cost1"/>
      <sheetName val="Indirect_Labor_Cost1"/>
      <sheetName val="Salary_Cost1"/>
      <sheetName val="MSI_-_FY(RMB)1"/>
      <sheetName val="MSI_-_Comm_Sales1"/>
      <sheetName val="MSI_-_IC_Sales1"/>
      <sheetName val="MSI_-_Mat_Cost1"/>
      <sheetName val="MSI_-_Direct_Labor1"/>
      <sheetName val="MSI_-_Variable_OH1"/>
      <sheetName val="MSI_-_Fixed_OH1"/>
      <sheetName val="금형_이력_카드1"/>
      <sheetName val="Cty+XN(KT_2005)"/>
      <sheetName val="1_세부비교"/>
      <sheetName val="MS_SPEC"/>
      <sheetName val="첨부13__사출(PAD)_카메라"/>
      <sheetName val="수식파일_(삭제금지)"/>
      <sheetName val="5_Why's"/>
      <sheetName val="Tool_Type"/>
      <sheetName val="3__Acronyms_and_abbreviations"/>
      <sheetName val="05_新Table(간접직)"/>
      <sheetName val="05계약내역(기존T_활용)"/>
      <sheetName val="PMBG12LD_장비및인원소요(D_A기준)_"/>
      <sheetName val="Drop-down_Lists"/>
      <sheetName val="B053_(990701)공정능력PC%계산"/>
      <sheetName val="Supplier_QRQC"/>
      <sheetName val="4_3_첨부1"/>
      <sheetName val="검사협정_보충"/>
      <sheetName val="제품명_(3)"/>
      <sheetName val="1_기안을지"/>
      <sheetName val="2005년_소요량"/>
      <sheetName val="InspectionData_(2)"/>
      <sheetName val="_제9차_회사표준_제개정_공청회_이의제기신청서_XLSX"/>
      <sheetName val="부품_LIST"/>
      <sheetName val="07주洂䢦"/>
      <sheetName val="07주洂亦"/>
      <sheetName val="2009년_매출_실적"/>
      <sheetName val="AQL(0_65)"/>
      <sheetName val="천정등기구_실적"/>
      <sheetName val="List_Total"/>
      <sheetName val="Person_Cost"/>
      <sheetName val="THEO_DÕI_THAI_SẢN_(2)"/>
      <sheetName val="Time_Man"/>
      <sheetName val="Salary(Cus_)"/>
      <sheetName val="OT_OVER"/>
      <sheetName val="Segment_4_Bid_Sheet"/>
      <sheetName val="Hi6810_功能信号表"/>
      <sheetName val="6_FQC检验数据"/>
      <sheetName val="2003_prod2"/>
      <sheetName val="2003_Target"/>
      <sheetName val="RA_Bearer"/>
      <sheetName val="Trend_Total_nguyên_nhân"/>
      <sheetName val="設備預算總表附件3_"/>
      <sheetName val="FA_Definitions"/>
      <sheetName val="11_Inv_"/>
      <sheetName val="MASTER DATA"/>
      <sheetName val="매매기준"/>
      <sheetName val="서열정보"/>
      <sheetName val="견적서_detail Main_1"/>
      <sheetName val="차량운반구"/>
      <sheetName val="건물"/>
      <sheetName val="MEMO"/>
      <sheetName val="通玻"/>
      <sheetName val="4호기"/>
      <sheetName val="3호기"/>
      <sheetName val="8호기"/>
      <sheetName val="발주내역"/>
      <sheetName val="ASSETS_LIST(2)"/>
      <sheetName val="▶선택항목"/>
      <sheetName val="CAR Form Summary"/>
      <sheetName val="가격품의서"/>
      <sheetName val="일위대가표"/>
      <sheetName val="gvl"/>
      <sheetName val="LINE 운영안"/>
      <sheetName val="전력계획"/>
      <sheetName val="원가 종합"/>
      <sheetName val="SM672-001(A)"/>
      <sheetName val="TABLE(TK)"/>
      <sheetName val="TABLE(중국)"/>
      <sheetName val="Validation Lists"/>
      <sheetName val="OPT#1"/>
      <sheetName val="Schedule 1"/>
      <sheetName val="比모듈조립비"/>
      <sheetName val="Tabelle3"/>
      <sheetName val="전체썘㐅"/>
      <sheetName val="Data_Input"/>
      <sheetName val="제품별 매출"/>
      <sheetName val="Data Working Time"/>
      <sheetName val="원가410"/>
      <sheetName val="98년"/>
      <sheetName val="외화수지"/>
      <sheetName val="과8"/>
      <sheetName val="Prices"/>
      <sheetName val="활물질"/>
      <sheetName val="Separator"/>
      <sheetName val="체계옵션"/>
      <sheetName val="업무기준"/>
      <sheetName val="CC"/>
      <sheetName val="Liste"/>
      <sheetName val="비목계산"/>
      <sheetName val="Product"/>
      <sheetName val="Order status"/>
      <sheetName val="Order status2"/>
      <sheetName val="Customer Master"/>
      <sheetName val="Common code"/>
      <sheetName val="Order Status Master"/>
      <sheetName val="Product Master"/>
      <sheetName val="ꢀᴳ케伆"/>
      <sheetName val="MIRADRUG"/>
      <sheetName val="Φ43(COMM단차)"/>
      <sheetName val="사무용품 신청"/>
      <sheetName val="K1"/>
      <sheetName val="OEM_Plan"/>
      <sheetName val="원가_종합"/>
      <sheetName val="자동차_종합지표"/>
      <sheetName val="After_sales"/>
      <sheetName val="주소록"/>
      <sheetName val="92上期財務実績"/>
      <sheetName val="Net Revenue"/>
      <sheetName val="7) 13367734"/>
      <sheetName val="H400"/>
      <sheetName val="급여일반"/>
      <sheetName val="업무연락"/>
      <sheetName val="기초 데이터"/>
      <sheetName val="베어링하우징"/>
      <sheetName val="Rollforward {bpe}"/>
      <sheetName val="Allow - SR&amp;D"/>
      <sheetName val="GLOBAL_PT_NEW_FORMAT_OCT_20024"/>
      <sheetName val="3__관리점지수실적-1_1생산성4"/>
      <sheetName val="Sec_1_-_RFQ4"/>
      <sheetName val="02년_SUC4"/>
      <sheetName val="Sch7a_(토요일)4"/>
      <sheetName val="Rate_data4"/>
      <sheetName val="원단위_전후비교4"/>
      <sheetName val="실적_및_계획4"/>
      <sheetName val="공정능력_(2)4"/>
      <sheetName val="Master_Cable4"/>
      <sheetName val="PRO_(참조)4"/>
      <sheetName val="외주품_감점_유형_기준4"/>
      <sheetName val="Bosch_ADVP&amp;R4"/>
      <sheetName val="제품별_매출"/>
      <sheetName val="Data_Working_Time"/>
      <sheetName val="내수1_8GL6"/>
      <sheetName val="ALPROFILE_발주실적5"/>
      <sheetName val="Sheet1_(2)5"/>
      <sheetName val="GLOBAL_PT_NEW_FORMAT_OCT_20025"/>
      <sheetName val="02년_SUC5"/>
      <sheetName val="3__관리점지수실적-1_1생산성5"/>
      <sheetName val="Sec_1_-_RFQ5"/>
      <sheetName val="Sch7a_(토요일)5"/>
      <sheetName val="Rate_data5"/>
      <sheetName val="원단위_전후비교5"/>
      <sheetName val="실적_및_계획5"/>
      <sheetName val="공정능력_(2)5"/>
      <sheetName val="Master_Cable5"/>
      <sheetName val="PRO_(참조)5"/>
      <sheetName val="외주품_감점_유형_기준5"/>
      <sheetName val="Bosch_ADVP&amp;R5"/>
      <sheetName val="TEMP_TORQUE8"/>
      <sheetName val="B053_(990701)공정실적PP%계산8"/>
      <sheetName val="1_변경범위8"/>
      <sheetName val="개발_TOOL_집계표6"/>
      <sheetName val="경상_개발비6"/>
      <sheetName val="내수1_8GL7"/>
      <sheetName val="운임_환차손-Y8"/>
      <sheetName val="ALPROFILE_발주실적6"/>
      <sheetName val="Sheet1_(2)6"/>
      <sheetName val="Sheet6_(3)6"/>
      <sheetName val="계산_DATA_입력6"/>
      <sheetName val="상세_계산_내역6"/>
      <sheetName val="Evaluation_objects7"/>
      <sheetName val="GLOBAL_PT_NEW_FORMAT_OCT_20026"/>
      <sheetName val="MACRO1_XLM6"/>
      <sheetName val="3__관리점지수실적-1_1생산성6"/>
      <sheetName val="Sec_1_-_RFQ6"/>
      <sheetName val="02년_SUC6"/>
      <sheetName val="Sch7a_(토요일)6"/>
      <sheetName val="Rate_data6"/>
      <sheetName val="원단위_전후비교6"/>
      <sheetName val="실적_및_계획6"/>
      <sheetName val="공정능력_(2)6"/>
      <sheetName val="Master_Cable6"/>
      <sheetName val="PRO_(참조)6"/>
      <sheetName val="외주품_감점_유형_기준6"/>
      <sheetName val="Bosch_ADVP&amp;R6"/>
      <sheetName val="Asset9809CAK"/>
      <sheetName val="220 (2)"/>
      <sheetName val="전문품의"/>
      <sheetName val="9899DISC"/>
      <sheetName val="이력"/>
      <sheetName val="Allocations"/>
      <sheetName val="설비이력카드"/>
      <sheetName val="1-6"/>
      <sheetName val="시작품의"/>
      <sheetName val="표지 (2)"/>
      <sheetName val="중요차종 (090131)"/>
      <sheetName val="ﾕｰｻﾞｰ設定"/>
      <sheetName val="PU FOAM 가격조정 기준"/>
      <sheetName val="Data Input"/>
      <sheetName val="보증금"/>
      <sheetName val="626TD(COLOR)"/>
      <sheetName val="ACTUAL"/>
      <sheetName val="Tables"/>
      <sheetName val="절삭조건"/>
      <sheetName val="FIXED_ASSET"/>
      <sheetName val="Stop"/>
      <sheetName val="551"/>
      <sheetName val="집계표(VAN)"/>
      <sheetName val="금형,검사구"/>
      <sheetName val="리오비용"/>
      <sheetName val="인원계획"/>
      <sheetName val="원본1"/>
      <sheetName val="개선대책 양식"/>
      <sheetName val="재무가정"/>
      <sheetName val="S P"/>
      <sheetName val="R FJS CAR (old)"/>
      <sheetName val="portfolio"/>
      <sheetName val="PFMEA_XLS4"/>
      <sheetName val="RELAY_FAX양식4"/>
      <sheetName val="상세_견적서_(HMC)4"/>
      <sheetName val="INVESTMENT_(Hardware)5"/>
      <sheetName val="2_중요한회계정책4"/>
      <sheetName val="9_관계기업투자4"/>
      <sheetName val="42_리스4"/>
      <sheetName val="25_법인세4"/>
      <sheetName val="_PPAP_작성중__xlsx4"/>
      <sheetName val="Proj_List_00E4"/>
      <sheetName val="DBL_LPG시험4"/>
      <sheetName val="PFMEA_XLS5"/>
      <sheetName val="신고서_전5"/>
      <sheetName val="영업_일15"/>
      <sheetName val="RELAY_FAX양식5"/>
      <sheetName val="상세_견적서_(HMC)5"/>
      <sheetName val="INVESTMENT_(Hardware)6"/>
      <sheetName val="2008_г5"/>
      <sheetName val="2_중요한회계정책5"/>
      <sheetName val="9_관계기업투자5"/>
      <sheetName val="42_리스5"/>
      <sheetName val="25_법인세5"/>
      <sheetName val="_PPAP_작성중__xlsx5"/>
      <sheetName val="Proj_List_00E5"/>
      <sheetName val="DBL_LPG시험5"/>
      <sheetName val="1_2내수8"/>
      <sheetName val="Cost_Reduction7"/>
      <sheetName val="PFMEA_XLS6"/>
      <sheetName val="신고서_전6"/>
      <sheetName val="Basic_assumptions6"/>
      <sheetName val="Sheet6_(3)7"/>
      <sheetName val="영업_일16"/>
      <sheetName val="RELAY_FAX양식6"/>
      <sheetName val="상세_견적서_(HMC)6"/>
      <sheetName val="INVESTMENT_(Hardware)7"/>
      <sheetName val="2008_г6"/>
      <sheetName val="2_중요한회계정책6"/>
      <sheetName val="9_관계기업투자6"/>
      <sheetName val="42_리스6"/>
      <sheetName val="25_법인세6"/>
      <sheetName val="_PPAP_작성중__xlsx6"/>
      <sheetName val="Proj_List_00E6"/>
      <sheetName val="DBL_LPG시험6"/>
      <sheetName val="1_2내수9"/>
      <sheetName val="Cost_Reduction8"/>
      <sheetName val="매출종합_`098"/>
      <sheetName val="PFMEA_XLS7"/>
      <sheetName val="신고서_전7"/>
      <sheetName val="Basic_assumptions7"/>
      <sheetName val="0_절삭조건7"/>
      <sheetName val="Sheet6_(3)8"/>
      <sheetName val="영업_일17"/>
      <sheetName val="RELAY_FAX양식7"/>
      <sheetName val="상세_견적서_(HMC)7"/>
      <sheetName val="INVESTMENT_(Hardware)8"/>
      <sheetName val="2008_г7"/>
      <sheetName val="2_중요한회계정책7"/>
      <sheetName val="9_관계기업투자7"/>
      <sheetName val="42_리스7"/>
      <sheetName val="25_법인세7"/>
      <sheetName val="_PPAP_작성중__xlsx7"/>
      <sheetName val="Proj_List_00E7"/>
      <sheetName val="Bosch_ADVP&amp;R7"/>
      <sheetName val="DBL_LPG시험7"/>
      <sheetName val="2012_Volum1"/>
      <sheetName val="P&amp;L_account1"/>
      <sheetName val="기준정보(A)_15_10_27"/>
      <sheetName val="단중_및_예비길이_SHEET_15_9_5(K)"/>
      <sheetName val="15_1_02_15년_1월예시계획"/>
      <sheetName val="15년_12월_시작재공품_15_12_3"/>
      <sheetName val="기준정보(A)_12_02_23"/>
      <sheetName val="118_세금과공과"/>
      <sheetName val="경영재무_(입력)"/>
      <sheetName val="연구개발_(입력)"/>
      <sheetName val="일반현황_(입력)"/>
      <sheetName val="품질관리_(입력)"/>
      <sheetName val="RONA_DCF"/>
      <sheetName val="RONA_CHRT"/>
      <sheetName val="절삭가공"/>
      <sheetName val="HYPO"/>
      <sheetName val="Certificate list "/>
      <sheetName val="기본자료(재직자)"/>
      <sheetName val="추가예산LIST"/>
      <sheetName val="6.Parent S_ Fixed Prod"/>
      <sheetName val="Austria"/>
      <sheetName val="Material References"/>
      <sheetName val="PRINT"/>
      <sheetName val="ANNUAL"/>
      <sheetName val="BOM Cost (R-U713MHH)"/>
      <sheetName val="9월실적"/>
      <sheetName val="단가MST⁒"/>
      <sheetName val="HAL(STD)"/>
      <sheetName val="PDS"/>
      <sheetName val="PROGRESSIVE_150727"/>
      <sheetName val="sal"/>
      <sheetName val="코드별"/>
      <sheetName val="수급"/>
      <sheetName val="분리멀티형"/>
      <sheetName val="선택박스"/>
      <sheetName val="Sens"/>
      <sheetName val="FR80"/>
      <sheetName val="Input_Form_-_EingabeMaske"/>
      <sheetName val="1_생산0"/>
      <sheetName val="LINE1"/>
      <sheetName val="BAT1 "/>
      <sheetName val="매출손익"/>
      <sheetName val="승용스틸자체"/>
      <sheetName val="스틸금형"/>
      <sheetName val="민감도"/>
      <sheetName val="(Maker)Cover"/>
      <sheetName val="Linearity"/>
      <sheetName val="(业体)Cover"/>
      <sheetName val="(업체)Cover"/>
      <sheetName val="시산표12월(수정후)"/>
      <sheetName val="_x005f_x005f_x005f_x005f_x005f_x005f_x005f_x005f_x005f_x005f_"/>
      <sheetName val="Form"/>
      <sheetName val="Definitions"/>
      <sheetName val="choices"/>
      <sheetName val="반도체요약"/>
      <sheetName val="JANG_DOM"/>
      <sheetName val="자재목록"/>
      <sheetName val="1_TM13"/>
      <sheetName val="2_align13"/>
      <sheetName val="3_JUDDER13"/>
      <sheetName val="4_M_S13"/>
      <sheetName val="5_P_W_R13"/>
      <sheetName val="6_F_G13"/>
      <sheetName val="7__SCABLE13"/>
      <sheetName val="8_DIFF13"/>
      <sheetName val="9_A_C13"/>
      <sheetName val="10_GEAR13"/>
      <sheetName val="11_ISC13"/>
      <sheetName val="12_ALT13"/>
      <sheetName val="13_O_S13"/>
      <sheetName val="14_silencer13"/>
      <sheetName val="15_DAMPER13"/>
      <sheetName val="16_HUB13"/>
      <sheetName val="17_DLOCK13"/>
      <sheetName val="18_PSP13"/>
      <sheetName val="19_누수13"/>
      <sheetName val="20_K_S13"/>
      <sheetName val="차체부품_INS_REPORT(갑)13"/>
      <sheetName val="FUEL_FILLER13"/>
      <sheetName val="2_대외공문13"/>
      <sheetName val="5_WIRE적용LIST13"/>
      <sheetName val="_납촉자13"/>
      <sheetName val="진행_DATA_(2)13"/>
      <sheetName val="외주현황_wq113"/>
      <sheetName val="3_일반사상13"/>
      <sheetName val="3-2_귀책부서별_DT현황12"/>
      <sheetName val="LX3_0_RR12"/>
      <sheetName val="5_세운W-A12"/>
      <sheetName val="FRONT_HUB견적가7"/>
      <sheetName val="SUB_2월_재검사추이도12"/>
      <sheetName val="c_db16"/>
      <sheetName val="VS1_Paretto분석7"/>
      <sheetName val="포머_비가동_내역7"/>
      <sheetName val="GB-IC_Villingen_GG12"/>
      <sheetName val="일일_업무_현황_(3)7"/>
      <sheetName val="일일_업무_현황_(5)7"/>
      <sheetName val="1-1_General_Code6"/>
      <sheetName val="JT3_0견적-구112"/>
      <sheetName val="금형_(2)12"/>
      <sheetName val="생산현황_(입력)6"/>
      <sheetName val="J150_승인진도관리_LIST6"/>
      <sheetName val="TOTAL_LIST6"/>
      <sheetName val="Price_Range6"/>
      <sheetName val="FTR_MACRo6"/>
      <sheetName val="MPL_技連7"/>
      <sheetName val="342E_BLOCK7"/>
      <sheetName val="MPS_Q3_FY046"/>
      <sheetName val="MPS_Q4_FY046"/>
      <sheetName val="1_ER유체응용6"/>
      <sheetName val="4_시험장비6"/>
      <sheetName val="협력사_일반현황7"/>
      <sheetName val="FLOW_PROSES_(A)6"/>
      <sheetName val="DATA_BASE6"/>
      <sheetName val="업체별_단가현황6"/>
      <sheetName val="THEME_CODE6"/>
      <sheetName val="CR_CODE6"/>
      <sheetName val="VPP(BD-010)_이상보고6"/>
      <sheetName val="임율_&amp;_LOT6"/>
      <sheetName val="생산계획_(2)6"/>
      <sheetName val="P&amp;L,Bal_Sheet,Cash_Forecast6"/>
      <sheetName val="비교원가제출_고6"/>
      <sheetName val="02_07_27_부품판매가6"/>
      <sheetName val="일일_생산및판매계획_대_실적6"/>
      <sheetName val="1_세부비교원가(내수)6"/>
      <sheetName val="1_종합비교원가(내수_일반_유럽)6"/>
      <sheetName val="03_PFD-16"/>
      <sheetName val="2__Definitions6"/>
      <sheetName val="코드_조건표7"/>
      <sheetName val="장비_전체리스트6"/>
      <sheetName val="HMC_사전원가(원혁기준)13%6"/>
      <sheetName val="2차_OIL량측정6"/>
      <sheetName val="재품별_단가6"/>
      <sheetName val="집중검사_리스트6"/>
      <sheetName val="10_예산_및_원가_계획(02년)6"/>
      <sheetName val="6_수입검사_6"/>
      <sheetName val="12_Inv_6"/>
      <sheetName val="97년_재료예산(안)6"/>
      <sheetName val="1_터빈6"/>
      <sheetName val="cost_base_e_dati6"/>
      <sheetName val="차체_품안표6"/>
      <sheetName val="Data_Sheet6"/>
      <sheetName val="_12"/>
      <sheetName val="_13"/>
      <sheetName val="실행내역서_6"/>
      <sheetName val="개발_LIST6"/>
      <sheetName val="PC%계산(WM_COMM단차)6"/>
      <sheetName val="1_1_2008_OTIF6"/>
      <sheetName val="1~3월_지시사항6"/>
      <sheetName val="1_POSITIONING6"/>
      <sheetName val="production_dept6"/>
      <sheetName val="Value_Analysis_-_Sheet_16"/>
      <sheetName val="BAFFLE_HMC_TABLE16"/>
      <sheetName val="2-1_제품군별계획대비실적(B_A)6"/>
      <sheetName val="OEM_이의제기_종합6"/>
      <sheetName val="공정능력(마운틴_홀_거리)6"/>
      <sheetName val="Production_Plan16"/>
      <sheetName val="Summary_Sheet5"/>
      <sheetName val="Datasheet_for_KPI_Model_15"/>
      <sheetName val="PNL_ASS'Y_CRASH_PAD_UPR_RH6"/>
      <sheetName val="Upgrades_pricing5"/>
      <sheetName val="7_3_DY팀5"/>
      <sheetName val="진행중_설변5"/>
      <sheetName val="HOLE_9905(1)5"/>
      <sheetName val="무부하_회전수5"/>
      <sheetName val="5-Why_Root_Cause_Analysis_4"/>
      <sheetName val="광주_소요량4"/>
      <sheetName val="full_(2)4"/>
      <sheetName val="▶R_C_FRM4"/>
      <sheetName val="TEAM하반기_계획_(2)4"/>
      <sheetName val="초_성4"/>
      <sheetName val="CHECK_성4"/>
      <sheetName val="cpk_data4"/>
      <sheetName val="S50_5"/>
      <sheetName val="GAGE_R&amp;R(FRT_UPR)4"/>
      <sheetName val="중공업_실적4"/>
      <sheetName val="_하반기_경비_조정계획_150627(사계_r2_기준)_4"/>
      <sheetName val="DV_Flow_Chart_DV-PV1_(PFC)5"/>
      <sheetName val="MATEMST_(2)4"/>
      <sheetName val="Team_종합4"/>
      <sheetName val="Moulding_data4"/>
      <sheetName val="3월말_장기악성(국내)4"/>
      <sheetName val="2월말_장기악성(국내)4"/>
      <sheetName val="SCP_44"/>
      <sheetName val="SCP_5_D2UXT4"/>
      <sheetName val="SCP_6_D2UX4"/>
      <sheetName val="Invest_(MAC)4"/>
      <sheetName val="SCP_Apr20154"/>
      <sheetName val="불량_리스트4"/>
      <sheetName val="불량_코드4"/>
      <sheetName val="1_종합평가표4"/>
      <sheetName val="Actual_In_&amp;_Out4"/>
      <sheetName val="ISSUE_LIST4"/>
      <sheetName val="업무분장_4"/>
      <sheetName val="YOKE-H(10_3)4"/>
      <sheetName val="BI-FUEL_AIR_VENT_PIPE4"/>
      <sheetName val="0_CHMSL_LED_ASSY4"/>
      <sheetName val="108_수선비4"/>
      <sheetName val="TABLE_DB4"/>
      <sheetName val="쌍용_data_base4"/>
      <sheetName val="VERTICAL_PIPE4"/>
      <sheetName val="2과_공수집계4"/>
      <sheetName val="REAR_4"/>
      <sheetName val="abs_dac검사대비분석자료24"/>
      <sheetName val="RFQ_Form4"/>
      <sheetName val="Bas_Moteur4"/>
      <sheetName val="국내_4"/>
      <sheetName val="4,5공장_4"/>
      <sheetName val="시트_4"/>
      <sheetName val="GLOBAL_PT_NEW_FORMAT_JULY__2005"/>
      <sheetName val="3_PT개발계획4"/>
      <sheetName val="CAPA분석_360K4"/>
      <sheetName val="대외공문_4"/>
      <sheetName val="ERP도입후_시정현황4"/>
      <sheetName val="공정별공법-W_HSE-LH4"/>
      <sheetName val="Purchasing_Data4"/>
      <sheetName val="6_N_m_CCW_전류4"/>
      <sheetName val="c_db17"/>
      <sheetName val="_SR3차원단위_(3)4"/>
      <sheetName val="고객불만_건4"/>
      <sheetName val="1_TP조립4"/>
      <sheetName val="XMA_12월_8,000대_원,부자재_完4"/>
      <sheetName val="YFA_10월분_원자재(10_12)_미납완료_完4"/>
      <sheetName val="YFA_10월분_부자재(10_7,9)_FEDEX_完4"/>
      <sheetName val="1_TAT_Info_4"/>
      <sheetName val="외주수입검사_종합(6월)4"/>
      <sheetName val="RFQ_Template4"/>
      <sheetName val="품의서양식_(3)4"/>
      <sheetName val="4_Vendor_price4"/>
      <sheetName val="14년_증판안_판촉4"/>
      <sheetName val="1__보고4"/>
      <sheetName val="거래선별_매출현황_내역3"/>
      <sheetName val="03년_체제결과3"/>
      <sheetName val="_0602주-무결점운동_진행현황_보고_(201406103"/>
      <sheetName val="기타_부자재3"/>
      <sheetName val="4_20)통계적기법관리절차서3"/>
      <sheetName val="Full_PBD3"/>
      <sheetName val="Europe_PU-13"/>
      <sheetName val="(2)월생산현황_3"/>
      <sheetName val="RFQ_18043"/>
      <sheetName val="DS_MBR_RR_Side__-_PcA3"/>
      <sheetName val="Dual_PMP수율3"/>
      <sheetName val="CONSUMO_DE_RESINA_3"/>
      <sheetName val="97계획(96_111"/>
      <sheetName val="3-2002년_소모공구비1"/>
      <sheetName val="비품-0450"/>
      <sheetName val="Tax"/>
      <sheetName val="8.공정능력평가(5)"/>
      <sheetName val="공구비"/>
      <sheetName val="Note"/>
      <sheetName val="304"/>
      <sheetName val="업체손실공수.xls"/>
      <sheetName val="업체손실공수_xls"/>
      <sheetName val="01과제현황"/>
      <sheetName val="项目"/>
      <sheetName val="FRT 재료비"/>
      <sheetName val="금형원가"/>
      <sheetName val="14_1부8"/>
      <sheetName val="1ဲ_ALT9"/>
      <sheetName val="1ဳ_O_S9"/>
      <sheetName val="15_၄AMPER9"/>
      <sheetName val="二_POSITION_XLS9"/>
      <sheetName val="OPT손익_내수9"/>
      <sheetName val="OPT손익_수출9"/>
      <sheetName val="BACK_DATA_08_7_1~9"/>
      <sheetName val="E_W9"/>
      <sheetName val="P_W9"/>
      <sheetName val="S_W9"/>
      <sheetName val="BACK_DATA9"/>
      <sheetName val="126_2558"/>
      <sheetName val="CASE_ASM8"/>
      <sheetName val="소상_&quot;1&quot;8"/>
      <sheetName val="검사기준서_을_치수8"/>
      <sheetName val="검사기준서_갑8"/>
      <sheetName val="검사기준서_을8"/>
      <sheetName val="검사협정_갑8"/>
      <sheetName val="검사성적서_갑8"/>
      <sheetName val="검사성적서_을8"/>
      <sheetName val="검사성적서_병8"/>
      <sheetName val="Nego_PV8"/>
      <sheetName val="팀별_합계8"/>
      <sheetName val="설비능력및_종합공정능력산출시_사용8"/>
      <sheetName val="LAMBDA_자작8"/>
      <sheetName val="PRESS_DATA8"/>
      <sheetName val="X-3_ENG8"/>
      <sheetName val="LCAUTO_41"/>
      <sheetName val="LCAT수_조1"/>
      <sheetName val="개발원가_종합1"/>
      <sheetName val="3_3검토국1"/>
      <sheetName val="CPK(Process_Capanility)"/>
      <sheetName val="_Common_Info_Page1"/>
      <sheetName val="NEW_TOOL_MASTER1"/>
      <sheetName val="소재_이력1"/>
      <sheetName val="99_조정금액1"/>
      <sheetName val="THS_-_Key_Inputs1"/>
      <sheetName val="GM_Master1"/>
      <sheetName val="09년_현황1"/>
      <sheetName val="WTC_BODY一覧原紙1"/>
      <sheetName val="Danh_Mục1"/>
      <sheetName val="Danh_Muc1"/>
      <sheetName val="8월_매출현황1"/>
      <sheetName val="3공장_순양전자1"/>
      <sheetName val="현진테크_(2)1"/>
      <sheetName val="동경cnc_지그1"/>
      <sheetName val="대한테크_집계1"/>
      <sheetName val="서연전자_(2)1"/>
      <sheetName val="삼익전자_(2)1"/>
      <sheetName val="삼익산업_(2)1"/>
      <sheetName val="시무인텔_(2)1"/>
      <sheetName val="성우일렉스_(2)1"/>
      <sheetName val="성호테크_(2)1"/>
      <sheetName val="General_Assumptions"/>
      <sheetName val="Value_"/>
      <sheetName val="종합원가분석_1_"/>
      <sheetName val="1_개발개요"/>
      <sheetName val="G-Exchange_#667"/>
      <sheetName val="C-Mix_Rate_&amp;_Revenue(calc)"/>
      <sheetName val="01년2월현황_"/>
      <sheetName val="SEP_2007"/>
      <sheetName val="Q1_&amp;_Q2"/>
      <sheetName val="devis_qcdp2"/>
      <sheetName val="22_보증금(전신전화가입권)"/>
      <sheetName val="39_미지급법인세"/>
      <sheetName val="Z41,Z42_이외total"/>
      <sheetName val="개인별_교육현황"/>
      <sheetName val="관리구역_책임자(181010)"/>
      <sheetName val="ACU기청소2018-05-04_(3)"/>
      <sheetName val="ASM_A동"/>
      <sheetName val="SMT구역_(2)"/>
      <sheetName val="관리구역_체크시트"/>
      <sheetName val="관리구역_평가시트"/>
      <sheetName val="담당자편성표_(B)"/>
      <sheetName val="조립A구역_(2)"/>
      <sheetName val="개선보고서_(2)"/>
      <sheetName val="INATAKE_SYS"/>
      <sheetName val="영업_입수계획_"/>
      <sheetName val="참고1_02_판매계획_(수량)"/>
      <sheetName val="전사_경영계획_수량"/>
      <sheetName val="Duration_"/>
      <sheetName val="02_08생산대상대수"/>
      <sheetName val="2000_(원본)"/>
      <sheetName val="Danh_sach_Hàn_thùng"/>
      <sheetName val="Mẫu_DMVT"/>
      <sheetName val="Mẫu_DMVT_(2)"/>
      <sheetName val="DANH_MỤC_NHÓM_ĐỐI_TƯỢNG"/>
      <sheetName val="Nhap_T8"/>
      <sheetName val="Begining_detail-CTIET"/>
      <sheetName val="Summary-TOMLUOC_"/>
      <sheetName val="SO_TONG_HOP_CONG_NO"/>
      <sheetName val="DM_KHAU_HAO"/>
      <sheetName val="20060624_공조제어"/>
      <sheetName val="공정공수_XLS"/>
      <sheetName val="풍량상한치_제한_data"/>
      <sheetName val="Source_List"/>
      <sheetName val="Interco_&amp;_PVS_Loc_Cur"/>
      <sheetName val="첨부4_기술평가서"/>
      <sheetName val="99년12월_실적DATA"/>
      <sheetName val="J2(P_MT)"/>
      <sheetName val="PS_SIDE_OTR_INR_공정개선_상세"/>
      <sheetName val="TL_PROTO_2열"/>
      <sheetName val="★금형비_계산서"/>
      <sheetName val="LOWSIDE_비교"/>
      <sheetName val="PACKING_LIST"/>
      <sheetName val="COOLING_UNIT"/>
      <sheetName val="보강사_소요량"/>
      <sheetName val="1_2_2완제품검사('00_4월)_(가라)"/>
      <sheetName val="#1-1_(2)"/>
      <sheetName val="2-2_매출분석"/>
      <sheetName val="기초_DATA"/>
      <sheetName val="신흥테크_세부내역_LIST"/>
      <sheetName val="Actual_data"/>
      <sheetName val="STD__CAB"/>
      <sheetName val="STD__NCAB"/>
      <sheetName val="원소재_변경_상세"/>
      <sheetName val="직거래가_변경"/>
      <sheetName val="PL_By_Model(Result)1"/>
      <sheetName val="24_냉각실용添1"/>
      <sheetName val="Data_Not_Used"/>
      <sheetName val="FTQ_Data"/>
      <sheetName val="Int_Pulls_Data"/>
      <sheetName val="Int_Spills_Data"/>
      <sheetName val="PPM_Data"/>
      <sheetName val="Pulls_Data"/>
      <sheetName val="Spills_Data"/>
      <sheetName val="PP%-low_RPM"/>
      <sheetName val="After_Sales_Supplier_#'s"/>
      <sheetName val="원단위_1계_2계"/>
      <sheetName val="NUEVO_MODELOS_2018"/>
      <sheetName val="한일자야(감액손실)_(2)"/>
      <sheetName val="2차_OI׃⼪"/>
      <sheetName val="ADJTBL_3100"/>
      <sheetName val="400H_가공,금형비"/>
      <sheetName val="AOP_Summary-2"/>
      <sheetName val="Budget_Imt_mensuel_(CFO)"/>
      <sheetName val="CDV_Pte_mensuel"/>
      <sheetName val="Evol_Prod_(Eqpt)"/>
      <sheetName val="CAPVR_Pte_mensuel"/>
      <sheetName val="THƯ_VIỆN"/>
      <sheetName val="Nguon_PT_xetai"/>
      <sheetName val="Nguon_PT_xe_Ben"/>
      <sheetName val="Bien_so"/>
      <sheetName val="MỤC_LỤC"/>
      <sheetName val="Ghi_chú"/>
      <sheetName val="1__Định_hướng_HĐ_CN_năm_2019"/>
      <sheetName val="2_1_Tổng_quan_TT_KD_xe_DL"/>
      <sheetName val="2_2_Tổng_quan_TT_DVPT_DL"/>
      <sheetName val="3_1__ĐKM_xe_DL"/>
      <sheetName val="3_2_1__KH_KD-MKT_&amp;_TCKD_xe_KIA"/>
      <sheetName val="3_2_2_CSBH_KIA"/>
      <sheetName val="3_2_3__KH_KD-MKT&amp;TCKD_DVPT"/>
      <sheetName val="Pv_SL"/>
      <sheetName val="3_3_1_KH_KD-MKT_&amp;_TCKD_Mazda"/>
      <sheetName val="3_3_2_CSBH_MAZDA"/>
      <sheetName val="3_3_3_KH_KD-MKT&amp;TCKD_DVPT_MAZDA"/>
      <sheetName val="3_4__DVPT_SR_KIA_MAZDA"/>
      <sheetName val="3_4_1_KH_KD-MKT&amp;TCKD_PEUGEOT"/>
      <sheetName val="3_4_2_CSBH_PEUGEOT"/>
      <sheetName val="3_4_3_KH_KD-MKT&amp;TC_DVPT_PEUGEOT"/>
      <sheetName val="3_5__TÀI_CHÍNH_KD_XE_KIA_MAZDA"/>
      <sheetName val="4_1_Tổng_quan_TT_KD_Tai,_Bus"/>
      <sheetName val="4_2_Tổng_quan_TT_DVPT_Tai_Bus"/>
      <sheetName val="5_1__ĐKM_xe_Tai,_Bus"/>
      <sheetName val="PTBH_2018"/>
      <sheetName val="SL_-_TVBH"/>
      <sheetName val="5_2a__KD_Xe_Fuso"/>
      <sheetName val="5_2b__KD_Xe_Foton"/>
      <sheetName val="5_2c__KD_Xe_Bus"/>
      <sheetName val="5_2__KH_KD-MKT&amp;TCKD_xe_Tải,_Bus"/>
      <sheetName val="5_3__CSBH_xe_Tải,_Bus"/>
      <sheetName val="5_4_KH_KD-MKT&amp;TC_DVPT_Tải,_Bus"/>
      <sheetName val="Review_note"/>
      <sheetName val="6_1_ĐKĐK"/>
      <sheetName val="6_2__Bảo_hiểm"/>
      <sheetName val="6_3__Tín_dụng"/>
      <sheetName val="6_4__GSHT_&amp;_PH"/>
      <sheetName val="6_5_DVHT"/>
      <sheetName val="7_1_KH_nhân_sự"/>
      <sheetName val="7_2__Định_biên_&amp;_Lương"/>
      <sheetName val="7_3_KH_thưởng_năng_suất"/>
      <sheetName val="Check_TH"/>
      <sheetName val="8__Hành_chính"/>
      <sheetName val="8_1"/>
      <sheetName val="9_1__Duy_tu_bảo_trì"/>
      <sheetName val="9_2__Cải_tạo,_nâng_cấp"/>
      <sheetName val="10__TSCĐ_-_CCDC"/>
      <sheetName val="11D__Tài_chính_KD_XE_TỔNG"/>
      <sheetName val="11E__Tài_chính_KD_DVPT_TỔNG"/>
      <sheetName val="11A__Tài_chính_SR_KIA"/>
      <sheetName val="11B__Tài_chính_SR_MAZDA"/>
      <sheetName val="11D__Tài_chính_SR_Peugout"/>
      <sheetName val="11C__Tài_chính_SR_TẢI_BUS"/>
      <sheetName val="11D__Tài_chính_SR_Du_lịch"/>
      <sheetName val="11__Tài_chính_Chi_nhánh"/>
      <sheetName val="12__SĐTC"/>
      <sheetName val="극판사양"/>
      <sheetName val="기타부품"/>
      <sheetName val="계산기"/>
      <sheetName val="카탈로그"/>
      <sheetName val="혼합사양"/>
      <sheetName val="1-1"/>
      <sheetName val="検査状況"/>
      <sheetName val="8월발주분석"/>
      <sheetName val="車会集約"/>
      <sheetName val="입력"/>
      <sheetName val="재료비DATA"/>
      <sheetName val="계산결과"/>
      <sheetName val="EQ_BE146"/>
      <sheetName val="Perunit"/>
      <sheetName val="U268 4x4 AT(walk)Mitsu"/>
      <sheetName val="DATA-1"/>
      <sheetName val="종합10"/>
      <sheetName val="0006_FLT_IR_NAME"/>
      <sheetName val="인력변동"/>
      <sheetName val="22(4)"/>
      <sheetName val="13역무손익"/>
      <sheetName val="BS(4)"/>
      <sheetName val="JAPAN"/>
      <sheetName val="제조경비"/>
      <sheetName val="2.Underbody DT"/>
      <sheetName val="2차_OI1"/>
      <sheetName val="HONGKONG"/>
      <sheetName val="北米3in1"/>
      <sheetName val="北米標準ｺﾝﾋﾞ"/>
      <sheetName val="11月"/>
      <sheetName val="FAX (2)"/>
      <sheetName val="改善対策1"/>
      <sheetName val="連絡書"/>
      <sheetName val="評価表1"/>
      <sheetName val="評価表2"/>
      <sheetName val="ﾘｽﾄ"/>
      <sheetName val="66"/>
      <sheetName val="５"/>
      <sheetName val="3-ADJ"/>
      <sheetName val="人员报表"/>
      <sheetName val="993IN1MT"/>
      <sheetName val="初期入力"/>
      <sheetName val="总结"/>
      <sheetName val="改善対策2"/>
      <sheetName val="報告書2"/>
      <sheetName val="総括表"/>
      <sheetName val="XL4Test5"/>
      <sheetName val="メカ部品長期在庫"/>
      <sheetName val="99･00"/>
      <sheetName val="製品版"/>
      <sheetName val="部品版"/>
      <sheetName val="部品リスト"/>
      <sheetName val="_REF_"/>
      <sheetName val="作業)投資資金"/>
      <sheetName val="NMB"/>
      <sheetName val="TFT Attendace"/>
      <sheetName val="0.주광원 LED ASSY"/>
      <sheetName val="maccp04"/>
      <sheetName val="차입금현황(2)"/>
      <sheetName val="품의양식"/>
      <sheetName val="9.초기공정능력조사(을)"/>
      <sheetName val="1-1.연월차 개인별 보전수당"/>
      <sheetName val="제조매출"/>
      <sheetName val="기계"/>
      <sheetName val="PI"/>
      <sheetName val="요인분석"/>
      <sheetName val="월별생산"/>
      <sheetName val="CAL"/>
      <sheetName val="사업계획선가"/>
      <sheetName val="gr_val"/>
      <sheetName val="gr_sum"/>
      <sheetName val="00-Input Values"/>
      <sheetName val="Input Values"/>
      <sheetName val="소급정산"/>
      <sheetName val="WM제어"/>
      <sheetName val="내부비용"/>
      <sheetName val="다솔"/>
      <sheetName val="양지"/>
      <sheetName val="Corp acronym"/>
      <sheetName val="经费预算表02(人事处)"/>
      <sheetName val="손익(기존단가"/>
      <sheetName val="4.销售计划"/>
      <sheetName val="Output 1 (2)"/>
      <sheetName val="telco_p"/>
      <sheetName val="LINE_PPM-분석1"/>
      <sheetName val="Issues_List1"/>
      <sheetName val="REPAIR_DATA_-_CONTAINER_#51"/>
      <sheetName val="노원열병합__건축공사기성내역서1"/>
      <sheetName val="Gia_vat_tu1"/>
      <sheetName val=";_x0000_"/>
      <sheetName val="Danh sach"/>
      <sheetName val="Bang KL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입력 List"/>
      <sheetName val="DO NOT DELETE"/>
      <sheetName val="Calculations"/>
      <sheetName val="IMT-2000"/>
      <sheetName val="기종별 합계"/>
      <sheetName val="CBase"/>
      <sheetName val="18-2"/>
      <sheetName val="수량산출"/>
      <sheetName val="개선대책_양식"/>
      <sheetName val="입력_List"/>
      <sheetName val="Export Data"/>
      <sheetName val="Cost_Reduction9"/>
      <sheetName val="1_2내수10"/>
      <sheetName val="Sheet6_(3)9"/>
      <sheetName val="INVESTMENT_(Hardware)9"/>
      <sheetName val="매출종합_`099"/>
      <sheetName val="신고서_전8"/>
      <sheetName val="Basic_assumptions8"/>
      <sheetName val="0_절삭조건8"/>
      <sheetName val="PFMEA_XLS8"/>
      <sheetName val="영업_일18"/>
      <sheetName val="_PPAP_작성중__xlsx8"/>
      <sheetName val="RELAY_FAX양식8"/>
      <sheetName val="상세_견적서_(HMC)8"/>
      <sheetName val="2008_г8"/>
      <sheetName val="2_중요한회계정책8"/>
      <sheetName val="9_관계기업투자8"/>
      <sheetName val="42_리스8"/>
      <sheetName val="25_법인세8"/>
      <sheetName val="DBL_LPG시험8"/>
      <sheetName val="Proj_List_00E8"/>
      <sheetName val="Bosch_ADVP&amp;R8"/>
      <sheetName val="2012_Volum2"/>
      <sheetName val="Drop-down_Lists1"/>
      <sheetName val="B053_(990701)공정능력PC%계산1"/>
      <sheetName val="P&amp;L_account2"/>
      <sheetName val="Data_Not_Used1"/>
      <sheetName val="FTQ_Data1"/>
      <sheetName val="Int_Pulls_Data1"/>
      <sheetName val="Int_Spills_Data1"/>
      <sheetName val="PPM_Data1"/>
      <sheetName val="Pulls_Data1"/>
      <sheetName val="Spills_Data1"/>
      <sheetName val="기준정보(A)_15_10_271"/>
      <sheetName val="단중_및_예비길이_SHEET_15_9_5(K)1"/>
      <sheetName val="15_1_02_15년_1월예시계획1"/>
      <sheetName val="15년_12월_시작재공품_15_12_31"/>
      <sheetName val="기준정보(A)_12_02_231"/>
      <sheetName val="118_세금과공과1"/>
      <sheetName val="경영재무_(입력)1"/>
      <sheetName val="연구개발_(입력)1"/>
      <sheetName val="일반현황_(입력)1"/>
      <sheetName val="품질관리_(입력)1"/>
      <sheetName val="Z41,Z42_이외total1"/>
      <sheetName val="개선대책_양식1"/>
      <sheetName val="09년_현황2"/>
      <sheetName val="WTC_BODY一覧原紙2"/>
      <sheetName val="GM_Master2"/>
      <sheetName val="J2(P_MT)1"/>
      <sheetName val="제품명_(3)1"/>
      <sheetName val="STD__CAB1"/>
      <sheetName val="STD__NCAB1"/>
      <sheetName val="원소재_변경_상세1"/>
      <sheetName val="직거래가_변경1"/>
      <sheetName val="입력_List1"/>
      <sheetName val="DO_NOT_DELETE"/>
      <sheetName val="Cost_Reduction10"/>
      <sheetName val="1_2내수11"/>
      <sheetName val="Sheet6_(3)10"/>
      <sheetName val="INVESTMENT_(Hardware)10"/>
      <sheetName val="매출종합_`0910"/>
      <sheetName val="신고서_전9"/>
      <sheetName val="Basic_assumptions9"/>
      <sheetName val="B053_(990701)공정실적PP%계산9"/>
      <sheetName val="0_절삭조건9"/>
      <sheetName val="二_POSITION_XLS10"/>
      <sheetName val="1ဲ_ALT10"/>
      <sheetName val="1ဳ_O_S10"/>
      <sheetName val="15_၄AMPER10"/>
      <sheetName val="BACK_DATA_08_7_1~10"/>
      <sheetName val="E_W10"/>
      <sheetName val="P_W10"/>
      <sheetName val="S_W10"/>
      <sheetName val="OPT손익_내수10"/>
      <sheetName val="OPT손익_수출10"/>
      <sheetName val="BACK_DATA10"/>
      <sheetName val="TEMP_TORQUE9"/>
      <sheetName val="126_2559"/>
      <sheetName val="CASE_ASM9"/>
      <sheetName val="14_1부9"/>
      <sheetName val="소상_&quot;1&quot;9"/>
      <sheetName val="검사기준서_을_치수9"/>
      <sheetName val="검사기준서_갑9"/>
      <sheetName val="검사기준서_을9"/>
      <sheetName val="검사협정_갑9"/>
      <sheetName val="검사성적서_갑9"/>
      <sheetName val="검사성적서_을9"/>
      <sheetName val="검사성적서_병9"/>
      <sheetName val="Nego_PV9"/>
      <sheetName val="1_변경범위9"/>
      <sheetName val="팀별_합계9"/>
      <sheetName val="설비능력및_종합공정능력산출시_사용9"/>
      <sheetName val="LAMBDA_자작9"/>
      <sheetName val="PFMEA_XLS9"/>
      <sheetName val="영업_일19"/>
      <sheetName val="_PPAP_작성중__xlsx9"/>
      <sheetName val="RELAY_FAX양식9"/>
      <sheetName val="상세_견적서_(HMC)9"/>
      <sheetName val="2008_г9"/>
      <sheetName val="2_중요한회계정책9"/>
      <sheetName val="9_관계기업투자9"/>
      <sheetName val="42_리스9"/>
      <sheetName val="25_법인세9"/>
      <sheetName val="DBL_LPG시험9"/>
      <sheetName val="Proj_List_00E9"/>
      <sheetName val="Bosch_ADVP&amp;R9"/>
      <sheetName val="2012_Volum3"/>
      <sheetName val="Drop-down_Lists2"/>
      <sheetName val="B053_(990701)공정능력PC%계산2"/>
      <sheetName val="P&amp;L_account3"/>
      <sheetName val="Bas_Moteur5"/>
      <sheetName val="Data_Not_Used2"/>
      <sheetName val="FTQ_Data2"/>
      <sheetName val="Int_Pulls_Data2"/>
      <sheetName val="Int_Spills_Data2"/>
      <sheetName val="PPM_Data2"/>
      <sheetName val="Pulls_Data2"/>
      <sheetName val="Spills_Data2"/>
      <sheetName val="기준정보(A)_15_10_272"/>
      <sheetName val="단중_및_예비길이_SHEET_15_9_5(K)2"/>
      <sheetName val="15_1_02_15년_1월예시계획2"/>
      <sheetName val="15년_12월_시작재공품_15_12_32"/>
      <sheetName val="기준정보(A)_12_02_232"/>
      <sheetName val="118_세금과공과2"/>
      <sheetName val="경영재무_(입력)2"/>
      <sheetName val="연구개발_(입력)2"/>
      <sheetName val="일반현황_(입력)2"/>
      <sheetName val="품질관리_(입력)2"/>
      <sheetName val="노원열병합__건축공사기성내역서2"/>
      <sheetName val="Gia_vat_tu2"/>
      <sheetName val="Z41,Z42_이외total2"/>
      <sheetName val="개선대책_양식2"/>
      <sheetName val="09년_현황3"/>
      <sheetName val="WTC_BODY一覧原紙3"/>
      <sheetName val="GM_Master3"/>
      <sheetName val="J2(P_MT)2"/>
      <sheetName val="제품명_(3)2"/>
      <sheetName val="STD__CAB2"/>
      <sheetName val="STD__NCAB2"/>
      <sheetName val="원소재_변경_상세2"/>
      <sheetName val="직거래가_변경2"/>
      <sheetName val="입력_List2"/>
      <sheetName val="DO_NOT_DELETE1"/>
      <sheetName val="BOX ASSY"/>
      <sheetName val="FOB현황"/>
      <sheetName val="실사LIST-중간가공품(05.12.27현재) (2)"/>
      <sheetName val="54813M2001"/>
      <sheetName val="기초자료입력"/>
      <sheetName val="Controls"/>
      <sheetName val="Material_References"/>
      <sheetName val="4.Financial"/>
      <sheetName val="3_4). FR 종합"/>
      <sheetName val="3_4). RR 종합"/>
      <sheetName val="4R-G"/>
      <sheetName val="5R-G"/>
      <sheetName val="제조5과"/>
      <sheetName val="RFQ Cover Sheeet"/>
      <sheetName val="학교기부"/>
      <sheetName val="드롭"/>
      <sheetName val="UPPER원가"/>
      <sheetName val="품번별"/>
      <sheetName val="全仕向地"/>
      <sheetName val="와이어"/>
      <sheetName val="환산"/>
      <sheetName val="전체팛ĭ"/>
      <sheetName val="BS-E"/>
      <sheetName val="BS요약"/>
      <sheetName val="FRN 02000"/>
      <sheetName val="부서코드표"/>
      <sheetName val="HOU143A"/>
      <sheetName val="Diaph1 values"/>
      <sheetName val="Diaph2 values"/>
      <sheetName val="Diaph values"/>
      <sheetName val="Cushion datas"/>
      <sheetName val="P.O (LOCAL)"/>
      <sheetName val="UPPER 도면"/>
      <sheetName val="Kautex 4WD St.IV P&amp;D"/>
      <sheetName val="Sachs FL WHL"/>
      <sheetName val="개발_TOOL_집계표7"/>
      <sheetName val="경상_개발비7"/>
      <sheetName val="내수1_8GL8"/>
      <sheetName val="운임_환차손-Y9"/>
      <sheetName val="ALPROFILE_발주실적7"/>
      <sheetName val="Sheet1_(2)7"/>
      <sheetName val="계산_DATA_입력7"/>
      <sheetName val="상세_계산_내역7"/>
      <sheetName val="Evaluation_objects8"/>
      <sheetName val="GLOBAL_PT_NEW_FORMAT_OCT_20027"/>
      <sheetName val="MACRO1_XLM7"/>
      <sheetName val="02년_SUC7"/>
      <sheetName val="3__관리점지수실적-1_1생산성7"/>
      <sheetName val="Sec_1_-_RFQ7"/>
      <sheetName val="Sch7a_(토요일)7"/>
      <sheetName val="Rate_data7"/>
      <sheetName val="원단위_전후비교7"/>
      <sheetName val="실적_및_계획7"/>
      <sheetName val="공정능력_(2)7"/>
      <sheetName val="Master_Cable7"/>
      <sheetName val="PRO_(참조)7"/>
      <sheetName val="외주품_감점_유형_기준7"/>
      <sheetName val="제품별_매출1"/>
      <sheetName val="Data_Working_Time1"/>
      <sheetName val="시스템문서관리"/>
      <sheetName val="11403-06163 เก่า"/>
      <sheetName val="FM-HD (New)"/>
      <sheetName val="FM-HD (HKMC) "/>
      <sheetName val="FM-HD (11254-06201)  "/>
      <sheetName val="FM-HD (11251-06163)"/>
      <sheetName val="FM-HD (11514053)"/>
      <sheetName val="FM-HD (11611807)"/>
      <sheetName val="FM-HD (94502003)"/>
      <sheetName val="FM-HD (94501839)"/>
      <sheetName val="FM-HD (PT-GDENG0911-4)"/>
      <sheetName val="FM-HD (94520439)"/>
      <sheetName val="FM-HD (94500396)"/>
      <sheetName val="FM-HD (94500407)"/>
      <sheetName val="FM-HD (94500414)"/>
      <sheetName val="FM-HD (94500073)"/>
      <sheetName val="FM-HD (11588683)"/>
      <sheetName val="FM-HD (94500952)"/>
      <sheetName val="FM-HD (11569995)"/>
      <sheetName val="FM-HD (11254-06201)"/>
      <sheetName val="FM-HD (11588685)"/>
      <sheetName val="FM-HD (94500793) "/>
      <sheetName val="FM-HD (11588717)"/>
      <sheetName val="FM-HD (HD-25198904)"/>
      <sheetName val="FM-HD (HD-11570514) "/>
      <sheetName val="FM-HD (11097441)"/>
      <sheetName val="FM-HD (11588662) "/>
      <sheetName val="FM-HD (11519387)"/>
      <sheetName val="FM-HD (11561969)"/>
      <sheetName val="FM-HD (11516580)"/>
      <sheetName val="FM-HD (11588712)   "/>
      <sheetName val="FM-HD (11519375)"/>
      <sheetName val="FM-HD (FAA32071001)  "/>
      <sheetName val="FM-HD (11519382) "/>
      <sheetName val="FM-HD (11519383) "/>
      <sheetName val="FM-HD (11561763)  "/>
      <sheetName val="FM-HD (11588316)  "/>
      <sheetName val="지사"/>
      <sheetName val="FRT(중량)"/>
      <sheetName val="repeatative rejection"/>
      <sheetName val="사업경"/>
      <sheetName val="Personnaliser..."/>
      <sheetName val="Takt Time"/>
      <sheetName val="64512(갑)"/>
      <sheetName val="FMEA"/>
      <sheetName val="계산서"/>
      <sheetName val="97년"/>
      <sheetName val="비주거용"/>
      <sheetName val="누계"/>
      <sheetName val="F12_BS"/>
      <sheetName val="F3_PL"/>
      <sheetName val="F4_PAJE"/>
      <sheetName val="협력점직원"/>
      <sheetName val="(실사조정)총괄"/>
      <sheetName val="현금및현금등가물1"/>
      <sheetName val="4.경비 5.영업외수지"/>
      <sheetName val="가수금대체"/>
      <sheetName val="운반비"/>
      <sheetName val="모델표준"/>
      <sheetName val="4_3_첨부11"/>
      <sheetName val="OEM_Plan1"/>
      <sheetName val="LINE_운영안"/>
      <sheetName val="원가_종합1"/>
      <sheetName val="After_sales1"/>
      <sheetName val="자동차_종합지표1"/>
      <sheetName val="Order_status"/>
      <sheetName val="Order_status2"/>
      <sheetName val="Customer_Master"/>
      <sheetName val="Common_code"/>
      <sheetName val="Order_Status_Master"/>
      <sheetName val="Product_Master"/>
      <sheetName val="사무용품_신청"/>
      <sheetName val="Validation_Lists"/>
      <sheetName val="Arbeitsfolgeplan"/>
      <sheetName val="Leistungberechnung"/>
      <sheetName val="B053_(990701)공정실적PP%계산10"/>
      <sheetName val="1_변경범위10"/>
      <sheetName val="TEMP_TORQUE10"/>
      <sheetName val="Evaluation_objects9"/>
      <sheetName val="운임_환차손-Y10"/>
      <sheetName val="02년_SUC8"/>
      <sheetName val="내수1_8GL9"/>
      <sheetName val="ALPROFILE_발주실적8"/>
      <sheetName val="MACRO1_XLM8"/>
      <sheetName val="개발_TOOL_집계표8"/>
      <sheetName val="경상_개발비8"/>
      <sheetName val="원단위_전후비교8"/>
      <sheetName val="Sheet1_(2)8"/>
      <sheetName val="외주품_감점_유형_기준8"/>
      <sheetName val="3__관리점지수실적-1_1생산성8"/>
      <sheetName val="실적_및_계획8"/>
      <sheetName val="CAPA분석_360K5"/>
      <sheetName val="GLOBAL_PT_NEW_FORMAT_OCT_20028"/>
      <sheetName val="계산_DATA_입력8"/>
      <sheetName val="상세_계산_내역8"/>
      <sheetName val="Master_Cable8"/>
      <sheetName val="Sec_1_-_RFQ8"/>
      <sheetName val="공정능력_(2)8"/>
      <sheetName val="Sch7a_(토요일)8"/>
      <sheetName val="Rate_data8"/>
      <sheetName val="PRO_(참조)8"/>
      <sheetName val="4_3_첨부12"/>
      <sheetName val="OEM_Plan2"/>
      <sheetName val="LINE_운영안1"/>
      <sheetName val="원가_종합2"/>
      <sheetName val="Interco_&amp;_PVS_Loc_Cur1"/>
      <sheetName val="보강사_소요량1"/>
      <sheetName val="After_sales2"/>
      <sheetName val="자동차_종합지표2"/>
      <sheetName val="Order_status1"/>
      <sheetName val="Order_status21"/>
      <sheetName val="Customer_Master1"/>
      <sheetName val="Common_code1"/>
      <sheetName val="Order_Status_Master1"/>
      <sheetName val="Product_Master1"/>
      <sheetName val="Supplier_QRQC1"/>
      <sheetName val="첨부4_기술평가서1"/>
      <sheetName val="1_2_2완제품검사('00_4월)_(가라)1"/>
      <sheetName val="검사협정_보충1"/>
      <sheetName val="1_기안을지1"/>
      <sheetName val="사무용품_신청1"/>
      <sheetName val="Validation_Lists1"/>
      <sheetName val="★금형비_계산서1"/>
      <sheetName val="LOWSIDE_비교1"/>
      <sheetName val="제품별_매출2"/>
      <sheetName val="Data_Working_Time2"/>
      <sheetName val="11403-06163_เก่า"/>
      <sheetName val="FM-HD_(New)"/>
      <sheetName val="FM-HD_(HKMC)_"/>
      <sheetName val="FM-HD_(11254-06201)__"/>
      <sheetName val="FM-HD_(11251-06163)"/>
      <sheetName val="FM-HD_(11514053)"/>
      <sheetName val="FM-HD_(11611807)"/>
      <sheetName val="FM-HD_(94502003)"/>
      <sheetName val="FM-HD_(94501839)"/>
      <sheetName val="FM-HD_(PT-GDENG0911-4)"/>
      <sheetName val="FM-HD_(94520439)"/>
      <sheetName val="FM-HD_(94500396)"/>
      <sheetName val="FM-HD_(94500407)"/>
      <sheetName val="FM-HD_(94500414)"/>
      <sheetName val="FM-HD_(94500073)"/>
      <sheetName val="FM-HD_(11588683)"/>
      <sheetName val="FM-HD_(94500952)"/>
      <sheetName val="FM-HD_(11569995)"/>
      <sheetName val="FM-HD_(11254-06201)"/>
      <sheetName val="FM-HD_(11588685)"/>
      <sheetName val="FM-HD_(94500793)_"/>
      <sheetName val="FM-HD_(11588717)"/>
      <sheetName val="FM-HD_(HD-25198904)"/>
      <sheetName val="FM-HD_(HD-11570514)_"/>
      <sheetName val="FM-HD_(11097441)"/>
      <sheetName val="FM-HD_(11588662)_"/>
      <sheetName val="FM-HD_(11519387)"/>
      <sheetName val="FM-HD_(11561969)"/>
      <sheetName val="FM-HD_(11516580)"/>
      <sheetName val="FM-HD_(11588712)___"/>
      <sheetName val="FM-HD_(11519375)"/>
      <sheetName val="FM-HD_(FAA32071001)__"/>
      <sheetName val="FM-HD_(11519382)_"/>
      <sheetName val="FM-HD_(11519383)_"/>
      <sheetName val="FM-HD_(11561763)__"/>
      <sheetName val="FM-HD_(11588316)__"/>
      <sheetName val="二_POSITION_XLS11"/>
      <sheetName val="1ဲ_ALT11"/>
      <sheetName val="1ဳ_O_S11"/>
      <sheetName val="15_၄AMPER11"/>
      <sheetName val="OPT손익_내수11"/>
      <sheetName val="OPT손익_수출11"/>
      <sheetName val="BACK_DATA_08_7_1~11"/>
      <sheetName val="E_W11"/>
      <sheetName val="P_W11"/>
      <sheetName val="S_W11"/>
      <sheetName val="BACK_DATA11"/>
      <sheetName val="CASE_ASM10"/>
      <sheetName val="14_1부10"/>
      <sheetName val="B053_(990701)공정실적PP%계산11"/>
      <sheetName val="1_변경범위11"/>
      <sheetName val="TEMP_TORQUE11"/>
      <sheetName val="Evaluation_objects10"/>
      <sheetName val="LAMBDA_자작10"/>
      <sheetName val="설비능력및_종합공정능력산출시_사용10"/>
      <sheetName val="126_25510"/>
      <sheetName val="Nego_PV10"/>
      <sheetName val="소상_&quot;1&quot;10"/>
      <sheetName val="검사기준서_을_치수10"/>
      <sheetName val="검사기준서_갑10"/>
      <sheetName val="검사기준서_을10"/>
      <sheetName val="검사협정_갑10"/>
      <sheetName val="검사성적서_갑10"/>
      <sheetName val="검사성적서_을10"/>
      <sheetName val="검사성적서_병10"/>
      <sheetName val="팀별_합계10"/>
      <sheetName val="운임_환차손-Y11"/>
      <sheetName val="02년_SUC9"/>
      <sheetName val="내수1_8GL10"/>
      <sheetName val="ALPROFILE_발주실적9"/>
      <sheetName val="PRESS_DATA9"/>
      <sheetName val="MACRO1_XLM9"/>
      <sheetName val="개발_TOOL_집계표9"/>
      <sheetName val="경상_개발비9"/>
      <sheetName val="X-3_ENG9"/>
      <sheetName val="원단위_전후비교9"/>
      <sheetName val="Sheet1_(2)9"/>
      <sheetName val="외주품_감점_유형_기준9"/>
      <sheetName val="3__관리점지수실적-1_1생산성9"/>
      <sheetName val="실적_및_계획9"/>
      <sheetName val="CAPA분석_360K6"/>
      <sheetName val="GLOBAL_PT_NEW_FORMAT_OCT_20029"/>
      <sheetName val="계산_DATA_입력9"/>
      <sheetName val="상세_계산_내역9"/>
      <sheetName val="Master_Cable9"/>
      <sheetName val="Sec_1_-_RFQ9"/>
      <sheetName val="공정능력_(2)9"/>
      <sheetName val="Sch7a_(토요일)9"/>
      <sheetName val="Rate_data9"/>
      <sheetName val="PRO_(참조)9"/>
      <sheetName val="4_3_첨부13"/>
      <sheetName val="OEM_Plan3"/>
      <sheetName val="제품명_(3)3"/>
      <sheetName val="LINE_운영안2"/>
      <sheetName val="원가_종합3"/>
      <sheetName val="Interco_&amp;_PVS_Loc_Cur2"/>
      <sheetName val="보강사_소요량2"/>
      <sheetName val="After_sales3"/>
      <sheetName val="자동차_종합지표3"/>
      <sheetName val="Order_status3"/>
      <sheetName val="Order_status22"/>
      <sheetName val="Customer_Master2"/>
      <sheetName val="Common_code2"/>
      <sheetName val="Order_Status_Master2"/>
      <sheetName val="Product_Master2"/>
      <sheetName val="3_3검토국2"/>
      <sheetName val="Supplier_QRQC2"/>
      <sheetName val="97계획(96_112"/>
      <sheetName val="첨부4_기술평가서2"/>
      <sheetName val="1_2_2완제품검사('00_4월)_(가라)2"/>
      <sheetName val="검사협정_보충2"/>
      <sheetName val="1_기안을지2"/>
      <sheetName val="사무용품_신청2"/>
      <sheetName val="Validation_Lists2"/>
      <sheetName val="★금형비_계산서2"/>
      <sheetName val="LOWSIDE_비교2"/>
      <sheetName val="PS_SIDE_OTR_INR_공정개선_상세1"/>
      <sheetName val="제품별_매출3"/>
      <sheetName val="Data_Working_Time3"/>
      <sheetName val="원단위_1계_2계1"/>
      <sheetName val="11403-06163_เก่า1"/>
      <sheetName val="FM-HD_(New)1"/>
      <sheetName val="FM-HD_(HKMC)_1"/>
      <sheetName val="FM-HD_(11254-06201)__1"/>
      <sheetName val="FM-HD_(11251-06163)1"/>
      <sheetName val="FM-HD_(11514053)1"/>
      <sheetName val="FM-HD_(11611807)1"/>
      <sheetName val="FM-HD_(94502003)1"/>
      <sheetName val="FM-HD_(94501839)1"/>
      <sheetName val="FM-HD_(PT-GDENG0911-4)1"/>
      <sheetName val="FM-HD_(94520439)1"/>
      <sheetName val="FM-HD_(94500396)1"/>
      <sheetName val="FM-HD_(94500407)1"/>
      <sheetName val="FM-HD_(94500414)1"/>
      <sheetName val="FM-HD_(94500073)1"/>
      <sheetName val="FM-HD_(11588683)1"/>
      <sheetName val="FM-HD_(94500952)1"/>
      <sheetName val="FM-HD_(11569995)1"/>
      <sheetName val="FM-HD_(11254-06201)1"/>
      <sheetName val="FM-HD_(11588685)1"/>
      <sheetName val="FM-HD_(94500793)_1"/>
      <sheetName val="FM-HD_(11588717)1"/>
      <sheetName val="FM-HD_(HD-25198904)1"/>
      <sheetName val="FM-HD_(HD-11570514)_1"/>
      <sheetName val="FM-HD_(11097441)1"/>
      <sheetName val="FM-HD_(11588662)_1"/>
      <sheetName val="FM-HD_(11519387)1"/>
      <sheetName val="FM-HD_(11561969)1"/>
      <sheetName val="FM-HD_(11516580)1"/>
      <sheetName val="FM-HD_(11588712)___1"/>
      <sheetName val="FM-HD_(11519375)1"/>
      <sheetName val="FM-HD_(FAA32071001)__1"/>
      <sheetName val="FM-HD_(11519382)_1"/>
      <sheetName val="FM-HD_(11519383)_1"/>
      <sheetName val="FM-HD_(11561763)__1"/>
      <sheetName val="FM-HD_(11588316)__1"/>
      <sheetName val="二_POSITION_XLS12"/>
      <sheetName val="1ဲ_ALT12"/>
      <sheetName val="1ဳ_O_S12"/>
      <sheetName val="15_၄AMPER12"/>
      <sheetName val="OPT손익_내수12"/>
      <sheetName val="OPT손익_수출12"/>
      <sheetName val="BACK_DATA_08_7_1~12"/>
      <sheetName val="E_W12"/>
      <sheetName val="P_W12"/>
      <sheetName val="S_W12"/>
      <sheetName val="BACK_DATA12"/>
      <sheetName val="CASE_ASM11"/>
      <sheetName val="14_1부11"/>
      <sheetName val="B053_(990701)공정실적PP%계산12"/>
      <sheetName val="1_변경범위12"/>
      <sheetName val="TEMP_TORQUE12"/>
      <sheetName val="Evaluation_objects11"/>
      <sheetName val="LAMBDA_자작11"/>
      <sheetName val="설비능력및_종합공정능력산출시_사용11"/>
      <sheetName val="126_25511"/>
      <sheetName val="Nego_PV11"/>
      <sheetName val="매출종합_`0911"/>
      <sheetName val="소상_&quot;1&quot;11"/>
      <sheetName val="검사기준서_을_치수11"/>
      <sheetName val="검사기준서_갑11"/>
      <sheetName val="검사기준서_을11"/>
      <sheetName val="검사협정_갑11"/>
      <sheetName val="검사성적서_갑11"/>
      <sheetName val="검사성적서_을11"/>
      <sheetName val="검사성적서_병11"/>
      <sheetName val="팀별_합계11"/>
      <sheetName val="운임_환차손-Y12"/>
      <sheetName val="02년_SUC10"/>
      <sheetName val="내수1_8GL11"/>
      <sheetName val="ALPROFILE_발주실적10"/>
      <sheetName val="PRESS_DATA10"/>
      <sheetName val="MACRO1_XLM10"/>
      <sheetName val="개발_TOOL_집계표10"/>
      <sheetName val="경상_개발비10"/>
      <sheetName val="X-3_ENG10"/>
      <sheetName val="원단위_전후비교10"/>
      <sheetName val="Sheet1_(2)10"/>
      <sheetName val="외주품_감점_유형_기준10"/>
      <sheetName val="3__관리점지수실적-1_1생산성10"/>
      <sheetName val="실적_및_계획10"/>
      <sheetName val="Bosch_ADVP&amp;R10"/>
      <sheetName val="CAPA분석_360K7"/>
      <sheetName val="GLOBAL_PT_NEW_FORMAT_OCT_200210"/>
      <sheetName val="계산_DATA_입력10"/>
      <sheetName val="상세_계산_내역10"/>
      <sheetName val="FLOW_PROSES_(A)7"/>
      <sheetName val="Master_Cable10"/>
      <sheetName val="Sec_1_-_RFQ10"/>
      <sheetName val="공정능력_(2)10"/>
      <sheetName val="Sch7a_(토요일)10"/>
      <sheetName val="Rate_data10"/>
      <sheetName val="PRO_(참조)10"/>
      <sheetName val="4_3_첨부14"/>
      <sheetName val="OEM_Plan4"/>
      <sheetName val="제품명_(3)4"/>
      <sheetName val="LINE_운영안3"/>
      <sheetName val="원가_종합4"/>
      <sheetName val="GM_Master4"/>
      <sheetName val="Interco_&amp;_PVS_Loc_Cur3"/>
      <sheetName val="RFQ_18044"/>
      <sheetName val="보강사_소요량3"/>
      <sheetName val="J2(P_MT)3"/>
      <sheetName val="After_sales4"/>
      <sheetName val="자동차_종합지표4"/>
      <sheetName val="Order_status4"/>
      <sheetName val="Order_status23"/>
      <sheetName val="Customer_Master3"/>
      <sheetName val="Common_code3"/>
      <sheetName val="Order_Status_Master3"/>
      <sheetName val="Product_Master3"/>
      <sheetName val="3_3검토국3"/>
      <sheetName val="Supplier_QRQC3"/>
      <sheetName val="97계획(96_113"/>
      <sheetName val="첨부4_기술평가서3"/>
      <sheetName val="1_2_2완제품검사('00_4월)_(가라)3"/>
      <sheetName val="09년_현황4"/>
      <sheetName val="WTC_BODY一覧原紙4"/>
      <sheetName val="검사협정_보충3"/>
      <sheetName val="2012_Volum4"/>
      <sheetName val="B053_(990701)공정능력PC%계산3"/>
      <sheetName val="P&amp;L_account4"/>
      <sheetName val="118_세금과공과3"/>
      <sheetName val="경영재무_(입력)3"/>
      <sheetName val="연구개발_(입력)3"/>
      <sheetName val="일반현황_(입력)3"/>
      <sheetName val="품질관리_(입력)3"/>
      <sheetName val="Drop-down_Lists3"/>
      <sheetName val="1_기안을지3"/>
      <sheetName val="사무용품_신청3"/>
      <sheetName val="Validation_Lists3"/>
      <sheetName val="★금형비_계산서3"/>
      <sheetName val="LOWSIDE_비교3"/>
      <sheetName val="PS_SIDE_OTR_INR_공정개선_상세2"/>
      <sheetName val="제품별_매출4"/>
      <sheetName val="Data_Working_Time4"/>
      <sheetName val="Z41,Z42_이외total3"/>
      <sheetName val="원단위_1계_2계2"/>
      <sheetName val="11403-06163_เก่า2"/>
      <sheetName val="FM-HD_(New)2"/>
      <sheetName val="FM-HD_(HKMC)_2"/>
      <sheetName val="FM-HD_(11254-06201)__2"/>
      <sheetName val="FM-HD_(11251-06163)2"/>
      <sheetName val="FM-HD_(11514053)2"/>
      <sheetName val="FM-HD_(11611807)2"/>
      <sheetName val="FM-HD_(94502003)2"/>
      <sheetName val="FM-HD_(94501839)2"/>
      <sheetName val="FM-HD_(PT-GDENG0911-4)2"/>
      <sheetName val="FM-HD_(94520439)2"/>
      <sheetName val="FM-HD_(94500396)2"/>
      <sheetName val="FM-HD_(94500407)2"/>
      <sheetName val="FM-HD_(94500414)2"/>
      <sheetName val="FM-HD_(94500073)2"/>
      <sheetName val="FM-HD_(11588683)2"/>
      <sheetName val="FM-HD_(94500952)2"/>
      <sheetName val="FM-HD_(11569995)2"/>
      <sheetName val="FM-HD_(11254-06201)2"/>
      <sheetName val="FM-HD_(11588685)2"/>
      <sheetName val="FM-HD_(94500793)_2"/>
      <sheetName val="FM-HD_(11588717)2"/>
      <sheetName val="FM-HD_(HD-25198904)2"/>
      <sheetName val="FM-HD_(HD-11570514)_2"/>
      <sheetName val="FM-HD_(11097441)2"/>
      <sheetName val="FM-HD_(11588662)_2"/>
      <sheetName val="FM-HD_(11519387)2"/>
      <sheetName val="FM-HD_(11561969)2"/>
      <sheetName val="FM-HD_(11516580)2"/>
      <sheetName val="FM-HD_(11588712)___2"/>
      <sheetName val="FM-HD_(11519375)2"/>
      <sheetName val="FM-HD_(FAA32071001)__2"/>
      <sheetName val="FM-HD_(11519382)_2"/>
      <sheetName val="FM-HD_(11519383)_2"/>
      <sheetName val="FM-HD_(11561763)__2"/>
      <sheetName val="FM-HD_(11588316)__2"/>
      <sheetName val="二_POSITION_XLS13"/>
      <sheetName val="1ဲ_ALT13"/>
      <sheetName val="1ဳ_O_S13"/>
      <sheetName val="15_၄AMPER13"/>
      <sheetName val="GB-IC_Villingen_GG13"/>
      <sheetName val="OPT손익_내수13"/>
      <sheetName val="OPT손익_수출13"/>
      <sheetName val="BACK_DATA_08_7_1~13"/>
      <sheetName val="E_W13"/>
      <sheetName val="P_W13"/>
      <sheetName val="S_W13"/>
      <sheetName val="BACK_DATA13"/>
      <sheetName val="CASE_ASM12"/>
      <sheetName val="5_세운W-A13"/>
      <sheetName val="14_1부12"/>
      <sheetName val="B053_(990701)공정실적PP%계산13"/>
      <sheetName val="1_변경범위13"/>
      <sheetName val="TEMP_TORQUE13"/>
      <sheetName val="Evaluation_objects12"/>
      <sheetName val="LAMBDA_자작12"/>
      <sheetName val="설비능력및_종합공정능력산출시_사용12"/>
      <sheetName val="126_25512"/>
      <sheetName val="Nego_PV12"/>
      <sheetName val="매출종합_`0912"/>
      <sheetName val="소상_&quot;1&quot;12"/>
      <sheetName val="검사기준서_을_치수12"/>
      <sheetName val="검사기준서_갑12"/>
      <sheetName val="검사기준서_을12"/>
      <sheetName val="검사협정_갑12"/>
      <sheetName val="검사성적서_갑12"/>
      <sheetName val="검사성적서_을12"/>
      <sheetName val="검사성적서_병12"/>
      <sheetName val="팀별_합계12"/>
      <sheetName val="운임_환차손-Y13"/>
      <sheetName val="02년_SUC11"/>
      <sheetName val="내수1_8GL12"/>
      <sheetName val="ALPROFILE_발주실적11"/>
      <sheetName val="PRESS_DATA11"/>
      <sheetName val="MACRO1_XLM11"/>
      <sheetName val="개발_TOOL_집계표11"/>
      <sheetName val="경상_개발비11"/>
      <sheetName val="X-3_ENG11"/>
      <sheetName val="원단위_전후비교11"/>
      <sheetName val="Sheet1_(2)11"/>
      <sheetName val="Sheet6_(3)11"/>
      <sheetName val="외주품_감점_유형_기준11"/>
      <sheetName val="3__관리점지수실적-1_1생산성11"/>
      <sheetName val="실적_및_계획11"/>
      <sheetName val="Bosch_ADVP&amp;R11"/>
      <sheetName val="CAPA분석_360K8"/>
      <sheetName val="Cost_Reduction11"/>
      <sheetName val="GLOBAL_PT_NEW_FORMAT_OCT_200211"/>
      <sheetName val="계산_DATA_입력11"/>
      <sheetName val="상세_계산_내역11"/>
      <sheetName val="FLOW_PROSES_(A)8"/>
      <sheetName val="Master_Cable11"/>
      <sheetName val="_SR3차원단위_(3)5"/>
      <sheetName val="ERP도입후_시정현황5"/>
      <sheetName val="6_N_m_CCW_전류5"/>
      <sheetName val="Purchasing_Data5"/>
      <sheetName val="Sec_1_-_RFQ11"/>
      <sheetName val="공정능력_(2)11"/>
      <sheetName val="Sch7a_(토요일)11"/>
      <sheetName val="c_db18"/>
      <sheetName val="Rate_data11"/>
      <sheetName val="대외공문_5"/>
      <sheetName val="PRO_(참조)11"/>
      <sheetName val="4_3_첨부15"/>
      <sheetName val="업무분장_5"/>
      <sheetName val="GLOBAL_PT_NEW_FORMAT_JULY__2006"/>
      <sheetName val="OEM_Plan5"/>
      <sheetName val="제품명_(3)5"/>
      <sheetName val="LINE_운영안4"/>
      <sheetName val="원가_종합5"/>
      <sheetName val="공정별공법-W_HSE-LH5"/>
      <sheetName val="GM_Master5"/>
      <sheetName val="3_PT개발계획5"/>
      <sheetName val="Interco_&amp;_PVS_Loc_Cur4"/>
      <sheetName val="RFQ_18045"/>
      <sheetName val="보강사_소요량4"/>
      <sheetName val="J2(P_MT)4"/>
      <sheetName val="After_sales5"/>
      <sheetName val="고객불만_건5"/>
      <sheetName val="자동차_종합지표5"/>
      <sheetName val="Order_status5"/>
      <sheetName val="Order_status24"/>
      <sheetName val="Customer_Master4"/>
      <sheetName val="Common_code4"/>
      <sheetName val="Order_Status_Master4"/>
      <sheetName val="Product_Master4"/>
      <sheetName val="3_3검토국4"/>
      <sheetName val="Supplier_QRQC4"/>
      <sheetName val="97계획(96_114"/>
      <sheetName val="첨부4_기술평가서4"/>
      <sheetName val="1_2_2완제품검사('00_4월)_(가라)4"/>
      <sheetName val="09년_현황5"/>
      <sheetName val="WTC_BODY一覧原紙5"/>
      <sheetName val="3월말_장기악성(국내)5"/>
      <sheetName val="2월말_장기악성(국내)5"/>
      <sheetName val="검사협정_보충4"/>
      <sheetName val="2012_Volum5"/>
      <sheetName val="B053_(990701)공정능력PC%계산4"/>
      <sheetName val="P&amp;L_account5"/>
      <sheetName val="118_세금과공과4"/>
      <sheetName val="경영재무_(입력)4"/>
      <sheetName val="연구개발_(입력)4"/>
      <sheetName val="일반현황_(입력)4"/>
      <sheetName val="품질관리_(입력)4"/>
      <sheetName val="Drop-down_Lists4"/>
      <sheetName val="1_기안을지4"/>
      <sheetName val="사무용품_신청4"/>
      <sheetName val="Validation_Lists4"/>
      <sheetName val="★금형비_계산서4"/>
      <sheetName val="LOWSIDE_비교4"/>
      <sheetName val="PS_SIDE_OTR_INR_공정개선_상세3"/>
      <sheetName val="제품별_매출5"/>
      <sheetName val="Data_Working_Time5"/>
      <sheetName val="Z41,Z42_이외total4"/>
      <sheetName val="원단위_1계_2계3"/>
      <sheetName val="11403-06163_เก่า3"/>
      <sheetName val="FM-HD_(New)3"/>
      <sheetName val="FM-HD_(HKMC)_3"/>
      <sheetName val="FM-HD_(11254-06201)__3"/>
      <sheetName val="FM-HD_(11251-06163)3"/>
      <sheetName val="FM-HD_(11514053)3"/>
      <sheetName val="FM-HD_(11611807)3"/>
      <sheetName val="FM-HD_(94502003)3"/>
      <sheetName val="FM-HD_(94501839)3"/>
      <sheetName val="FM-HD_(PT-GDENG0911-4)3"/>
      <sheetName val="FM-HD_(94520439)3"/>
      <sheetName val="FM-HD_(94500396)3"/>
      <sheetName val="FM-HD_(94500407)3"/>
      <sheetName val="FM-HD_(94500414)3"/>
      <sheetName val="FM-HD_(94500073)3"/>
      <sheetName val="FM-HD_(11588683)3"/>
      <sheetName val="FM-HD_(94500952)3"/>
      <sheetName val="FM-HD_(11569995)3"/>
      <sheetName val="FM-HD_(11254-06201)3"/>
      <sheetName val="FM-HD_(11588685)3"/>
      <sheetName val="FM-HD_(94500793)_3"/>
      <sheetName val="FM-HD_(11588717)3"/>
      <sheetName val="FM-HD_(HD-25198904)3"/>
      <sheetName val="FM-HD_(HD-11570514)_3"/>
      <sheetName val="FM-HD_(11097441)3"/>
      <sheetName val="FM-HD_(11588662)_3"/>
      <sheetName val="FM-HD_(11519387)3"/>
      <sheetName val="FM-HD_(11561969)3"/>
      <sheetName val="FM-HD_(11516580)3"/>
      <sheetName val="FM-HD_(11588712)___3"/>
      <sheetName val="FM-HD_(11519375)3"/>
      <sheetName val="FM-HD_(FAA32071001)__3"/>
      <sheetName val="FM-HD_(11519382)_3"/>
      <sheetName val="FM-HD_(11519383)_3"/>
      <sheetName val="FM-HD_(11561763)__3"/>
      <sheetName val="FM-HD_(11588316)__3"/>
      <sheetName val="교육훈련절차서"/>
      <sheetName val="승용STEEL"/>
      <sheetName val="설계내역서"/>
      <sheetName val="J1"/>
      <sheetName val="Sch1 - P&amp;L Summary"/>
      <sheetName val="Sch2 - BalSht Summary"/>
      <sheetName val="Sch3 - CFlow Summary"/>
      <sheetName val="부품계산"/>
      <sheetName val="숨기기2-목록"/>
      <sheetName val="Model Synthesis Report"/>
      <sheetName val="A9AEDN01"/>
      <sheetName val="Börskurser"/>
      <sheetName val="대우"/>
      <sheetName val="삼성(중)"/>
      <sheetName val="삼성(자)"/>
      <sheetName val="실적1"/>
      <sheetName val="실적2"/>
      <sheetName val="실적3"/>
      <sheetName val="실적4"/>
      <sheetName val="실적5"/>
      <sheetName val="실적6"/>
      <sheetName val="실적7"/>
      <sheetName val="실적8"/>
      <sheetName val="2019년 생산수량"/>
      <sheetName val="19년 종합 CT"/>
      <sheetName val="Q302"/>
      <sheetName val="打分表"/>
      <sheetName val="팀코드"/>
      <sheetName val="관리데이터목록"/>
      <sheetName val="완제품구성표"/>
      <sheetName val="프레스품"/>
      <sheetName val="금형대장"/>
      <sheetName val="AD원"/>
      <sheetName val="TPR"/>
      <sheetName val="LIBRARY"/>
      <sheetName val="C10怰䈽셋"/>
      <sheetName val="A6"/>
      <sheetName val="delta impedance(평균)"/>
      <sheetName val="INDUSTRIAL(I)"/>
      <sheetName val="INDUSTRIAL(II)"/>
      <sheetName val="SUST DEV &amp; OTHER"/>
      <sheetName val="OEM "/>
      <sheetName val="August 2003"/>
      <sheetName val="OE UMC"/>
      <sheetName val="Analysis-Others Pg 4"/>
      <sheetName val="latest"/>
      <sheetName val="le_data"/>
      <sheetName val="MASTER_OE"/>
      <sheetName val="Fx Rates"/>
      <sheetName val="FY 12_Interiors Volume"/>
      <sheetName val="FY12_PP_Sales"/>
      <sheetName val="INT_Price_FY12 MFC"/>
      <sheetName val="TRW원가"/>
      <sheetName val="0"/>
      <sheetName val="DONGIA"/>
      <sheetName val="強度 CN A1 C10H 152H"/>
      <sheetName val="II. CF"/>
      <sheetName val="I. Assumptions"/>
      <sheetName val="PROJ"/>
      <sheetName val="◀양식(PAD)"/>
      <sheetName val="국가DATA"/>
      <sheetName val="CONN.조립"/>
      <sheetName val="재료비내역"/>
      <sheetName val="Mname"/>
      <sheetName val="1_TM14"/>
      <sheetName val="2_align14"/>
      <sheetName val="3_JUDDER14"/>
      <sheetName val="4_M_S14"/>
      <sheetName val="5_P_W_R14"/>
      <sheetName val="6_F_G14"/>
      <sheetName val="7__SCABLE14"/>
      <sheetName val="8_DIFF14"/>
      <sheetName val="9_A_C14"/>
      <sheetName val="10_GEAR14"/>
      <sheetName val="11_ISC14"/>
      <sheetName val="12_ALT14"/>
      <sheetName val="13_O_S14"/>
      <sheetName val="14_silencer14"/>
      <sheetName val="15_DAMPER14"/>
      <sheetName val="16_HUB14"/>
      <sheetName val="17_DLOCK14"/>
      <sheetName val="18_PSP14"/>
      <sheetName val="19_누수14"/>
      <sheetName val="20_K_S14"/>
      <sheetName val="二_POSITION_XLS14"/>
      <sheetName val="1ဲ_ALT14"/>
      <sheetName val="1ဳ_O_S14"/>
      <sheetName val="15_၄AMPER14"/>
      <sheetName val="GB-IC_Villingen_GG14"/>
      <sheetName val="OPT손익_내수14"/>
      <sheetName val="OPT손익_수출14"/>
      <sheetName val="JT3_0견적-구113"/>
      <sheetName val="BACK_DATA_08_7_1~14"/>
      <sheetName val="E_W14"/>
      <sheetName val="P_W14"/>
      <sheetName val="S_W14"/>
      <sheetName val="BACK_DATA14"/>
      <sheetName val="CASE_ASM13"/>
      <sheetName val="외주현황_wq114"/>
      <sheetName val="5_세운W-A14"/>
      <sheetName val="14_1부13"/>
      <sheetName val="B053_(990701)공정실적PP%계산14"/>
      <sheetName val="2_대외공문14"/>
      <sheetName val="1_변경범위14"/>
      <sheetName val="TEMP_TORQUE14"/>
      <sheetName val="Evaluation_objects13"/>
      <sheetName val="LAMBDA_자작13"/>
      <sheetName val="설비능력및_종합공정능력산출시_사용13"/>
      <sheetName val="LX3_0_RR13"/>
      <sheetName val="진행_DATA_(2)14"/>
      <sheetName val="126_25513"/>
      <sheetName val="SUB_2월_재검사추이도13"/>
      <sheetName val="c_db19"/>
      <sheetName val="Nego_PV13"/>
      <sheetName val="매출종합_`0913"/>
      <sheetName val="소상_&quot;1&quot;13"/>
      <sheetName val="검사기준서_을_치수13"/>
      <sheetName val="검사기준서_갑13"/>
      <sheetName val="검사기준서_을13"/>
      <sheetName val="검사협정_갑13"/>
      <sheetName val="검사성적서_갑13"/>
      <sheetName val="검사성적서_을13"/>
      <sheetName val="검사성적서_병13"/>
      <sheetName val="팀별_합계13"/>
      <sheetName val="운임_환차손-Y14"/>
      <sheetName val="02년_SUC12"/>
      <sheetName val="내수1_8GL13"/>
      <sheetName val="ALPROFILE_발주실적12"/>
      <sheetName val="PRESS_DATA12"/>
      <sheetName val="MACRO1_XLM12"/>
      <sheetName val="개발_TOOL_집계표12"/>
      <sheetName val="경상_개발비12"/>
      <sheetName val="X-3_ENG12"/>
      <sheetName val="원단위_전후비교12"/>
      <sheetName val="Sheet1_(2)12"/>
      <sheetName val="Sheet6_(3)12"/>
      <sheetName val="외주품_감점_유형_기준12"/>
      <sheetName val="3-2_귀책부서별_DT현황13"/>
      <sheetName val="1_2내수12"/>
      <sheetName val="3__관리점지수실적-1_1생산성12"/>
      <sheetName val="실적_및_계획12"/>
      <sheetName val="Bosch_ADVP&amp;R12"/>
      <sheetName val="CAPA분석_360K9"/>
      <sheetName val="Cost_Reduction12"/>
      <sheetName val="GLOBAL_PT_NEW_FORMAT_OCT_200212"/>
      <sheetName val="계산_DATA_입력12"/>
      <sheetName val="상세_계산_내역12"/>
      <sheetName val="FLOW_PROSES_(A)9"/>
      <sheetName val="Master_Cable12"/>
      <sheetName val="_SR3차원단위_(3)6"/>
      <sheetName val="ERP도입후_시정현황6"/>
      <sheetName val="6_N_m_CCW_전류6"/>
      <sheetName val="Purchasing_Data6"/>
      <sheetName val="Sec_1_-_RFQ12"/>
      <sheetName val="공정능력_(2)12"/>
      <sheetName val="Sch7a_(토요일)12"/>
      <sheetName val="c_db110"/>
      <sheetName val="Rate_data12"/>
      <sheetName val="대외공문_6"/>
      <sheetName val="PRO_(참조)12"/>
      <sheetName val="Actual_In_&amp;_Out5"/>
      <sheetName val="4_3_첨부16"/>
      <sheetName val="업무분장_6"/>
      <sheetName val="GLOBAL_PT_NEW_FORMAT_JULY__2007"/>
      <sheetName val="OEM_Plan6"/>
      <sheetName val="제품명_(3)6"/>
      <sheetName val="LINE_운영안5"/>
      <sheetName val="원가_종합6"/>
      <sheetName val="공정별공법-W_HSE-LH6"/>
      <sheetName val="GM_Master6"/>
      <sheetName val="3_PT개발계획6"/>
      <sheetName val="Interco_&amp;_PVS_Loc_Cur5"/>
      <sheetName val="RFQ_18046"/>
      <sheetName val="full_(2)5"/>
      <sheetName val="보강사_소요량5"/>
      <sheetName val="J2(P_MT)5"/>
      <sheetName val="After_sales6"/>
      <sheetName val="고객불만_건6"/>
      <sheetName val="Moulding_data5"/>
      <sheetName val="자동차_종합지표6"/>
      <sheetName val="Order_status6"/>
      <sheetName val="Order_status25"/>
      <sheetName val="Customer_Master5"/>
      <sheetName val="Common_code5"/>
      <sheetName val="Order_Status_Master5"/>
      <sheetName val="Product_Master5"/>
      <sheetName val="3_3검토국5"/>
      <sheetName val="DV_Flow_Chart_DV-PV1_(PFC)6"/>
      <sheetName val="MATEMST_(2)5"/>
      <sheetName val="Supplier_QRQC5"/>
      <sheetName val="97계획(96_115"/>
      <sheetName val="첨부4_기술평가서5"/>
      <sheetName val="1_2_2완제품검사('00_4월)_(가라)5"/>
      <sheetName val="09년_현황6"/>
      <sheetName val="WTC_BODY一覧原紙6"/>
      <sheetName val="3월말_장기악성(국내)6"/>
      <sheetName val="2월말_장기악성(국내)6"/>
      <sheetName val="검사협정_보충5"/>
      <sheetName val="2012_Volum6"/>
      <sheetName val="B053_(990701)공정능력PC%계산5"/>
      <sheetName val="P&amp;L_account6"/>
      <sheetName val="국내_5"/>
      <sheetName val="4,5공장_5"/>
      <sheetName val="시트_5"/>
      <sheetName val="VERTICAL_PIPE5"/>
      <sheetName val="TABLE_DB5"/>
      <sheetName val="쌍용_data_base5"/>
      <sheetName val="2과_공수집계5"/>
      <sheetName val="118_세금과공과5"/>
      <sheetName val="경영재무_(입력)5"/>
      <sheetName val="연구개발_(입력)5"/>
      <sheetName val="일반현황_(입력)5"/>
      <sheetName val="품질관리_(입력)5"/>
      <sheetName val="무부하_회전수6"/>
      <sheetName val="진행중_설변6"/>
      <sheetName val="HOLE_9905(1)6"/>
      <sheetName val="TEAM하반기_계획_(2)5"/>
      <sheetName val="YOKE-H(10_3)5"/>
      <sheetName val="▶R_C_FRM5"/>
      <sheetName val="광주_소요량5"/>
      <sheetName val="5-Why_Root_Cause_Analysis_5"/>
      <sheetName val="초_성5"/>
      <sheetName val="CHECK_성5"/>
      <sheetName val="cpk_data5"/>
      <sheetName val="Drop-down_Lists5"/>
      <sheetName val="1_기안을지5"/>
      <sheetName val="사무용품_신청5"/>
      <sheetName val="Validation_Lists5"/>
      <sheetName val="★금형비_계산서5"/>
      <sheetName val="LOWSIDE_비교5"/>
      <sheetName val="4_Vendor_price5"/>
      <sheetName val="14년_증판안_판촉5"/>
      <sheetName val="PS_SIDE_OTR_INR_공정개선_상세4"/>
      <sheetName val="제품별_매출6"/>
      <sheetName val="Data_Working_Time6"/>
      <sheetName val="Z41,Z42_이외total5"/>
      <sheetName val="원단위_1계_2계4"/>
      <sheetName val="11403-06163_เก่า4"/>
      <sheetName val="FM-HD_(New)4"/>
      <sheetName val="FM-HD_(HKMC)_4"/>
      <sheetName val="FM-HD_(11254-06201)__4"/>
      <sheetName val="FM-HD_(11251-06163)4"/>
      <sheetName val="FM-HD_(11514053)4"/>
      <sheetName val="FM-HD_(11611807)4"/>
      <sheetName val="FM-HD_(94502003)4"/>
      <sheetName val="FM-HD_(94501839)4"/>
      <sheetName val="FM-HD_(PT-GDENG0911-4)4"/>
      <sheetName val="FM-HD_(94520439)4"/>
      <sheetName val="FM-HD_(94500396)4"/>
      <sheetName val="FM-HD_(94500407)4"/>
      <sheetName val="FM-HD_(94500414)4"/>
      <sheetName val="FM-HD_(94500073)4"/>
      <sheetName val="FM-HD_(11588683)4"/>
      <sheetName val="FM-HD_(94500952)4"/>
      <sheetName val="FM-HD_(11569995)4"/>
      <sheetName val="FM-HD_(11254-06201)4"/>
      <sheetName val="FM-HD_(11588685)4"/>
      <sheetName val="FM-HD_(94500793)_4"/>
      <sheetName val="FM-HD_(11588717)4"/>
      <sheetName val="FM-HD_(HD-25198904)4"/>
      <sheetName val="FM-HD_(HD-11570514)_4"/>
      <sheetName val="FM-HD_(11097441)4"/>
      <sheetName val="FM-HD_(11588662)_4"/>
      <sheetName val="FM-HD_(11519387)4"/>
      <sheetName val="FM-HD_(11561969)4"/>
      <sheetName val="FM-HD_(11516580)4"/>
      <sheetName val="FM-HD_(11588712)___4"/>
      <sheetName val="FM-HD_(11519375)4"/>
      <sheetName val="FM-HD_(FAA32071001)__4"/>
      <sheetName val="FM-HD_(11519382)_4"/>
      <sheetName val="FM-HD_(11519383)_4"/>
      <sheetName val="FM-HD_(11561763)__4"/>
      <sheetName val="FM-HD_(11588316)__4"/>
      <sheetName val="Net_Revenue"/>
      <sheetName val="기초_데이터"/>
      <sheetName val="중요차종_(090131)"/>
      <sheetName val="7)_13367734"/>
      <sheetName val="표지_(2)"/>
      <sheetName val="220_(2)"/>
      <sheetName val="1_TM15"/>
      <sheetName val="2_align15"/>
      <sheetName val="3_JUDDER15"/>
      <sheetName val="4_M_S15"/>
      <sheetName val="5_P_W_R15"/>
      <sheetName val="6_F_G15"/>
      <sheetName val="7__SCABLE15"/>
      <sheetName val="8_DIFF15"/>
      <sheetName val="9_A_C15"/>
      <sheetName val="10_GEAR15"/>
      <sheetName val="11_ISC15"/>
      <sheetName val="12_ALT15"/>
      <sheetName val="13_O_S15"/>
      <sheetName val="14_silencer15"/>
      <sheetName val="15_DAMPER15"/>
      <sheetName val="16_HUB15"/>
      <sheetName val="17_DLOCK15"/>
      <sheetName val="18_PSP15"/>
      <sheetName val="19_누수15"/>
      <sheetName val="20_K_S15"/>
      <sheetName val="二_POSITION_XLS15"/>
      <sheetName val="1ဲ_ALT15"/>
      <sheetName val="1ဳ_O_S15"/>
      <sheetName val="15_၄AMPER15"/>
      <sheetName val="GB-IC_Villingen_GG15"/>
      <sheetName val="OPT손익_내수15"/>
      <sheetName val="OPT손익_수출15"/>
      <sheetName val="JT3_0견적-구114"/>
      <sheetName val="BACK_DATA_08_7_1~15"/>
      <sheetName val="E_W15"/>
      <sheetName val="P_W15"/>
      <sheetName val="S_W15"/>
      <sheetName val="BACK_DATA15"/>
      <sheetName val="CASE_ASM14"/>
      <sheetName val="외주현황_wq115"/>
      <sheetName val="5_세운W-A15"/>
      <sheetName val="14_1부14"/>
      <sheetName val="B053_(990701)공정실적PP%계산15"/>
      <sheetName val="2_대외공문15"/>
      <sheetName val="1_변경범위15"/>
      <sheetName val="TEMP_TORQUE15"/>
      <sheetName val="3_일반사상14"/>
      <sheetName val="Evaluation_objects14"/>
      <sheetName val="LAMBDA_자작14"/>
      <sheetName val="설비능력및_종합공정능력산출시_사용14"/>
      <sheetName val="LX3_0_RR14"/>
      <sheetName val="진행_DATA_(2)15"/>
      <sheetName val="126_25514"/>
      <sheetName val="SUB_2월_재검사추이도14"/>
      <sheetName val="c_db20"/>
      <sheetName val="5_WIRE적용LIST14"/>
      <sheetName val="Nego_PV14"/>
      <sheetName val="매출종합_`0914"/>
      <sheetName val="소상_&quot;1&quot;14"/>
      <sheetName val="검사기준서_을_치수14"/>
      <sheetName val="검사기준서_갑14"/>
      <sheetName val="검사기준서_을14"/>
      <sheetName val="검사협정_갑14"/>
      <sheetName val="검사성적서_갑14"/>
      <sheetName val="검사성적서_을14"/>
      <sheetName val="검사성적서_병14"/>
      <sheetName val="팀별_합계14"/>
      <sheetName val="운임_환차손-Y15"/>
      <sheetName val="02년_SUC13"/>
      <sheetName val="내수1_8GL14"/>
      <sheetName val="ALPROFILE_발주실적13"/>
      <sheetName val="PRESS_DATA13"/>
      <sheetName val="MACRO1_XLM13"/>
      <sheetName val="개발_TOOL_집계표13"/>
      <sheetName val="경상_개발비13"/>
      <sheetName val="X-3_ENG13"/>
      <sheetName val="원단위_전후비교13"/>
      <sheetName val="Sheet1_(2)13"/>
      <sheetName val="차체부품_INS_REPORT(갑)14"/>
      <sheetName val="Sheet6_(3)13"/>
      <sheetName val="외주품_감점_유형_기준13"/>
      <sheetName val="FUEL_FILLER14"/>
      <sheetName val="_납촉자14"/>
      <sheetName val="3-2_귀책부서별_DT현황14"/>
      <sheetName val="1_2내수13"/>
      <sheetName val="3__관리점지수실적-1_1생산성13"/>
      <sheetName val="실적_및_계획13"/>
      <sheetName val="Bosch_ADVP&amp;R13"/>
      <sheetName val="CAPA분석_360K10"/>
      <sheetName val="Cost_Reduction13"/>
      <sheetName val="GLOBAL_PT_NEW_FORMAT_OCT_200213"/>
      <sheetName val="계산_DATA_입력13"/>
      <sheetName val="상세_계산_내역13"/>
      <sheetName val="FLOW_PROSES_(A)10"/>
      <sheetName val="Master_Cable13"/>
      <sheetName val="_SR3차원단위_(3)7"/>
      <sheetName val="ERP도입후_시정현황7"/>
      <sheetName val="6_N_m_CCW_전류7"/>
      <sheetName val="Purchasing_Data7"/>
      <sheetName val="포머_비가동_내역8"/>
      <sheetName val="FRONT_HUB견적가8"/>
      <sheetName val="J150_승인진도관리_LIST7"/>
      <sheetName val="TOTAL_LIST7"/>
      <sheetName val="Price_Range7"/>
      <sheetName val="FTR_MACRo7"/>
      <sheetName val="일일_업무_현황_(3)8"/>
      <sheetName val="일일_업무_현황_(5)8"/>
      <sheetName val="MPL_技連8"/>
      <sheetName val="342E_BLOCK8"/>
      <sheetName val="VS1_Paretto분석8"/>
      <sheetName val="DATA_BASE7"/>
      <sheetName val="02_07_27_부품판매가7"/>
      <sheetName val="협력사_일반현황8"/>
      <sheetName val="Sec_1_-_RFQ13"/>
      <sheetName val="1-1_General_Code7"/>
      <sheetName val="VPP(BD-010)_이상보고7"/>
      <sheetName val="공정능력_(2)13"/>
      <sheetName val="Sch7a_(토요일)13"/>
      <sheetName val="c_db111"/>
      <sheetName val="Rate_data13"/>
      <sheetName val="대외공문_7"/>
      <sheetName val="PRO_(참조)13"/>
      <sheetName val="2차_OIL량측정7"/>
      <sheetName val="Actual_In_&amp;_Out6"/>
      <sheetName val="4_3_첨부17"/>
      <sheetName val="업무분장_7"/>
      <sheetName val="GLOBAL_PT_NEW_FORMAT_JULY__2008"/>
      <sheetName val="OEM_Plan7"/>
      <sheetName val="제품명_(3)7"/>
      <sheetName val="LINE_운영안6"/>
      <sheetName val="P&amp;L,Bal_Sheet,Cash_Forecast7"/>
      <sheetName val="원가_종합7"/>
      <sheetName val="공정별공법-W_HSE-LH7"/>
      <sheetName val="GM_Master7"/>
      <sheetName val="생산현황_(입력)7"/>
      <sheetName val="MPS_Q3_FY047"/>
      <sheetName val="MPS_Q4_FY047"/>
      <sheetName val="1_ER유체응용7"/>
      <sheetName val="4_시험장비7"/>
      <sheetName val="업체별_단가현황7"/>
      <sheetName val="일일_생산및판매계획_대_실적7"/>
      <sheetName val="임율_&amp;_LOT7"/>
      <sheetName val="생산계획_(2)7"/>
      <sheetName val="CR_CODE7"/>
      <sheetName val="THEME_CODE7"/>
      <sheetName val="비교원가제출_고7"/>
      <sheetName val="1_세부비교원가(내수)7"/>
      <sheetName val="1_종합비교원가(내수_일반_유럽)7"/>
      <sheetName val="10_예산_및_원가_계획(02년)7"/>
      <sheetName val="3_PT개발계획7"/>
      <sheetName val="Interco_&amp;_PVS_Loc_Cur6"/>
      <sheetName val="RFQ_18047"/>
      <sheetName val="full_(2)6"/>
      <sheetName val="보강사_소요량6"/>
      <sheetName val="J2(P_MT)6"/>
      <sheetName val="After_sales7"/>
      <sheetName val="고객불만_건7"/>
      <sheetName val="Moulding_data6"/>
      <sheetName val="자동차_종합지표7"/>
      <sheetName val="Production_Plan17"/>
      <sheetName val="Order_status7"/>
      <sheetName val="Order_status26"/>
      <sheetName val="Customer_Master6"/>
      <sheetName val="Common_code6"/>
      <sheetName val="Order_Status_Master6"/>
      <sheetName val="Product_Master6"/>
      <sheetName val="3_3검토국6"/>
      <sheetName val="DV_Flow_Chart_DV-PV1_(PFC)7"/>
      <sheetName val="MATEMST_(2)6"/>
      <sheetName val="Value_Analysis_-_Sheet_17"/>
      <sheetName val="Supplier_QRQC6"/>
      <sheetName val="97계획(96_116"/>
      <sheetName val="S50_6"/>
      <sheetName val="첨부4_기술평가서6"/>
      <sheetName val="1_2_2완제품검사('00_4월)_(가라)6"/>
      <sheetName val="09년_현황7"/>
      <sheetName val="WTC_BODY一覧原紙7"/>
      <sheetName val="3월말_장기악성(국내)7"/>
      <sheetName val="2월말_장기악성(국내)7"/>
      <sheetName val="Data_Sheet7"/>
      <sheetName val="6_수입검사_7"/>
      <sheetName val="03_PFD-17"/>
      <sheetName val="12_Inv_7"/>
      <sheetName val="97년_재료예산(안)7"/>
      <sheetName val="1_터빈7"/>
      <sheetName val="cost_base_e_dati7"/>
      <sheetName val="2__Definitions7"/>
      <sheetName val="코드_조건표8"/>
      <sheetName val="HMC_사전원가(원혁기준)13%7"/>
      <sheetName val="재품별_단가7"/>
      <sheetName val="장비_전체리스트7"/>
      <sheetName val="_14"/>
      <sheetName val="집중검사_리스트7"/>
      <sheetName val="production_dept7"/>
      <sheetName val="검사협정_보충6"/>
      <sheetName val="2012_Volum7"/>
      <sheetName val="B053_(990701)공정능력PC%계산6"/>
      <sheetName val="P&amp;L_account7"/>
      <sheetName val="국내_6"/>
      <sheetName val="4,5공장_6"/>
      <sheetName val="시트_6"/>
      <sheetName val="VERTICAL_PIPE6"/>
      <sheetName val="TABLE_DB6"/>
      <sheetName val="쌍용_data_base6"/>
      <sheetName val="2과_공수집계6"/>
      <sheetName val="118_세금과공과6"/>
      <sheetName val="경영재무_(입력)6"/>
      <sheetName val="연구개발_(입력)6"/>
      <sheetName val="일반현황_(입력)6"/>
      <sheetName val="품질관리_(입력)6"/>
      <sheetName val="실행내역서_7"/>
      <sheetName val="개발_LIST7"/>
      <sheetName val="PC%계산(WM_COMM단차)7"/>
      <sheetName val="차체_품안표7"/>
      <sheetName val="1_1_2008_OTIF7"/>
      <sheetName val="BAFFLE_HMC_TABLE17"/>
      <sheetName val="1~3월_지시사항7"/>
      <sheetName val="1_POSITIONING7"/>
      <sheetName val="무부하_회전수7"/>
      <sheetName val="진행중_설변7"/>
      <sheetName val="HOLE_9905(1)7"/>
      <sheetName val="Upgrades_pricing6"/>
      <sheetName val="7_3_DY팀6"/>
      <sheetName val="Summary_Sheet6"/>
      <sheetName val="Datasheet_for_KPI_Model_16"/>
      <sheetName val="TEAM하반기_계획_(2)6"/>
      <sheetName val="YOKE-H(10_3)6"/>
      <sheetName val="▶R_C_FRM6"/>
      <sheetName val="광주_소요량6"/>
      <sheetName val="5-Why_Root_Cause_Analysis_6"/>
      <sheetName val="초_성6"/>
      <sheetName val="CHECK_성6"/>
      <sheetName val="cpk_data6"/>
      <sheetName val="Drop-down_Lists6"/>
      <sheetName val="Bas_Moteur6"/>
      <sheetName val="1_기안을지6"/>
      <sheetName val="사무용품_신청6"/>
      <sheetName val="Validation_Lists6"/>
      <sheetName val="★금형비_계산서6"/>
      <sheetName val="LOWSIDE_비교6"/>
      <sheetName val="4_Vendor_price6"/>
      <sheetName val="14년_증판안_판촉6"/>
      <sheetName val="PS_SIDE_OTR_INR_공정개선_상세5"/>
      <sheetName val="제품별_매출7"/>
      <sheetName val="Data_Working_Time7"/>
      <sheetName val="Z41,Z42_이외total6"/>
      <sheetName val="원단위_1계_2계5"/>
      <sheetName val="11403-06163_เก่า5"/>
      <sheetName val="FM-HD_(New)5"/>
      <sheetName val="FM-HD_(HKMC)_5"/>
      <sheetName val="FM-HD_(11254-06201)__5"/>
      <sheetName val="FM-HD_(11251-06163)5"/>
      <sheetName val="FM-HD_(11514053)5"/>
      <sheetName val="FM-HD_(11611807)5"/>
      <sheetName val="FM-HD_(94502003)5"/>
      <sheetName val="FM-HD_(94501839)5"/>
      <sheetName val="FM-HD_(PT-GDENG0911-4)5"/>
      <sheetName val="FM-HD_(94520439)5"/>
      <sheetName val="FM-HD_(94500396)5"/>
      <sheetName val="FM-HD_(94500407)5"/>
      <sheetName val="FM-HD_(94500414)5"/>
      <sheetName val="FM-HD_(94500073)5"/>
      <sheetName val="FM-HD_(11588683)5"/>
      <sheetName val="FM-HD_(94500952)5"/>
      <sheetName val="FM-HD_(11569995)5"/>
      <sheetName val="FM-HD_(11254-06201)5"/>
      <sheetName val="FM-HD_(11588685)5"/>
      <sheetName val="FM-HD_(94500793)_5"/>
      <sheetName val="FM-HD_(11588717)5"/>
      <sheetName val="FM-HD_(HD-25198904)5"/>
      <sheetName val="FM-HD_(HD-11570514)_5"/>
      <sheetName val="FM-HD_(11097441)5"/>
      <sheetName val="FM-HD_(11588662)_5"/>
      <sheetName val="FM-HD_(11519387)5"/>
      <sheetName val="FM-HD_(11561969)5"/>
      <sheetName val="FM-HD_(11516580)5"/>
      <sheetName val="FM-HD_(11588712)___5"/>
      <sheetName val="FM-HD_(11519375)5"/>
      <sheetName val="FM-HD_(FAA32071001)__5"/>
      <sheetName val="FM-HD_(11519382)_5"/>
      <sheetName val="FM-HD_(11519383)_5"/>
      <sheetName val="FM-HD_(11561763)__5"/>
      <sheetName val="FM-HD_(11588316)__5"/>
      <sheetName val="TL_PROTO_2열1"/>
      <sheetName val="Net_Revenue1"/>
      <sheetName val="기초_데이터1"/>
      <sheetName val="신흥테크_세부내역_LIST1"/>
      <sheetName val="중요차종_(090131)1"/>
      <sheetName val="99년12월_실적DATA1"/>
      <sheetName val="7)_133677341"/>
      <sheetName val="Actual_data1"/>
      <sheetName val="PACKING_LIST1"/>
      <sheetName val="COOLING_UNIT1"/>
      <sheetName val="#1-1_(2)1"/>
      <sheetName val="기초_DATA1"/>
      <sheetName val="표지_(2)1"/>
      <sheetName val="2-2_매출분석1"/>
      <sheetName val="220_(2)1"/>
      <sheetName val="계정등록"/>
      <sheetName val="기타등록"/>
      <sheetName val="04.03월소일정계획"/>
      <sheetName val="Parm"/>
      <sheetName val="공정능력계산"/>
      <sheetName val="部品"/>
      <sheetName val="製品別販売予算"/>
      <sheetName val=" 관리계획서_Rev.01.xlsx"/>
      <sheetName val="DATA(이천)"/>
      <sheetName val="Y-WORK"/>
      <sheetName val="2-4-1"/>
      <sheetName val="주일현황"/>
      <sheetName val="Costed BOM 2ndR 40%"/>
      <sheetName val="부자입고"/>
      <sheetName val="MexiqueVente䋈᮱ꋀ"/>
      <sheetName val="MexiqueVenteȌ_x0000_반"/>
      <sheetName val="Kalkulation"/>
      <sheetName val="매출생산"/>
      <sheetName val="200901-수불부"/>
      <sheetName val="상세(독일)"/>
      <sheetName val="일반PAD"/>
      <sheetName val="seat-sdn only"/>
      <sheetName val="Schedule_1"/>
      <sheetName val="CAR_Form_Summary"/>
      <sheetName val="FY_12_Interiors_Volume"/>
      <sheetName val="INT_Price_FY12_MFC"/>
      <sheetName val="Claim이력_수출내자"/>
      <sheetName val="9806-9901"/>
      <sheetName val="R1"/>
      <sheetName val="R6"/>
      <sheetName val="R3"/>
      <sheetName val="R0"/>
      <sheetName val="R5"/>
      <sheetName val="RI5"/>
      <sheetName val="10-2 ED&amp;D EQU"/>
      <sheetName val="MexiqueVenteȌ"/>
      <sheetName val="Business Plan"/>
      <sheetName val="GK차체EO_CUT전"/>
      <sheetName val="비교원RD_S"/>
      <sheetName val="3-1"/>
      <sheetName val="선급금"/>
      <sheetName val="지성학원"/>
      <sheetName val="조회서"/>
      <sheetName val="QUALITY_CHART"/>
      <sheetName val="Organization chart20191002"/>
      <sheetName val="RESPONSIBILITY MATRIX"/>
      <sheetName val="plan"/>
      <sheetName val="6월실적"/>
      <sheetName val="DS-Thuong 6T dau"/>
      <sheetName val="CHI TIẾT"/>
      <sheetName val="Parameter"/>
      <sheetName val="R+N+D+L"/>
      <sheetName val="대구"/>
      <sheetName val="W6"/>
      <sheetName val="2-row_Opt_table"/>
      <sheetName val="PC%계산RH"/>
      <sheetName val="3S010"/>
      <sheetName val="지급어음"/>
      <sheetName val="KB_BaseCase"/>
      <sheetName val="거래선 생산계획"/>
      <sheetName val="조회거래처"/>
      <sheetName val="대책발표"/>
      <sheetName val="시중유출"/>
      <sheetName val="냉각실용添1"/>
      <sheetName val="유지류添1"/>
      <sheetName val="제품그룹코드"/>
      <sheetName val="9월사후시산"/>
      <sheetName val="누계결산시산"/>
      <sheetName val="BEP"/>
      <sheetName val="(사)판관비"/>
      <sheetName val="(사)손익"/>
      <sheetName val="2_분임조활동"/>
      <sheetName val="3_학점이수(세미나)"/>
      <sheetName val="3_학점이수(사내.사외교육)"/>
      <sheetName val="업무절차"/>
      <sheetName val="협력업체현황서"/>
      <sheetName val="원단가"/>
      <sheetName val="23.보증금(전신전화가입권)"/>
      <sheetName val="SGH-M100"/>
      <sheetName val="415T原"/>
      <sheetName val="05-2W"/>
      <sheetName val="3. 트림별_내수"/>
      <sheetName val="3. 트림별_북미"/>
      <sheetName val="3. 트림별_유럽"/>
      <sheetName val="재정"/>
      <sheetName val="추진전략"/>
      <sheetName val="배치1"/>
      <sheetName val="제안서입력"/>
      <sheetName val="97(US,EP,PCT,KR)"/>
      <sheetName val="PL"/>
      <sheetName val="불재"/>
      <sheetName val="재고"/>
      <sheetName val="실DATA "/>
      <sheetName val="계DATA"/>
      <sheetName val="B-3"/>
      <sheetName val="(1)"/>
      <sheetName val="Main-Yield report"/>
      <sheetName val="Cosmetic Description"/>
      <sheetName val="Bom(P1)"/>
      <sheetName val="EMS厂工时库"/>
      <sheetName val="HW工时数据库"/>
      <sheetName val="配置"/>
      <sheetName val="非機種"/>
      <sheetName val="Modules_List"/>
      <sheetName val="数据源勿删"/>
      <sheetName val="整理良率情况"/>
      <sheetName val="①FABII"/>
      <sheetName val="갑지(추정)"/>
      <sheetName val="_______________________00"/>
      <sheetName val="2.´ë?Ü°o1®"/>
      <sheetName val="facto炠"/>
      <sheetName val="Constants"/>
      <sheetName val="9월1주"/>
      <sheetName val="1_TM16"/>
      <sheetName val="2_align16"/>
      <sheetName val="3_JUDDER16"/>
      <sheetName val="4_M_S16"/>
      <sheetName val="5_P_W_R16"/>
      <sheetName val="6_F_G16"/>
      <sheetName val="7__SCABLE16"/>
      <sheetName val="8_DIFF16"/>
      <sheetName val="9_A_C16"/>
      <sheetName val="10_GEAR16"/>
      <sheetName val="11_ISC16"/>
      <sheetName val="12_ALT16"/>
      <sheetName val="13_O_S16"/>
      <sheetName val="14_silencer16"/>
      <sheetName val="15_DAMPER16"/>
      <sheetName val="16_HUB16"/>
      <sheetName val="17_DLOCK16"/>
      <sheetName val="18_PSP16"/>
      <sheetName val="19_누수16"/>
      <sheetName val="20_K_S16"/>
      <sheetName val="차체부품_INS_REPORT(갑)15"/>
      <sheetName val="FUEL_FILLER15"/>
      <sheetName val="2_대외공문16"/>
      <sheetName val="5_WIRE적용LIST15"/>
      <sheetName val="_납촉자15"/>
      <sheetName val="진행_DATA_(2)16"/>
      <sheetName val="외주현황_wq116"/>
      <sheetName val="3_일반사상15"/>
      <sheetName val="3-2_귀책부서별_DT현황15"/>
      <sheetName val="GB-IC_Villingen_GG16"/>
      <sheetName val="SUB_2월_재검사추이도15"/>
      <sheetName val="LX3_0_RR15"/>
      <sheetName val="5_세운W-A16"/>
      <sheetName val="JT3_0견적-구115"/>
      <sheetName val="c_db21"/>
      <sheetName val="B053_(990701)공정실적PP%계산16"/>
      <sheetName val="1_2내수14"/>
      <sheetName val="일일_업무_현황_(3)9"/>
      <sheetName val="일일_업무_현황_(5)9"/>
      <sheetName val="J150_승인진도관리_LIST8"/>
      <sheetName val="TOTAL_LIST8"/>
      <sheetName val="Price_Range8"/>
      <sheetName val="FTR_MACRo8"/>
      <sheetName val="0_절삭조건10"/>
      <sheetName val="MPL_技連9"/>
      <sheetName val="342E_BLOCK9"/>
      <sheetName val="금형_(2)13"/>
      <sheetName val="협력사_일반현황9"/>
      <sheetName val="내수1_8GL15"/>
      <sheetName val="CASE_ASM15"/>
      <sheetName val="VS1_Paretto분석9"/>
      <sheetName val="DATA_BASE8"/>
      <sheetName val="02_07_27_부품판매가8"/>
      <sheetName val="14_1부15"/>
      <sheetName val="생산현황_(입력)8"/>
      <sheetName val="임율_&amp;_LOT8"/>
      <sheetName val="생산계획_(2)8"/>
      <sheetName val="1_ER유체응용8"/>
      <sheetName val="4_시험장비8"/>
      <sheetName val="Evaluation_objects15"/>
      <sheetName val="FRONT_HUB견적가9"/>
      <sheetName val="1-1_General_Code8"/>
      <sheetName val="포머_비가동_내역9"/>
      <sheetName val="CR_CODE8"/>
      <sheetName val="THEME_CODE8"/>
      <sheetName val="1ဲ_ALT16"/>
      <sheetName val="1ဳ_O_S16"/>
      <sheetName val="15_၄AMPER16"/>
      <sheetName val="二_POSITION_XLS16"/>
      <sheetName val="OPT손익_내수16"/>
      <sheetName val="OPT손익_수출16"/>
      <sheetName val="BACK_DATA_08_7_1~16"/>
      <sheetName val="E_W16"/>
      <sheetName val="P_W16"/>
      <sheetName val="S_W16"/>
      <sheetName val="TEMP_TORQUE16"/>
      <sheetName val="BACK_DATA16"/>
      <sheetName val="126_25515"/>
      <sheetName val="매출종합_`0915"/>
      <sheetName val="소상_&quot;1&quot;15"/>
      <sheetName val="검사기준서_을_치수15"/>
      <sheetName val="검사기준서_갑15"/>
      <sheetName val="검사기준서_을15"/>
      <sheetName val="검사협정_갑15"/>
      <sheetName val="검사성적서_갑15"/>
      <sheetName val="검사성적서_을15"/>
      <sheetName val="검사성적서_병15"/>
      <sheetName val="Nego_PV15"/>
      <sheetName val="1_변경범위16"/>
      <sheetName val="팀별_합계15"/>
      <sheetName val="설비능력및_종합공정능력산출시_사용15"/>
      <sheetName val="일일_생산및판매계획_대_실적8"/>
      <sheetName val="상세_계산_내역14"/>
      <sheetName val="업체별_단가현황8"/>
      <sheetName val="코드_조건표9"/>
      <sheetName val="P&amp;L,Bal_Sheet,Cash_Forecast8"/>
      <sheetName val="MPS_Q3_FY048"/>
      <sheetName val="MPS_Q4_FY048"/>
      <sheetName val="1_세부비교원가(내수)8"/>
      <sheetName val="1_종합비교원가(내수_일반_유럽)8"/>
      <sheetName val="03_PFD-18"/>
      <sheetName val="2__Definitions8"/>
      <sheetName val="LAMBDA_자작15"/>
      <sheetName val="운임_환차손-Y16"/>
      <sheetName val="개발_TOOL_집계표14"/>
      <sheetName val="경상_개발비14"/>
      <sheetName val="비교원가제출_고8"/>
      <sheetName val="Basic_assumptions10"/>
      <sheetName val="HMC_사전원가(원혁기준)13%8"/>
      <sheetName val="2차_OIL량측정8"/>
      <sheetName val="MACRO1_XLM14"/>
      <sheetName val="재품별_단가8"/>
      <sheetName val="FLOW_PROSES_(A)11"/>
      <sheetName val="6_수입검사_8"/>
      <sheetName val="12_Inv_8"/>
      <sheetName val="97년_재료예산(안)8"/>
      <sheetName val="1_터빈8"/>
      <sheetName val="PRESS_DATA14"/>
      <sheetName val="Cost_Reduction14"/>
      <sheetName val="cost_base_e_dati8"/>
      <sheetName val="VPP(BD-010)_이상보고8"/>
      <sheetName val="장비_전체리스트8"/>
      <sheetName val="계산_DATA_입력14"/>
      <sheetName val="_15"/>
      <sheetName val="집중검사_리스트8"/>
      <sheetName val="10_예산_및_원가_계획(02년)8"/>
      <sheetName val="실행내역서_8"/>
      <sheetName val="개발_LIST8"/>
      <sheetName val="Data_Sheet8"/>
      <sheetName val="PC%계산(WM_COMM단차)8"/>
      <sheetName val="차체_품안표8"/>
      <sheetName val="1_1_2008_OTIF8"/>
      <sheetName val="1~3월_지시사항8"/>
      <sheetName val="1_POSITIONING8"/>
      <sheetName val="production_dept8"/>
      <sheetName val="Value_Analysis_-_Sheet_18"/>
      <sheetName val="BAFFLE_HMC_TABLE18"/>
      <sheetName val="XMA_12월_8,000대_원,부자재_完5"/>
      <sheetName val="YFA_10월분_원자재(10_12)_미납완료_完5"/>
      <sheetName val="YFA_10월분_부자재(10_7,9)_FEDEX_完5"/>
      <sheetName val="광주_소요량7"/>
      <sheetName val="진행중_설변8"/>
      <sheetName val="Upgrades_pricing7"/>
      <sheetName val="7_3_DY팀7"/>
      <sheetName val="공정능력(마운틴_홀_거리)7"/>
      <sheetName val="TEAM하반기_계획_(2)7"/>
      <sheetName val="PNL_ASS'Y_CRASH_PAD_UPR_RH7"/>
      <sheetName val="5-Why_Root_Cause_Analysis_7"/>
      <sheetName val="▶R_C_FRM7"/>
      <sheetName val="초_성7"/>
      <sheetName val="CHECK_성7"/>
      <sheetName val="공정능력_(2)14"/>
      <sheetName val="cpk_data7"/>
      <sheetName val="full_(2)7"/>
      <sheetName val="Production_Plan18"/>
      <sheetName val="S50_7"/>
      <sheetName val="무부하_회전수8"/>
      <sheetName val="Master_Cable14"/>
      <sheetName val="DBL_LPG시험10"/>
      <sheetName val="INVESTMENT_(Hardware)11"/>
      <sheetName val="GAGE_R&amp;R(FRT_UPR)5"/>
      <sheetName val="_16"/>
      <sheetName val="중공업_실적5"/>
      <sheetName val="_하반기_경비_조정계획_150627(사계_r2_기준)_5"/>
      <sheetName val="0_CHMSL_LED_ASSY5"/>
      <sheetName val="4_Vendor_price7"/>
      <sheetName val="14년_증판안_판촉7"/>
      <sheetName val="Moulding_data7"/>
      <sheetName val="SCP_45"/>
      <sheetName val="SCP_5_D2UXT5"/>
      <sheetName val="SCP_6_D2UX5"/>
      <sheetName val="Invest_(MAC)5"/>
      <sheetName val="SCP_Apr20155"/>
      <sheetName val="Summary_Sheet7"/>
      <sheetName val="Datasheet_for_KPI_Model_17"/>
      <sheetName val="HOLE_9905(1)8"/>
      <sheetName val="CONSUMO_DE_RESINA_4"/>
      <sheetName val="RFQ_Template5"/>
      <sheetName val="3월말_장기악성(국내)8"/>
      <sheetName val="2월말_장기악성(국내)8"/>
      <sheetName val="YOKE-H(10_3)7"/>
      <sheetName val="TABLE_DB7"/>
      <sheetName val="쌍용_data_base7"/>
      <sheetName val="VERTICAL_PIPE7"/>
      <sheetName val="2과_공수집계7"/>
      <sheetName val="108_수선비5"/>
      <sheetName val="2-1_제품군별계획대비실적(B_A)7"/>
      <sheetName val="OEM_이의제기_종합7"/>
      <sheetName val="품의서양식_(3)5"/>
      <sheetName val="업무분장_8"/>
      <sheetName val="4_20)통계적기법관리절차서4"/>
      <sheetName val="불량_리스트5"/>
      <sheetName val="불량_코드5"/>
      <sheetName val="Team_종합5"/>
      <sheetName val="ALPROFILE_발주실적14"/>
      <sheetName val="X-3_ENG14"/>
      <sheetName val="PFMEA_XLS10"/>
      <sheetName val="신고서_전10"/>
      <sheetName val="Sheet6_(3)14"/>
      <sheetName val="REAR_5"/>
      <sheetName val="abs_dac검사대비분석자료25"/>
      <sheetName val="MS_SPEC1"/>
      <sheetName val="1__보고5"/>
      <sheetName val="CAPA분석_360K11"/>
      <sheetName val="영업_일110"/>
      <sheetName val="(2)월생산현황_4"/>
      <sheetName val="RFQ_18048"/>
      <sheetName val="DS_MBR_RR_Side__-_PcA4"/>
      <sheetName val="Europe_PU-14"/>
      <sheetName val="1_TAT_Info_5"/>
      <sheetName val="Dual_PMP수율4"/>
      <sheetName val="GLOBAL_PT_NEW_FORMAT_OCT_200214"/>
      <sheetName val="Sch7a_(토요일)14"/>
      <sheetName val="실적_및_계획14"/>
      <sheetName val="Sheet1_(2)14"/>
      <sheetName val="PRO_(참조)14"/>
      <sheetName val="_PPAP_작성중__xlsx10"/>
      <sheetName val="기타_부자재4"/>
      <sheetName val="1_TP조립5"/>
      <sheetName val="Full_PBD4"/>
      <sheetName val="공정별공법-W_HSE-LH8"/>
      <sheetName val="DV_Flow_Chart_DV-PV1_(PFC)8"/>
      <sheetName val="MATEMST_(2)7"/>
      <sheetName val="_Common_Info_Page2"/>
      <sheetName val="RFQ_Form5"/>
      <sheetName val="Aug01_Status_Rpt2"/>
      <sheetName val="ISSUE_LIST5"/>
      <sheetName val="Input_Page2"/>
      <sheetName val="Input_Sheet2"/>
      <sheetName val="Base_Info2"/>
      <sheetName val="_0602주-무결점운동_진행현황_보고_(201406104"/>
      <sheetName val="PMBG12LD_장비및인원소요(D_A기준)_1"/>
      <sheetName val="NEW_TOOL_MASTER2"/>
      <sheetName val="3-2002년_소모공구비2"/>
      <sheetName val="개발원가_종합2"/>
      <sheetName val="3__관리점지수실적-1_1생산성14"/>
      <sheetName val="대외공문_8"/>
      <sheetName val="외주품_감점_유형_기준14"/>
      <sheetName val="97계획(96_117"/>
      <sheetName val="ERP도입후_시정현황8"/>
      <sheetName val="02년_SUC14"/>
      <sheetName val="원단위_전후비교14"/>
      <sheetName val="_SR3차원단위_(3)8"/>
      <sheetName val="Rate_data14"/>
      <sheetName val="Bosch_ADVP&amp;R14"/>
      <sheetName val="Purchasing_Data8"/>
      <sheetName val="Sec_1_-_RFQ14"/>
      <sheetName val="Drop-down_Lists7"/>
      <sheetName val="RELAY_FAX양식10"/>
      <sheetName val="2008_г10"/>
      <sheetName val="상세_견적서_(HMC)10"/>
      <sheetName val="2_중요한회계정책10"/>
      <sheetName val="9_관계기업투자10"/>
      <sheetName val="42_리스10"/>
      <sheetName val="25_법인세10"/>
      <sheetName val="Proj_List_00E10"/>
      <sheetName val="GLOBAL_PT_NEW_FORMAT_JULY__2009"/>
      <sheetName val="B053_(990701)공정능력PC%계산7"/>
      <sheetName val="2012_Volum8"/>
      <sheetName val="국내_7"/>
      <sheetName val="4,5공장_7"/>
      <sheetName val="시트_7"/>
      <sheetName val="Supplier_QRQC7"/>
      <sheetName val="GM_Master8"/>
      <sheetName val="4_3_첨부18"/>
      <sheetName val="검사협정_보충7"/>
      <sheetName val="제품명_(3)8"/>
      <sheetName val="6_N_m_CCW_전류8"/>
      <sheetName val="09년_현황8"/>
      <sheetName val="WTC_BODY一覧原紙8"/>
      <sheetName val="3_PT개발계획8"/>
      <sheetName val="1_기안을지7"/>
      <sheetName val="c_db112"/>
      <sheetName val="Danh_Mục2"/>
      <sheetName val="Danh_Muc2"/>
      <sheetName val="BI-FUEL_AIR_VENT_PIPE5"/>
      <sheetName val="8월_매출현황2"/>
      <sheetName val="3공장_순양전자2"/>
      <sheetName val="현진테크_(2)2"/>
      <sheetName val="동경cnc_지그2"/>
      <sheetName val="대한테크_집계2"/>
      <sheetName val="서연전자_(2)2"/>
      <sheetName val="삼익전자_(2)2"/>
      <sheetName val="삼익산업_(2)2"/>
      <sheetName val="시무인텔_(2)2"/>
      <sheetName val="성우일렉스_(2)2"/>
      <sheetName val="성호테크_(2)2"/>
      <sheetName val="2009년_매출_실적1"/>
      <sheetName val="LCAUTO_42"/>
      <sheetName val="LCAT수_조2"/>
      <sheetName val="외주수입검사_종합(6월)5"/>
      <sheetName val="금형_이력_카드2"/>
      <sheetName val="소재_이력2"/>
      <sheetName val="99_조정금액2"/>
      <sheetName val="THS_-_Key_Inputs2"/>
      <sheetName val="2005년_소요량1"/>
      <sheetName val="3_3검토국7"/>
      <sheetName val="1_종합평가표5"/>
      <sheetName val="Actual_In_&amp;_Out7"/>
      <sheetName val="Bas_Moteur7"/>
      <sheetName val="고객불만_건8"/>
      <sheetName val="Tool_Type1"/>
      <sheetName val="3__Acronyms_and_abbreviations1"/>
      <sheetName val="Input_Form_-_EingabeMaske1"/>
      <sheetName val="첨부13__사출(PAD)_카메라1"/>
      <sheetName val="거래선별_매출현황_내역4"/>
      <sheetName val="수식파일_(삭제금지)1"/>
      <sheetName val="03년_체제결과4"/>
      <sheetName val="5_Why's1"/>
      <sheetName val="부품_LIST1"/>
      <sheetName val="종합원가분석_1_1"/>
      <sheetName val="11_Inv_1"/>
      <sheetName val="1_생산01"/>
      <sheetName val="1_개발개요1"/>
      <sheetName val="G-Exchange_#6671"/>
      <sheetName val="C-Mix_Rate_&amp;_Revenue(calc)1"/>
      <sheetName val="InspectionData_(2)1"/>
      <sheetName val="01년2월현황_1"/>
      <sheetName val="Cover_page2"/>
      <sheetName val="Adjusted_OI2"/>
      <sheetName val="Adjusted_OI_(2)2"/>
      <sheetName val="Income_Stmt_(USD)2"/>
      <sheetName val="Income_Stmt_(RMB)2"/>
      <sheetName val="IS_Loc_Adj2"/>
      <sheetName val="Balance_Sht_(USD)2"/>
      <sheetName val="BS_Loc+Adj2"/>
      <sheetName val="Balance_Sht_(RMB)2"/>
      <sheetName val="Cash_Flow_(USD)2"/>
      <sheetName val="Cash_Forecast2"/>
      <sheetName val="IC_AP_AR3"/>
      <sheetName val="Cash_Cross_check2"/>
      <sheetName val="Unit_Price_without_LTA&amp;Pricing2"/>
      <sheetName val="Sales_without_LTA&amp;Pricing2"/>
      <sheetName val="Unit_ECN_Sales2"/>
      <sheetName val="Total_ECN_Sales2"/>
      <sheetName val="LTA_Percentage2"/>
      <sheetName val="LTA_Amount2"/>
      <sheetName val="Total_P2P2"/>
      <sheetName val="Net_Sales2"/>
      <sheetName val="Unit_Mat_Cost_Without_PS_VAVE2"/>
      <sheetName val="Material_cost_without_PS_VAVE2"/>
      <sheetName val="Unit_ECN_cost2"/>
      <sheetName val="ECN_cost_saving2"/>
      <sheetName val="Unit_Purchase_Saving2"/>
      <sheetName val="Total_Purchase_Saving2"/>
      <sheetName val="Unit_VAVE_Saving2"/>
      <sheetName val="Total_VAVE2"/>
      <sheetName val="Unit_Margin_Improvement2"/>
      <sheetName val="Total_Margin_Improvement2"/>
      <sheetName val="Unit_mat__cost_after_PS_VAVE2"/>
      <sheetName val="Total_Mat_cost_after_PS_VAVE2"/>
      <sheetName val="Unit_Inb_Freight_Rate2"/>
      <sheetName val="Inboud_Freight_Amount2"/>
      <sheetName val="Unit_Inb-Duty2"/>
      <sheetName val="Inbound_Duty2"/>
      <sheetName val="Material_cost_before_Scrap2"/>
      <sheetName val="Scrap_Rate2"/>
      <sheetName val="Scrap_Amount2"/>
      <sheetName val="Scrap_recovery_rate2"/>
      <sheetName val="Scrap_Recovery_Amount2"/>
      <sheetName val="Unit_Production_Auxiliary2"/>
      <sheetName val="Production_Auxiliary2"/>
      <sheetName val="Net_Material2"/>
      <sheetName val="Unit_OB_freight2"/>
      <sheetName val="Total_OB_freight2"/>
      <sheetName val="Total_LC&amp;OVH2"/>
      <sheetName val="LC&amp;OVH_Undefined_Var_2"/>
      <sheetName val="LC&amp;OVH_Undefined_Fix_2"/>
      <sheetName val="Total_headcount_&amp;_labor_cost2"/>
      <sheetName val="Direct_Labor_Cost2"/>
      <sheetName val="Indirect_Labor_Cost2"/>
      <sheetName val="Salary_Cost2"/>
      <sheetName val="MSI_-_FY(RMB)2"/>
      <sheetName val="MSI_-_Comm_Sales2"/>
      <sheetName val="MSI_-_IC_Sales2"/>
      <sheetName val="MSI_-_Mat_Cost2"/>
      <sheetName val="MSI_-_Direct_Labor2"/>
      <sheetName val="MSI_-_Variable_OH2"/>
      <sheetName val="MSI_-_Fixed_OH2"/>
      <sheetName val="05_新Table(간접직)1"/>
      <sheetName val="05계약내역(기존T_활용)1"/>
      <sheetName val="General_Assumptions1"/>
      <sheetName val="_제9차_회사표준_제개정_공청회_이의제기신청서_XLSX1"/>
      <sheetName val="LINE_PPM-분석2"/>
      <sheetName val="AQL(0_65)1"/>
      <sheetName val="Value_1"/>
      <sheetName val="400H_가공,금형비1"/>
      <sheetName val="List_Total1"/>
      <sheetName val="Person_Cost1"/>
      <sheetName val="THEO_DÕI_THAI_SẢN_(2)1"/>
      <sheetName val="Time_Man1"/>
      <sheetName val="Salary(Cus_)1"/>
      <sheetName val="OT_OVER1"/>
      <sheetName val="Segment_4_Bid_Sheet1"/>
      <sheetName val="Hi6810_功能信号表1"/>
      <sheetName val="6_FQC检验数据1"/>
      <sheetName val="2003_prod21"/>
      <sheetName val="2003_Target1"/>
      <sheetName val="RA_Bearer1"/>
      <sheetName val="Trend_Total_nguyên_nhân1"/>
      <sheetName val="設備預算總表附件3_1"/>
      <sheetName val="FA_Definitions1"/>
      <sheetName val="CPK(Process_Capanility)1"/>
      <sheetName val="2차_OI2"/>
      <sheetName val="SEP_20071"/>
      <sheetName val="Q1_&amp;_Q21"/>
      <sheetName val="devis_qcdp21"/>
      <sheetName val="22_보증금(전신전화가입권)1"/>
      <sheetName val="39_미지급법인세1"/>
      <sheetName val="Z41,Z42_이외total7"/>
      <sheetName val="개인별_교육현황1"/>
      <sheetName val="관리구역_책임자(181010)1"/>
      <sheetName val="ACU기청소2018-05-04_(3)1"/>
      <sheetName val="ASM_A동1"/>
      <sheetName val="SMT구역_(2)1"/>
      <sheetName val="관리구역_체크시트1"/>
      <sheetName val="관리구역_평가시트1"/>
      <sheetName val="담당자편성표_(B)1"/>
      <sheetName val="조립A구역_(2)1"/>
      <sheetName val="개선보고서_(2)1"/>
      <sheetName val="천정등기구_실적1"/>
      <sheetName val="02_08생산대상대수1"/>
      <sheetName val="한일자야(감액손실)_(2)1"/>
      <sheetName val="NUEVO_MODELOS_20181"/>
      <sheetName val="Budget_Imt_mensuel_(CFO)1"/>
      <sheetName val="CDV_Pte_mensuel1"/>
      <sheetName val="Evol_Prod_(Eqpt)1"/>
      <sheetName val="CAPVR_Pte_mensuel1"/>
      <sheetName val="2000_(원본)1"/>
      <sheetName val="Danh_sach_Hàn_thùng1"/>
      <sheetName val="Mẫu_DMVT1"/>
      <sheetName val="Mẫu_DMVT_(2)1"/>
      <sheetName val="DANH_MỤC_NHÓM_ĐỐI_TƯỢNG1"/>
      <sheetName val="Nhap_T81"/>
      <sheetName val="Begining_detail-CTIET1"/>
      <sheetName val="Summary-TOMLUOC_1"/>
      <sheetName val="SO_TONG_HOP_CONG_NO1"/>
      <sheetName val="DM_KHAU_HAO1"/>
      <sheetName val="THƯ_VIỆN1"/>
      <sheetName val="Nguon_PT_xetai1"/>
      <sheetName val="Nguon_PT_xe_Ben1"/>
      <sheetName val="Bien_so1"/>
      <sheetName val="MỤC_LỤC1"/>
      <sheetName val="Ghi_chú1"/>
      <sheetName val="1__Định_hướng_HĐ_CN_năm_20191"/>
      <sheetName val="2_1_Tổng_quan_TT_KD_xe_DL1"/>
      <sheetName val="2_2_Tổng_quan_TT_DVPT_DL1"/>
      <sheetName val="3_1__ĐKM_xe_DL1"/>
      <sheetName val="3_2_1__KH_KD-MKT_&amp;_TCKD_xe_KIA1"/>
      <sheetName val="3_2_2_CSBH_KIA1"/>
      <sheetName val="3_2_3__KH_KD-MKT&amp;TCKD_DVPT1"/>
      <sheetName val="Pv_SL1"/>
      <sheetName val="3_3_1_KH_KD-MKT_&amp;_TCKD_Mazda1"/>
      <sheetName val="3_3_2_CSBH_MAZDA1"/>
      <sheetName val="3_3_3_KH_KD-MKT&amp;TCKD_DVPT_MAZD1"/>
      <sheetName val="3_4__DVPT_SR_KIA_MAZDA1"/>
      <sheetName val="3_4_1_KH_KD-MKT&amp;TCKD_PEUGEOT1"/>
      <sheetName val="3_4_2_CSBH_PEUGEOT1"/>
      <sheetName val="3_4_3_KH_KD-MKT&amp;TC_DVPT_PEUGEO1"/>
      <sheetName val="3_5__TÀI_CHÍNH_KD_XE_KIA_MAZDA1"/>
      <sheetName val="4_1_Tổng_quan_TT_KD_Tai,_Bus1"/>
      <sheetName val="4_2_Tổng_quan_TT_DVPT_Tai_Bus1"/>
      <sheetName val="5_1__ĐKM_xe_Tai,_Bus1"/>
      <sheetName val="PTBH_20181"/>
      <sheetName val="SL_-_TVBH1"/>
      <sheetName val="5_2a__KD_Xe_Fuso1"/>
      <sheetName val="5_2b__KD_Xe_Foton1"/>
      <sheetName val="5_2c__KD_Xe_Bus1"/>
      <sheetName val="5_2__KH_KD-MKT&amp;TCKD_xe_Tải,_Bu1"/>
      <sheetName val="5_3__CSBH_xe_Tải,_Bus1"/>
      <sheetName val="5_4_KH_KD-MKT&amp;TC_DVPT_Tải,_Bus1"/>
      <sheetName val="Review_note1"/>
      <sheetName val="6_1_ĐKĐK1"/>
      <sheetName val="6_2__Bảo_hiểm1"/>
      <sheetName val="6_3__Tín_dụng1"/>
      <sheetName val="6_4__GSHT_&amp;_PH1"/>
      <sheetName val="6_5_DVHT1"/>
      <sheetName val="7_1_KH_nhân_sự1"/>
      <sheetName val="7_2__Định_biên_&amp;_Lương1"/>
      <sheetName val="7_3_KH_thưởng_năng_suất1"/>
      <sheetName val="Check_TH1"/>
      <sheetName val="8__Hành_chính1"/>
      <sheetName val="8_11"/>
      <sheetName val="9_1__Duy_tu_bảo_trì1"/>
      <sheetName val="9_2__Cải_tạo,_nâng_cấp1"/>
      <sheetName val="10__TSCĐ_-_CCDC1"/>
      <sheetName val="11D__Tài_chính_KD_XE_TỔNG1"/>
      <sheetName val="11E__Tài_chính_KD_DVPT_TỔNG1"/>
      <sheetName val="11A__Tài_chính_SR_KIA1"/>
      <sheetName val="11B__Tài_chính_SR_MAZDA1"/>
      <sheetName val="11D__Tài_chính_SR_Peugout1"/>
      <sheetName val="11C__Tài_chính_SR_TẢI_BUS1"/>
      <sheetName val="11D__Tài_chính_SR_Du_lịch1"/>
      <sheetName val="11__Tài_chính_Chi_nhánh1"/>
      <sheetName val="12__SĐTC1"/>
      <sheetName val="INATAKE_SYS1"/>
      <sheetName val="영업_입수계획_1"/>
      <sheetName val="참고1_02_판매계획_(수량)1"/>
      <sheetName val="전사_경영계획_수량1"/>
      <sheetName val="MASTER_DATA"/>
      <sheetName val="Duration_1"/>
      <sheetName val="견적서_detail_Main_1"/>
      <sheetName val="20060624_공조제어1"/>
      <sheetName val="공정공수_XLS1"/>
      <sheetName val="풍량상한치_제한_data1"/>
      <sheetName val="Source_List1"/>
      <sheetName val="After_sales8"/>
      <sheetName val="Interco_&amp;_PVS_Loc_Cur7"/>
      <sheetName val="OEM_Plan8"/>
      <sheetName val="첨부4_기술평가서7"/>
      <sheetName val="99년12월_실적DATA2"/>
      <sheetName val="J2(P_MT)7"/>
      <sheetName val="PS_SIDE_OTR_INR_공정개선_상세6"/>
      <sheetName val="TL_PROTO_2열2"/>
      <sheetName val="★금형비_계산서7"/>
      <sheetName val="LOWSIDE_비교7"/>
      <sheetName val="PACKING_LIST2"/>
      <sheetName val="COOLING_UNIT2"/>
      <sheetName val="자동차_종합지표8"/>
      <sheetName val="보강사_소요량7"/>
      <sheetName val="P&amp;L_account8"/>
      <sheetName val="118_세금과공과7"/>
      <sheetName val="경영재무_(입력)7"/>
      <sheetName val="연구개발_(입력)7"/>
      <sheetName val="일반현황_(입력)7"/>
      <sheetName val="품질관리_(입력)7"/>
      <sheetName val="1_2_2완제품검사('00_4월)_(가라)7"/>
      <sheetName val="#1-1_(2)2"/>
      <sheetName val="2-2_매출분석2"/>
      <sheetName val="기초_DATA2"/>
      <sheetName val="신흥테크_세부내역_LIST2"/>
      <sheetName val="Issues_List2"/>
      <sheetName val="Actual_data2"/>
      <sheetName val="기준정보(A)_15_10_273"/>
      <sheetName val="단중_및_예비길이_SHEET_15_9_5(K)3"/>
      <sheetName val="15_1_02_15년_1월예시계획3"/>
      <sheetName val="15년_12월_시작재공품_15_12_33"/>
      <sheetName val="기준정보(A)_12_02_233"/>
      <sheetName val="STD__CAB3"/>
      <sheetName val="STD__NCAB3"/>
      <sheetName val="원소재_변경_상세3"/>
      <sheetName val="직거래가_변경3"/>
      <sheetName val="PL_By_Model(Result)2"/>
      <sheetName val="Cty+XN(KT_2005)1"/>
      <sheetName val="24_냉각실용添11"/>
      <sheetName val="노원열병합__건축공사기성내역서3"/>
      <sheetName val="Gia_vat_tu3"/>
      <sheetName val="Data_Not_Used3"/>
      <sheetName val="FTQ_Data3"/>
      <sheetName val="Int_Pulls_Data3"/>
      <sheetName val="Int_Spills_Data3"/>
      <sheetName val="PPM_Data3"/>
      <sheetName val="Pulls_Data3"/>
      <sheetName val="Spills_Data3"/>
      <sheetName val="PP%-low_RPM1"/>
      <sheetName val="After_Sales_Supplier_#'s1"/>
      <sheetName val="원단위_1계_2계6"/>
      <sheetName val="CAR_Form_Summary1"/>
      <sheetName val="LINE_운영안7"/>
      <sheetName val="원가_종합8"/>
      <sheetName val="Validation_Lists7"/>
      <sheetName val="Schedule_11"/>
      <sheetName val="제품별_매출8"/>
      <sheetName val="Data_Working_Time8"/>
      <sheetName val="Order_status8"/>
      <sheetName val="Order_status27"/>
      <sheetName val="Customer_Master7"/>
      <sheetName val="Common_code7"/>
      <sheetName val="Order_Status_Master7"/>
      <sheetName val="Product_Master7"/>
      <sheetName val="사무용품_신청7"/>
      <sheetName val="Net_Revenue2"/>
      <sheetName val="7)_133677342"/>
      <sheetName val="기초_데이터2"/>
      <sheetName val="Rollforward_{bpe}"/>
      <sheetName val="Allow_-_SR&amp;D"/>
      <sheetName val="220_(2)2"/>
      <sheetName val="표지_(2)2"/>
      <sheetName val="중요차종_(090131)2"/>
      <sheetName val="PU_FOAM_가격조정_기준"/>
      <sheetName val="Data_Input1"/>
      <sheetName val="개선대책_양식3"/>
      <sheetName val="S_P"/>
      <sheetName val="R_FJS_CAR_(old)"/>
      <sheetName val="Certificate_list_"/>
      <sheetName val="REPAIR_DATA_-_CONTAINER_#52"/>
      <sheetName val="6_Parent_S__Fixed_Prod"/>
      <sheetName val="Material_References1"/>
      <sheetName val="ADJTBL_31001"/>
      <sheetName val="AOP_Summary-21"/>
      <sheetName val="BOM_Cost_(R-U713MHH)"/>
      <sheetName val="BAT1_"/>
      <sheetName val="케이스_재공_재고"/>
      <sheetName val="업체손실공수_xls1"/>
      <sheetName val="U268_4x4_AT(walk)Mitsu"/>
      <sheetName val="2_Underbody_DT"/>
      <sheetName val="8_공정능력평가(5)"/>
      <sheetName val="FRT_재료비"/>
      <sheetName val="2차_OI?࠱"/>
      <sheetName val="FAX_(2)"/>
      <sheetName val="TFT_Attendace"/>
      <sheetName val="0_주광원_LED_ASSY"/>
      <sheetName val="9_초기공정능력조사(을)"/>
      <sheetName val="1-1_연월차_개인별_보전수당"/>
      <sheetName val="00-Input_Values"/>
      <sheetName val="Input_Values"/>
      <sheetName val="Corp_acronym"/>
      <sheetName val="4_销售计划"/>
      <sheetName val="Output_1_(2)"/>
      <sheetName val="Danh_sach"/>
      <sheetName val="Bang_KL"/>
      <sheetName val="Lcau_-_Lxuc"/>
      <sheetName val="입력_List3"/>
      <sheetName val="DO_NOT_DELETE2"/>
      <sheetName val="기종별_합계"/>
      <sheetName val="Export_Data"/>
      <sheetName val="BOX_ASSY"/>
      <sheetName val="실사LIST-중간가공품(05_12_27현재)_(2)"/>
      <sheetName val="4_Financial"/>
      <sheetName val="3_4)__FR_종합"/>
      <sheetName val="3_4)__RR_종합"/>
      <sheetName val="RFQ_Cover_Sheeet"/>
      <sheetName val="FRN_02000"/>
      <sheetName val="Diaph1_values"/>
      <sheetName val="Diaph2_values"/>
      <sheetName val="Diaph_values"/>
      <sheetName val="Cushion_datas"/>
      <sheetName val="P_O_(LOCAL)"/>
      <sheetName val="UPPER_도면"/>
      <sheetName val="Kautex_4WD_St_IV_P&amp;D"/>
      <sheetName val="Sachs_FL_WHL"/>
      <sheetName val="11403-06163_เก่า6"/>
      <sheetName val="FM-HD_(New)6"/>
      <sheetName val="FM-HD_(HKMC)_6"/>
      <sheetName val="FM-HD_(11254-06201)__6"/>
      <sheetName val="FM-HD_(11251-06163)6"/>
      <sheetName val="FM-HD_(11514053)6"/>
      <sheetName val="FM-HD_(11611807)6"/>
      <sheetName val="FM-HD_(94502003)6"/>
      <sheetName val="FM-HD_(94501839)6"/>
      <sheetName val="FM-HD_(PT-GDENG0911-4)6"/>
      <sheetName val="FM-HD_(94520439)6"/>
      <sheetName val="FM-HD_(94500396)6"/>
      <sheetName val="FM-HD_(94500407)6"/>
      <sheetName val="FM-HD_(94500414)6"/>
      <sheetName val="FM-HD_(94500073)6"/>
      <sheetName val="FM-HD_(11588683)6"/>
      <sheetName val="FM-HD_(94500952)6"/>
      <sheetName val="FM-HD_(11569995)6"/>
      <sheetName val="FM-HD_(11254-06201)6"/>
      <sheetName val="FM-HD_(11588685)6"/>
      <sheetName val="FM-HD_(94500793)_6"/>
      <sheetName val="FM-HD_(11588717)6"/>
      <sheetName val="FM-HD_(HD-25198904)6"/>
      <sheetName val="FM-HD_(HD-11570514)_6"/>
      <sheetName val="FM-HD_(11097441)6"/>
      <sheetName val="FM-HD_(11588662)_6"/>
      <sheetName val="FM-HD_(11519387)6"/>
      <sheetName val="FM-HD_(11561969)6"/>
      <sheetName val="FM-HD_(11516580)6"/>
      <sheetName val="FM-HD_(11588712)___6"/>
      <sheetName val="FM-HD_(11519375)6"/>
      <sheetName val="FM-HD_(FAA32071001)__6"/>
      <sheetName val="FM-HD_(11519382)_6"/>
      <sheetName val="FM-HD_(11519383)_6"/>
      <sheetName val="FM-HD_(11561763)__6"/>
      <sheetName val="FM-HD_(11588316)__6"/>
      <sheetName val="repeatative_rejection"/>
      <sheetName val="Personnaliser___"/>
      <sheetName val="Takt_Time"/>
      <sheetName val="4_경비_5_영업외수지"/>
      <sheetName val="Sch1_-_P&amp;L_Summary"/>
      <sheetName val="Sch2_-_BalSht_Summary"/>
      <sheetName val="Sch3_-_CFlow_Summary"/>
      <sheetName val="Model_Synthesis_Report"/>
      <sheetName val="2019년_생산수량"/>
      <sheetName val="19년_종합_CT"/>
      <sheetName val="delta_impedance(평균)"/>
      <sheetName val="SUST_DEV_&amp;_OTHER"/>
      <sheetName val="OEM_"/>
      <sheetName val="August_2003"/>
      <sheetName val="OE_UMC"/>
      <sheetName val="Analysis-Others_Pg_4"/>
      <sheetName val="Fx_Rates"/>
      <sheetName val="FY_12_Interiors_Volume1"/>
      <sheetName val="INT_Price_FY12_MFC1"/>
      <sheetName val="強度_CN_A1_C10H_152H"/>
      <sheetName val="II__CF"/>
      <sheetName val="I__Assumptions"/>
      <sheetName val="CONN_조립"/>
      <sheetName val="04_03월소일정계획"/>
      <sheetName val="_관리계획서_Rev_01_xlsx"/>
      <sheetName val="Costed_BOM_2ndR_40%"/>
      <sheetName val="seat-sdn_only"/>
      <sheetName val="10-2_ED&amp;D_EQU"/>
      <sheetName val="Business_Plan"/>
      <sheetName val="Organization_chart20191002"/>
      <sheetName val="RESPONSIBILITY_MATRIX"/>
      <sheetName val="DS-Thuong_6T_dau"/>
      <sheetName val="CHI_TIẾT"/>
      <sheetName val="거래선_생산계획"/>
      <sheetName val="3_학점이수(사내_사외교육)"/>
      <sheetName val="3__트림별_내수"/>
      <sheetName val="3__트림별_북미"/>
      <sheetName val="3__트림별_유럽"/>
      <sheetName val="23_보증금(전신전화가입권)"/>
      <sheetName val="해외) MASTER DATA"/>
      <sheetName val="국내) 마스터 데이터"/>
      <sheetName val="Group Consolidated"/>
      <sheetName val="Inputs"/>
      <sheetName val="Quantity"/>
      <sheetName val="사양변경통보서"/>
      <sheetName val="연결조정"/>
      <sheetName val="반제품코드"/>
      <sheetName val="생산코드"/>
      <sheetName val="产品成本计算表(短裤)"/>
      <sheetName val="Interest"/>
      <sheetName val="원가table"/>
      <sheetName val="COA-17"/>
      <sheetName val="C-18"/>
      <sheetName val="Sheet14"/>
      <sheetName val="share year=5"/>
      <sheetName val="Detail report"/>
      <sheetName val="_REF"/>
      <sheetName val="Questions for Wuhan Lear"/>
      <sheetName val="ﾁｪｯｸﾘｽﾄ(個別)"/>
      <sheetName val="_x005f_x005f_x005f_x005f_"/>
      <sheetName val="ﾋﾟﾆｵﾝｾﾝｻ1万"/>
      <sheetName val="첨#3. PCB"/>
      <sheetName val="Request template"/>
      <sheetName val="DG"/>
      <sheetName val="Gauge R&amp;R"/>
      <sheetName val="설정"/>
      <sheetName val="Bia TQT"/>
      <sheetName val="dtxl"/>
      <sheetName val="MASTER_IPL"/>
      <sheetName val="C-301E~305E"/>
      <sheetName val="1)101-E"/>
      <sheetName val="UTMBPL"/>
      <sheetName val=" FURNACE현설"/>
      <sheetName val="원가차이(공장별2)"/>
      <sheetName val="프로필렌 이송라인"/>
      <sheetName val="여과지동"/>
      <sheetName val="마스터"/>
      <sheetName val="부정형평가"/>
      <sheetName val="재공품평가"/>
      <sheetName val="99판매"/>
      <sheetName val="13-1_x0000__x0000_"/>
      <sheetName val="13-1쀀珢"/>
      <sheetName val="CC Down load 0716"/>
      <sheetName val="CAUZA DEFECTE"/>
      <sheetName val="DEFECTE"/>
      <sheetName val="DEFECTS"/>
      <sheetName val="CAUSES OF DEFECTS"/>
      <sheetName val="Detail_SX"/>
      <sheetName val="Detail_KTTB"/>
      <sheetName val="두께"/>
      <sheetName val="Sheet7"/>
      <sheetName val="EO 이력관리대장"/>
      <sheetName val="누TB"/>
      <sheetName val="07년계획"/>
      <sheetName val="MIP"/>
      <sheetName val="개조 요청서"/>
      <sheetName val="매출채권"/>
      <sheetName val="KeyData"/>
      <sheetName val=" 쿠첸 CIR-301 제원현황(170317).xlsx"/>
      <sheetName val="통제목록"/>
      <sheetName val="변압94"/>
      <sheetName val="지급융통"/>
      <sheetName val="하수급견적대비"/>
      <sheetName val="첨부1"/>
      <sheetName val="BOM CODE"/>
      <sheetName val="공정일보data"/>
      <sheetName val="타이시트"/>
      <sheetName val="발잔"/>
      <sheetName val="입고"/>
      <sheetName val="제품재고"/>
      <sheetName val="차월계획"/>
      <sheetName val="표지★"/>
      <sheetName val="신규계산서(양식)"/>
      <sheetName val="A01_FM00"/>
      <sheetName val="(삼성)Index"/>
      <sheetName val="CIVIL4"/>
      <sheetName val="96 하반기 전시회 경비"/>
      <sheetName val="REQUEST"/>
      <sheetName val="直接材料"/>
      <sheetName val="Summary Capex Info-Cal (master)"/>
      <sheetName val="Corporate"/>
      <sheetName val="LOF"/>
      <sheetName val="人员信息"/>
      <sheetName val="设备信息编号"/>
      <sheetName val="S26_EK"/>
      <sheetName val="전산품의"/>
      <sheetName val="Grille Q3P Organe"/>
      <sheetName val="부서관리점-1"/>
      <sheetName val="2P표지"/>
      <sheetName val="교정"/>
      <sheetName val="대리점"/>
      <sheetName val="전표10월"/>
      <sheetName val="AL주단조"/>
      <sheetName val="직수출단가"/>
      <sheetName val="BL계획"/>
      <sheetName val="TOOLING_9143RD"/>
      <sheetName val="Grille_Q3P_Organe"/>
      <sheetName val="Grille_Q3P_Organe1"/>
      <sheetName val="Table(APG MF)"/>
      <sheetName val="Pt Rates"/>
      <sheetName val="분담율"/>
      <sheetName val="51755-C1150"/>
      <sheetName val="2.(1설원.첨)"/>
      <sheetName val="유형자산대장"/>
      <sheetName val="7월손익"/>
      <sheetName val="5131"/>
      <sheetName val="LIB"/>
      <sheetName val="실적집계"/>
      <sheetName val="인원현황"/>
      <sheetName val="EF-SONAĀ考"/>
      <sheetName val="alignments"/>
      <sheetName val="Description"/>
      <sheetName val="040915"/>
      <sheetName val="T2"/>
      <sheetName val="Component List"/>
      <sheetName val="Data051409"/>
      <sheetName val="2환율(120량)"/>
      <sheetName val="TextControl"/>
      <sheetName val="Text Control"/>
      <sheetName val="text contl"/>
      <sheetName val="XD 담력저감"/>
      <sheetName val="RATING"/>
      <sheetName val="철탑공사"/>
      <sheetName val="원가검토가 (현양산품)"/>
      <sheetName val="원가검토가 (최초견적가)"/>
      <sheetName val="원가검토가 (최초양산품)"/>
      <sheetName val="VM"/>
      <sheetName val="Anlycs"/>
      <sheetName val="경로재분석최종(금한요구소요그룹)"/>
      <sheetName val="RT Table"/>
      <sheetName val="PROGRAM1"/>
      <sheetName val="Histogram Chart"/>
      <sheetName val="Freq error DATA"/>
      <sheetName val="Freq HISTOGRAM"/>
      <sheetName val="Home"/>
      <sheetName val="Histogram_Chart"/>
      <sheetName val="Freq_error_DATA"/>
      <sheetName val="Freq_HISTOGRAM"/>
      <sheetName val="10월판관"/>
      <sheetName val="Лист1"/>
      <sheetName val="99년하반기"/>
      <sheetName val="2-2매장별매출계획"/>
      <sheetName val="LOB"/>
      <sheetName val="입력 데이타"/>
      <sheetName val="BRACKET"/>
      <sheetName val="本番環境"/>
      <sheetName val="B-9-2"/>
      <sheetName val="C(1-2)"/>
      <sheetName val="CPI_MENU"/>
      <sheetName val="推移dat"/>
      <sheetName val="K不良率ALL"/>
      <sheetName val="K責任ALL"/>
      <sheetName val="メニュー"/>
      <sheetName val="FTMTG1"/>
      <sheetName val="ＴＡ２"/>
      <sheetName val="inb"/>
      <sheetName val="손익분석"/>
      <sheetName val="월별계획"/>
      <sheetName val="중국_DATA"/>
      <sheetName val="TLc 개조차(목표원가)"/>
      <sheetName val="RDBODY"/>
      <sheetName val="제품코드"/>
      <sheetName val="9914"/>
      <sheetName val="MASTER_LIST"/>
      <sheetName val="가공UPH"/>
      <sheetName val="Sheet1 (3)"/>
      <sheetName val="원97"/>
      <sheetName val="의장34반"/>
      <sheetName val="의장2반 "/>
      <sheetName val="Detail Defect COMBO KAISER"/>
      <sheetName val="PRADEEP"/>
      <sheetName val="MODEL"/>
      <sheetName val="28.8부"/>
      <sheetName val="KQ.1"/>
      <sheetName val="매입코드"/>
      <sheetName val="Data_Umum"/>
      <sheetName val="포라이트"/>
      <sheetName val="1_TM17"/>
      <sheetName val="2_align17"/>
      <sheetName val="3_JUDDER17"/>
      <sheetName val="4_M_S17"/>
      <sheetName val="5_P_W_R17"/>
      <sheetName val="6_F_G17"/>
      <sheetName val="7__SCABLE17"/>
      <sheetName val="8_DIFF17"/>
      <sheetName val="9_A_C17"/>
      <sheetName val="10_GEAR17"/>
      <sheetName val="11_ISC17"/>
      <sheetName val="12_ALT17"/>
      <sheetName val="13_O_S17"/>
      <sheetName val="14_silencer17"/>
      <sheetName val="15_DAMPER17"/>
      <sheetName val="16_HUB17"/>
      <sheetName val="17_DLOCK17"/>
      <sheetName val="18_PSP17"/>
      <sheetName val="19_누수17"/>
      <sheetName val="20_K_S17"/>
      <sheetName val="1ဲ_ALT17"/>
      <sheetName val="1ဳ_O_S17"/>
      <sheetName val="15_၄AMPER17"/>
      <sheetName val="GB-IC_Villingen_GG17"/>
      <sheetName val="OPT손익_내수17"/>
      <sheetName val="OPT손익_수출17"/>
      <sheetName val="BACK_DATA_08_7_1~17"/>
      <sheetName val="E_W17"/>
      <sheetName val="P_W17"/>
      <sheetName val="S_W17"/>
      <sheetName val="二_POSITION_XLS17"/>
      <sheetName val="BACK_DATA17"/>
      <sheetName val="외주현황_wq117"/>
      <sheetName val="B053_(990701)공정실적PP%계산17"/>
      <sheetName val="SUB_2월_재검사추이도16"/>
      <sheetName val="TEMP_TORQUE17"/>
      <sheetName val="진행_DATA_(2)17"/>
      <sheetName val="2_대외공문17"/>
      <sheetName val="CASE_ASM16"/>
      <sheetName val="14_1부16"/>
      <sheetName val="1_변경범위17"/>
      <sheetName val="5_세운W-A17"/>
      <sheetName val="LX3_0_RR16"/>
      <sheetName val="126_25516"/>
      <sheetName val="설비능력및_종합공정능력산출시_사용16"/>
      <sheetName val="JT3_0견적-구116"/>
      <sheetName val="3_일반사상16"/>
      <sheetName val="팀별_합계16"/>
      <sheetName val="운임_환차손-Y17"/>
      <sheetName val="c_db22"/>
      <sheetName val="LAMBDA_자작16"/>
      <sheetName val="소상_&quot;1&quot;16"/>
      <sheetName val="5_WIRE적용LIST16"/>
      <sheetName val="내수1_8GL16"/>
      <sheetName val="PRESS_DATA15"/>
      <sheetName val="Nego_PV16"/>
      <sheetName val="매출종합_`0916"/>
      <sheetName val="검사기준서_을_치수16"/>
      <sheetName val="검사기준서_갑16"/>
      <sheetName val="검사기준서_을16"/>
      <sheetName val="검사협정_갑16"/>
      <sheetName val="검사성적서_갑16"/>
      <sheetName val="검사성적서_을16"/>
      <sheetName val="검사성적서_병16"/>
      <sheetName val="ALPROFILE_발주실적15"/>
      <sheetName val="Evaluation_objects16"/>
      <sheetName val="개발_TOOL_집계표15"/>
      <sheetName val="경상_개발비15"/>
      <sheetName val="MACRO1_XLM15"/>
      <sheetName val="X-3_ENG15"/>
      <sheetName val="FUEL_FILLER16"/>
      <sheetName val="차체부품_INS_REPORT(갑)16"/>
      <sheetName val="Sheet1_(2)15"/>
      <sheetName val="계산_DATA_입력15"/>
      <sheetName val="상세_계산_내역15"/>
      <sheetName val="Sheet6_(3)15"/>
      <sheetName val="GLOBAL_PT_NEW_FORMAT_OCT_200215"/>
      <sheetName val="_납촉자16"/>
      <sheetName val="3-2_귀책부서별_DT현황16"/>
      <sheetName val="1_2내수15"/>
      <sheetName val="Cost_Reduction15"/>
      <sheetName val="3__관리점지수실적-1_1생산성15"/>
      <sheetName val="Sec_1_-_RFQ15"/>
      <sheetName val="02년_SUC15"/>
      <sheetName val="Rate_data15"/>
      <sheetName val="_SR3차원단위_(3)9"/>
      <sheetName val="Master_Cable15"/>
      <sheetName val="S50_8"/>
      <sheetName val="ERP도입후_시정현황9"/>
      <sheetName val="포머_비가동_내역10"/>
      <sheetName val="FRONT_HUB견적가10"/>
      <sheetName val="J150_승인진도관리_LIST9"/>
      <sheetName val="TOTAL_LIST9"/>
      <sheetName val="Price_Range9"/>
      <sheetName val="FTR_MACRo9"/>
      <sheetName val="일일_업무_현황_(3)10"/>
      <sheetName val="일일_업무_현황_(5)10"/>
      <sheetName val="MPL_技連10"/>
      <sheetName val="342E_BLOCK10"/>
      <sheetName val="VS1_Paretto분석10"/>
      <sheetName val="DATA_BASE9"/>
      <sheetName val="02_07_27_부품판매가9"/>
      <sheetName val="협력사_일반현황10"/>
      <sheetName val="Bosch_ADVP&amp;R15"/>
      <sheetName val="CAPA분석_360K12"/>
      <sheetName val="Purchasing_Data9"/>
      <sheetName val="6_N_m_CCW_전류9"/>
      <sheetName val="VPP(BD-010)_이상보고9"/>
      <sheetName val="Sch7a_(토요일)15"/>
      <sheetName val="제품명_(3)9"/>
      <sheetName val="After_sales9"/>
      <sheetName val="GLOBAL_PT_NEW_FORMAT_JULY__2010"/>
      <sheetName val="실적_및_계획15"/>
      <sheetName val="공정능력_(2)15"/>
      <sheetName val="원단위_전후비교15"/>
      <sheetName val="외주품_감점_유형_기준15"/>
      <sheetName val="첨부4_기술평가서8"/>
      <sheetName val="Production_Plan19"/>
      <sheetName val="PRO_(참조)15"/>
      <sheetName val="97계획(96_118"/>
      <sheetName val="대외공문_9"/>
      <sheetName val="업무분장_9"/>
      <sheetName val="Interco_&amp;_PVS_Loc_Cur8"/>
      <sheetName val="TL_PROTO_2열3"/>
      <sheetName val="OEM_Plan9"/>
      <sheetName val="c_db113"/>
      <sheetName val="★금형비_계산서8"/>
      <sheetName val="공정별공법-W_HSE-LH9"/>
      <sheetName val="Supplier_QRQC8"/>
      <sheetName val="FLOW_PROSES_(A)12"/>
      <sheetName val="1-1_General_Code9"/>
      <sheetName val="2차_OIL량측정9"/>
      <sheetName val="4_3_첨부19"/>
      <sheetName val="고객불만_건9"/>
      <sheetName val="자동차_종합지표9"/>
      <sheetName val="1_ER유체응용9"/>
      <sheetName val="4_시험장비9"/>
      <sheetName val="PACKING_LIST3"/>
      <sheetName val="COOLING_UNIT3"/>
      <sheetName val="J2(P_MT)8"/>
      <sheetName val="3_3검토국8"/>
      <sheetName val="LOWSIDE_비교8"/>
      <sheetName val="MPS_Q3_FY049"/>
      <sheetName val="MPS_Q4_FY049"/>
      <sheetName val="생산현황_(입력)9"/>
      <sheetName val="업체별_단가현황9"/>
      <sheetName val="일일_생산및판매계획_대_실적9"/>
      <sheetName val="임율_&amp;_LOT9"/>
      <sheetName val="생산계획_(2)9"/>
      <sheetName val="CR_CODE9"/>
      <sheetName val="THEME_CODE9"/>
      <sheetName val="P&amp;L,Bal_Sheet,Cash_Forecast9"/>
      <sheetName val="비교원가제출_고9"/>
      <sheetName val="1_세부비교원가(내수)9"/>
      <sheetName val="1_종합비교원가(내수_일반_유럽)9"/>
      <sheetName val="10_예산_및_원가_계획(02년)9"/>
      <sheetName val="3_PT개발계획9"/>
      <sheetName val="GM_Master9"/>
      <sheetName val="OEM_이의제기_종합8"/>
      <sheetName val="#1-1_(2)3"/>
      <sheetName val="Value_Analysis_-_Sheet_19"/>
      <sheetName val="기초_DATA3"/>
      <sheetName val="1_기안을지8"/>
      <sheetName val="검사협정_보충8"/>
      <sheetName val="2-2_매출분석3"/>
      <sheetName val="09년_현황9"/>
      <sheetName val="WTC_BODY一覧原紙9"/>
      <sheetName val="3월말_장기악성(국내)9"/>
      <sheetName val="2월말_장기악성(국내)9"/>
      <sheetName val="Data_Sheet9"/>
      <sheetName val="6_수입검사_9"/>
      <sheetName val="03_PFD-19"/>
      <sheetName val="12_Inv_9"/>
      <sheetName val="97년_재료예산(안)9"/>
      <sheetName val="1_터빈9"/>
      <sheetName val="cost_base_e_dati9"/>
      <sheetName val="2__Definitions9"/>
      <sheetName val="코드_조건표10"/>
      <sheetName val="HMC_사전원가(원혁기준)13%9"/>
      <sheetName val="재품별_단가9"/>
      <sheetName val="장비_전체리스트9"/>
      <sheetName val="_17"/>
      <sheetName val="집중검사_리스트9"/>
      <sheetName val="production_dept9"/>
      <sheetName val="PS_SIDE_OTR_INR_공정개선_상세7"/>
      <sheetName val="Actual_In_&amp;_Out8"/>
      <sheetName val="1_2_2완제품검사('00_4월)_(가라)8"/>
      <sheetName val="4_Vendor_price8"/>
      <sheetName val="14년_증판안_판촉8"/>
      <sheetName val="2012_Volum9"/>
      <sheetName val="B053_(990701)공정능력PC%계산8"/>
      <sheetName val="P&amp;L_account9"/>
      <sheetName val="국내_8"/>
      <sheetName val="4,5공장_8"/>
      <sheetName val="시트_8"/>
      <sheetName val="VERTICAL_PIPE8"/>
      <sheetName val="TABLE_DB8"/>
      <sheetName val="쌍용_data_base8"/>
      <sheetName val="2과_공수집계8"/>
      <sheetName val="118_세금과공과8"/>
      <sheetName val="경영재무_(입력)8"/>
      <sheetName val="연구개발_(입력)8"/>
      <sheetName val="일반현황_(입력)8"/>
      <sheetName val="품질관리_(입력)8"/>
      <sheetName val="실행내역서_9"/>
      <sheetName val="개발_LIST9"/>
      <sheetName val="PC%계산(WM_COMM단차)9"/>
      <sheetName val="차체_품안표9"/>
      <sheetName val="1_1_2008_OTIF9"/>
      <sheetName val="BAFFLE_HMC_TABLE19"/>
      <sheetName val="1~3월_지시사항9"/>
      <sheetName val="1_POSITIONING9"/>
      <sheetName val="무부하_회전수9"/>
      <sheetName val="진행중_설변9"/>
      <sheetName val="HOLE_9905(1)9"/>
      <sheetName val="Upgrades_pricing8"/>
      <sheetName val="7_3_DY팀8"/>
      <sheetName val="PNL_ASS'Y_CRASH_PAD_UPR_RH8"/>
      <sheetName val="공정능력(마운틴_홀_거리)8"/>
      <sheetName val="Summary_Sheet8"/>
      <sheetName val="Datasheet_for_KPI_Model_18"/>
      <sheetName val="Moulding_data8"/>
      <sheetName val="TEAM하반기_계획_(2)8"/>
      <sheetName val="YOKE-H(10_3)8"/>
      <sheetName val="▶R_C_FRM8"/>
      <sheetName val="광주_소요량8"/>
      <sheetName val="5-Why_Root_Cause_Analysis_8"/>
      <sheetName val="full_(2)8"/>
      <sheetName val="초_성8"/>
      <sheetName val="CHECK_성8"/>
      <sheetName val="cpk_data8"/>
      <sheetName val="Drop-down_Lists8"/>
      <sheetName val="Bas_Moteur8"/>
      <sheetName val="신흥테크_세부내역_LIST3"/>
      <sheetName val="repeatative_rejection1"/>
      <sheetName val="Validation_Lists8"/>
      <sheetName val="Personnaliser___1"/>
      <sheetName val="Takt_Time1"/>
      <sheetName val="RFQ_18049"/>
      <sheetName val="보강사_소요량8"/>
      <sheetName val="LINE_운영안8"/>
      <sheetName val="원가_종합9"/>
      <sheetName val="DV_Flow_Chart_DV-PV1_(PFC)9"/>
      <sheetName val="MATEMST_(2)8"/>
      <sheetName val="Order_status9"/>
      <sheetName val="_18"/>
      <sheetName val="Order_status28"/>
      <sheetName val="Customer_Master8"/>
      <sheetName val="Common_code8"/>
      <sheetName val="Order_Status_Master8"/>
      <sheetName val="Product_Master8"/>
      <sheetName val="기초_데이터3"/>
      <sheetName val="Net_Revenue3"/>
      <sheetName val="중요차종_(090131)3"/>
      <sheetName val="사무용품_신청8"/>
      <sheetName val="Z41,Z42_이외total8"/>
      <sheetName val="제품별_매출9"/>
      <sheetName val="표지_(2)3"/>
      <sheetName val="99년12월_실적DATA3"/>
      <sheetName val="7)_133677343"/>
      <sheetName val="6_Parent_S__Fixed_Prod1"/>
      <sheetName val="Issues_List3"/>
      <sheetName val="LINE_PPM-분석3"/>
      <sheetName val="Actual_data3"/>
      <sheetName val="Data_Working_Time9"/>
      <sheetName val="Kautex_4WD_St_IV_P&amp;D1"/>
      <sheetName val="Sachs_FL_WHL1"/>
      <sheetName val="BOX_ASSY1"/>
      <sheetName val="Data_Input2"/>
      <sheetName val="원단위_1계_2계7"/>
      <sheetName val="11403-06163_เก่า7"/>
      <sheetName val="FM-HD_(New)7"/>
      <sheetName val="FM-HD_(HKMC)_7"/>
      <sheetName val="FM-HD_(11254-06201)__7"/>
      <sheetName val="FM-HD_(11251-06163)7"/>
      <sheetName val="FM-HD_(11514053)7"/>
      <sheetName val="FM-HD_(11611807)7"/>
      <sheetName val="FM-HD_(94502003)7"/>
      <sheetName val="FM-HD_(94501839)7"/>
      <sheetName val="FM-HD_(PT-GDENG0911-4)7"/>
      <sheetName val="FM-HD_(94520439)7"/>
      <sheetName val="FM-HD_(94500396)7"/>
      <sheetName val="FM-HD_(94500407)7"/>
      <sheetName val="FM-HD_(94500414)7"/>
      <sheetName val="FM-HD_(94500073)7"/>
      <sheetName val="FM-HD_(11588683)7"/>
      <sheetName val="FM-HD_(94500952)7"/>
      <sheetName val="FM-HD_(11569995)7"/>
      <sheetName val="FM-HD_(11254-06201)7"/>
      <sheetName val="FM-HD_(11588685)7"/>
      <sheetName val="FM-HD_(94500793)_7"/>
      <sheetName val="FM-HD_(11588717)7"/>
      <sheetName val="FM-HD_(HD-25198904)7"/>
      <sheetName val="FM-HD_(HD-11570514)_7"/>
      <sheetName val="FM-HD_(11097441)7"/>
      <sheetName val="FM-HD_(11588662)_7"/>
      <sheetName val="FM-HD_(11519387)7"/>
      <sheetName val="FM-HD_(11561969)7"/>
      <sheetName val="FM-HD_(11516580)7"/>
      <sheetName val="FM-HD_(11588712)___7"/>
      <sheetName val="FM-HD_(11519375)7"/>
      <sheetName val="FM-HD_(FAA32071001)__7"/>
      <sheetName val="FM-HD_(11519382)_7"/>
      <sheetName val="FM-HD_(11519383)_7"/>
      <sheetName val="FM-HD_(11561763)__7"/>
      <sheetName val="FM-HD_(11588316)__7"/>
      <sheetName val="Rollforward_{bpe}1"/>
      <sheetName val="Allow_-_SR&amp;D1"/>
      <sheetName val="220_(2)3"/>
      <sheetName val="PU_FOAM_가격조정_기준1"/>
      <sheetName val="Diaph1_values1"/>
      <sheetName val="Diaph2_values1"/>
      <sheetName val="Diaph_values1"/>
      <sheetName val="Cushion_datas1"/>
      <sheetName val="P_O_(LOCAL)1"/>
      <sheetName val="U268_4x4_AT(walk)Mitsu1"/>
      <sheetName val="UPPER_도면1"/>
      <sheetName val="20060624_공조제어2"/>
      <sheetName val="풍량상한치_제한_data2"/>
      <sheetName val="Source_List2"/>
      <sheetName val="delta_impedance(평균)1"/>
      <sheetName val="CONN_조립1"/>
      <sheetName val="Organization_chart201910021"/>
      <sheetName val="RESPONSIBILITY_MATRIX1"/>
      <sheetName val="_쿠첸_CIR-301_제원현황(170317)_xlsx"/>
      <sheetName val="BOM_CODE"/>
      <sheetName val="개조_요청서"/>
      <sheetName val="96_하반기_전시회_경비"/>
      <sheetName val="Summary_Capex_Info-Cal_(master)"/>
      <sheetName val="2_(1설원_첨)"/>
      <sheetName val="Grille_Q3P_Organe2"/>
      <sheetName val="Pt_Rates"/>
      <sheetName val="Table(APG_MF)"/>
      <sheetName val="Component_List"/>
      <sheetName val="Text_Control"/>
      <sheetName val="text_contl"/>
      <sheetName val="XD_담력저감"/>
      <sheetName val="원가검토가_(현양산품)"/>
      <sheetName val="원가검토가_(최초견적가)"/>
      <sheetName val="원가검토가_(최초양산품)"/>
      <sheetName val="RT_Table"/>
      <sheetName val="Histogram_Chart1"/>
      <sheetName val="Freq_error_DATA1"/>
      <sheetName val="Freq_HISTOGRAM1"/>
      <sheetName val="입력_데이타"/>
      <sheetName val="TLc_개조차(목표원가)"/>
      <sheetName val="Sheet1_(3)"/>
      <sheetName val="의장2반_"/>
      <sheetName val="Detail_Defect_COMBO_KAISER"/>
      <sheetName val="KQ_1"/>
      <sheetName val="28_8부"/>
      <sheetName val="3rd DESIGN APRD"/>
      <sheetName val="Data-year2001i"/>
      <sheetName val="Tien Thuong"/>
      <sheetName val="NC XL 6T cuoi 01 CTy"/>
      <sheetName val="Data -6T dau"/>
      <sheetName val="Cong 6T"/>
      <sheetName val="ORIGN"/>
      <sheetName val="도"/>
      <sheetName val="BEND LOSS"/>
      <sheetName val="지역개발"/>
      <sheetName val="980731"/>
      <sheetName val="Intercompany Detail"/>
      <sheetName val="plan&amp;section of foundation"/>
      <sheetName val="재료비집계표"/>
      <sheetName val="공정능력외경2OF3"/>
      <sheetName val="生产"/>
      <sheetName val="4. 가격구조"/>
      <sheetName val="판매일보"/>
      <sheetName val="HOSE절단생산"/>
      <sheetName val="PIPE절단생산"/>
      <sheetName val="PIPE성형생산"/>
      <sheetName val="총무"/>
      <sheetName val="연령현황"/>
      <sheetName val="등록양식(가로)"/>
      <sheetName val="수익율분석"/>
      <sheetName val="1 page"/>
      <sheetName val="Language"/>
      <sheetName val="Tabelle1"/>
      <sheetName val="대외"/>
      <sheetName val="Special rack (Packaging Input)"/>
      <sheetName val="0.LED ASSY"/>
      <sheetName val="TFT_Attendace1"/>
      <sheetName val="share_year=5"/>
      <sheetName val="일일붙여라"/>
      <sheetName val="소특"/>
      <sheetName val="95TOTREV"/>
      <sheetName val="9609Aß"/>
      <sheetName val="Stand off"/>
      <sheetName val="태광"/>
      <sheetName val="13.Inv."/>
      <sheetName val="판매 계획 대 실적"/>
      <sheetName val="스크랩(99→120)"/>
      <sheetName val="스크랩(120→220)"/>
      <sheetName val="99年度原単位"/>
      <sheetName val="interchange"/>
      <sheetName val="99퇴직"/>
      <sheetName val="Iden"/>
      <sheetName val="하나로통신"/>
      <sheetName val="투자검토_191011"/>
      <sheetName val="小时工标准"/>
      <sheetName val="0.주광원 LDM"/>
      <sheetName val="TECHNICAL DATA"/>
      <sheetName val="경영비율 "/>
      <sheetName val="수익분배율"/>
      <sheetName val="TRANSLQT"/>
      <sheetName val="TRIM-Y3"/>
      <sheetName val="Features"/>
      <sheetName val="Zuschläge,Tarife"/>
      <sheetName val="29134B2000-사"/>
      <sheetName val="B-ICT"/>
      <sheetName val="열간단조자동원가계산서"/>
      <sheetName val="FIX"/>
      <sheetName val="EX rate"/>
      <sheetName val="ﾃﾞｰﾀﾌﾛｰ一覧"/>
      <sheetName val="3~4.》在库计划SABC样式"/>
      <sheetName val="FPD"/>
      <sheetName val="Executive Summary"/>
      <sheetName val="facto顨"/>
      <sheetName val="대헾⾎"/>
      <sheetName val="LWR(TND특근 협의x)_덕.알"/>
      <sheetName val="I. Balance Sheet"/>
      <sheetName val="2020년도 교육 참석 현황_Raw Data"/>
      <sheetName val="1.사고건수"/>
      <sheetName val="3.사고 요인별"/>
      <sheetName val="피막예상"/>
      <sheetName val="전기"/>
      <sheetName val="Customer Grouping"/>
      <sheetName val="Standar"/>
      <sheetName val="작업일"/>
      <sheetName val="HD추이"/>
      <sheetName val="유화"/>
      <sheetName val="R-01"/>
      <sheetName val="CASTING CONDITION"/>
      <sheetName val="고객등록현황"/>
      <sheetName val="Gauge_R&amp;R"/>
      <sheetName val="Bia_TQT"/>
      <sheetName val="정의"/>
      <sheetName val="IS"/>
      <sheetName val="도움말"/>
      <sheetName val="copy of control valve"/>
      <sheetName val="기초부품"/>
      <sheetName val="발사관"/>
      <sheetName val="견적LIST"/>
      <sheetName val="EXP P1(PART)"/>
      <sheetName val="과거실적"/>
      <sheetName val="85725-D7500"/>
      <sheetName val="供方"/>
      <sheetName val="재고현황"/>
      <sheetName val="7407"/>
      <sheetName val="Settings"/>
      <sheetName val="Prob. Res. Index"/>
      <sheetName val="0.견적보고"/>
      <sheetName val="H11"/>
      <sheetName val="세로표지"/>
      <sheetName val="BT_Regions"/>
      <sheetName val="Start"/>
      <sheetName val="문서번호"/>
      <sheetName val="모비스경비표준"/>
      <sheetName val="BEZEL L외주"/>
      <sheetName val="NOZZLE ASSY-SIDE DEF LH"/>
      <sheetName val="PLFM01"/>
      <sheetName val="평균환율"/>
      <sheetName val="Jan-30-99"/>
      <sheetName val="연계-GPM-BRAND"/>
      <sheetName val="FAB"/>
      <sheetName val="급여 예상 (2017)인상후"/>
      <sheetName val="MAIN 4"/>
      <sheetName val="4월실적"/>
      <sheetName val="SURVEY TVD"/>
      <sheetName val="Investment Management Master"/>
      <sheetName val="ESTI."/>
      <sheetName val="DI-ESTI"/>
      <sheetName val="CP khau hao"/>
      <sheetName val="ns chung"/>
      <sheetName val="dongia (2)"/>
      <sheetName val="THĐH E4"/>
      <sheetName val="THĐH E3"/>
      <sheetName val="기계Ĩ1998~2003년)작업본"/>
      <sheetName val="항목별팀별예산"/>
      <sheetName val="기준단가설정"/>
      <sheetName val="안산선부동진행률"/>
      <sheetName val="덕전리"/>
      <sheetName val="공_x0000_"/>
      <sheetName val="1_TM18"/>
      <sheetName val="2_align18"/>
      <sheetName val="3_JUDDER18"/>
      <sheetName val="4_M_S18"/>
      <sheetName val="5_P_W_R18"/>
      <sheetName val="6_F_G18"/>
      <sheetName val="7__SCABLE18"/>
      <sheetName val="8_DIFF18"/>
      <sheetName val="9_A_C18"/>
      <sheetName val="10_GEAR18"/>
      <sheetName val="11_ISC18"/>
      <sheetName val="12_ALT18"/>
      <sheetName val="13_O_S18"/>
      <sheetName val="14_silencer18"/>
      <sheetName val="15_DAMPER18"/>
      <sheetName val="16_HUB18"/>
      <sheetName val="17_DLOCK18"/>
      <sheetName val="18_PSP18"/>
      <sheetName val="19_누수18"/>
      <sheetName val="20_K_S18"/>
      <sheetName val="차체부품_INS_REPORT(갑)17"/>
      <sheetName val="FUEL_FILLER17"/>
      <sheetName val="2_대외공문18"/>
      <sheetName val="5_WIRE적용LIST17"/>
      <sheetName val="_납촉자17"/>
      <sheetName val="진행_DATA_(2)18"/>
      <sheetName val="외주현황_wq118"/>
      <sheetName val="LX3_0_RR17"/>
      <sheetName val="3_일반사상17"/>
      <sheetName val="3-2_귀책부서별_DT현황17"/>
      <sheetName val="SUB_2월_재검사추이도17"/>
      <sheetName val="5_세운W-A18"/>
      <sheetName val="GB-IC_Villingen_GG18"/>
      <sheetName val="JT3_0견적-구117"/>
      <sheetName val="c_db23"/>
      <sheetName val="B053_(990701)공정실적PP%계산18"/>
      <sheetName val="1_2내수16"/>
      <sheetName val="일일_업무_현황_(3)11"/>
      <sheetName val="일일_업무_현황_(5)11"/>
      <sheetName val="0_절삭조건11"/>
      <sheetName val="DATA_BASE10"/>
      <sheetName val="금형_(2)14"/>
      <sheetName val="CR_CODE10"/>
      <sheetName val="THEME_CODE10"/>
      <sheetName val="14_1부17"/>
      <sheetName val="MPL_技連11"/>
      <sheetName val="342E_BLOCK11"/>
      <sheetName val="J150_승인진도관리_LIST10"/>
      <sheetName val="TOTAL_LIST10"/>
      <sheetName val="Price_Range10"/>
      <sheetName val="FTR_MACRo10"/>
      <sheetName val="VS1_Paretto분석11"/>
      <sheetName val="생산현황_(입력)10"/>
      <sheetName val="협력사_일반현황11"/>
      <sheetName val="MPS_Q3_FY0410"/>
      <sheetName val="MPS_Q4_FY0410"/>
      <sheetName val="1_ER유체응용10"/>
      <sheetName val="4_시험장비10"/>
      <sheetName val="Evaluation_objects17"/>
      <sheetName val="FRONT_HUB견적가11"/>
      <sheetName val="1-1_General_Code10"/>
      <sheetName val="임율_&amp;_LOT10"/>
      <sheetName val="생산계획_(2)10"/>
      <sheetName val="상세_계산_내역16"/>
      <sheetName val="포머_비가동_내역11"/>
      <sheetName val="CASE_ASM17"/>
      <sheetName val="1_세부비교원가(내수)10"/>
      <sheetName val="1_종합비교원가(내수_일반_유럽)10"/>
      <sheetName val="P&amp;L,Bal_Sheet,Cash_Forecast10"/>
      <sheetName val="1ဲ_ALT18"/>
      <sheetName val="1ဳ_O_S18"/>
      <sheetName val="15_၄AMPER18"/>
      <sheetName val="二_POSITION_XLS18"/>
      <sheetName val="OPT손익_내수18"/>
      <sheetName val="OPT손익_수출18"/>
      <sheetName val="BACK_DATA_08_7_1~18"/>
      <sheetName val="E_W18"/>
      <sheetName val="P_W18"/>
      <sheetName val="S_W18"/>
      <sheetName val="TEMP_TORQUE18"/>
      <sheetName val="BACK_DATA18"/>
      <sheetName val="126_25517"/>
      <sheetName val="매출종합_`0917"/>
      <sheetName val="소상_&quot;1&quot;17"/>
      <sheetName val="검사기준서_을_치수17"/>
      <sheetName val="검사기준서_갑17"/>
      <sheetName val="검사기준서_을17"/>
      <sheetName val="검사협정_갑17"/>
      <sheetName val="검사성적서_갑17"/>
      <sheetName val="검사성적서_을17"/>
      <sheetName val="검사성적서_병17"/>
      <sheetName val="Nego_PV17"/>
      <sheetName val="1_변경범위18"/>
      <sheetName val="팀별_합계17"/>
      <sheetName val="설비능력및_종합공정능력산출시_사용17"/>
      <sheetName val="일일_생산및판매계획_대_실적10"/>
      <sheetName val="업체별_단가현황10"/>
      <sheetName val="FLOW_PROSES_(A)13"/>
      <sheetName val="02_07_27_부품판매가10"/>
      <sheetName val="비교원가제출_고10"/>
      <sheetName val="03_PFD-110"/>
      <sheetName val="Basic_assumptions11"/>
      <sheetName val="MACRO1_XLM16"/>
      <sheetName val="내수1_8GL17"/>
      <sheetName val="2__Definitions10"/>
      <sheetName val="LAMBDA_자작17"/>
      <sheetName val="운임_환차손-Y18"/>
      <sheetName val="개발_TOOL_집계표16"/>
      <sheetName val="경상_개발비16"/>
      <sheetName val="코드_조건표11"/>
      <sheetName val="HMC_사전원가(원혁기준)13%10"/>
      <sheetName val="2차_OIL량측정10"/>
      <sheetName val="재품별_단가10"/>
      <sheetName val="개발_LIST10"/>
      <sheetName val="production_dept10"/>
      <sheetName val="VPP(BD-010)_이상보고10"/>
      <sheetName val="차체_품안표10"/>
      <sheetName val="6_수입검사_10"/>
      <sheetName val="12_Inv_10"/>
      <sheetName val="97년_재료예산(안)10"/>
      <sheetName val="1_터빈10"/>
      <sheetName val="cost_base_e_dati10"/>
      <sheetName val="장비_전체리스트10"/>
      <sheetName val="계산_DATA_입력16"/>
      <sheetName val="_19"/>
      <sheetName val="집중검사_리스트10"/>
      <sheetName val="10_예산_및_원가_계획(02년)10"/>
      <sheetName val="실행내역서_10"/>
      <sheetName val="Data_Sheet10"/>
      <sheetName val="PNL_ASS'Y_CRASH_PAD_UPR_RH9"/>
      <sheetName val="BAFFLE_HMC_TABLE110"/>
      <sheetName val="1_1_2008_OTIF10"/>
      <sheetName val="Moulding_data9"/>
      <sheetName val="SCP_46"/>
      <sheetName val="SCP_5_D2UXT6"/>
      <sheetName val="SCP_6_D2UX6"/>
      <sheetName val="Invest_(MAC)6"/>
      <sheetName val="SCP_Apr20156"/>
      <sheetName val="S50_9"/>
      <sheetName val="PRESS_DATA16"/>
      <sheetName val="Cost_Reduction16"/>
      <sheetName val="PC%계산(WM_COMM단차)10"/>
      <sheetName val="무부하_회전수10"/>
      <sheetName val="1~3월_지시사항10"/>
      <sheetName val="1_POSITIONING10"/>
      <sheetName val="진행중_설변10"/>
      <sheetName val="▶R_C_FRM9"/>
      <sheetName val="Value_Analysis_-_Sheet_110"/>
      <sheetName val="Upgrades_pricing9"/>
      <sheetName val="7_3_DY팀9"/>
      <sheetName val="5-Why_Root_Cause_Analysis_9"/>
      <sheetName val="TEAM하반기_계획_(2)9"/>
      <sheetName val="XMA_12월_8,000대_원,부자재_完6"/>
      <sheetName val="YFA_10월분_원자재(10_12)_미납완료_完6"/>
      <sheetName val="YFA_10월분_부자재(10_7,9)_FEDEX_完6"/>
      <sheetName val="HOLE_9905(1)10"/>
      <sheetName val="_20"/>
      <sheetName val="공정능력(마운틴_홀_거리)9"/>
      <sheetName val="Summary_Sheet9"/>
      <sheetName val="Datasheet_for_KPI_Model_19"/>
      <sheetName val="2-1_제품군별계획대비실적(B_A)8"/>
      <sheetName val="OEM_이의제기_종합9"/>
      <sheetName val="Master_Cable16"/>
      <sheetName val="DBL_LPG시험11"/>
      <sheetName val="INVESTMENT_(Hardware)12"/>
      <sheetName val="0_CHMSL_LED_ASSY6"/>
      <sheetName val="광주_소요량9"/>
      <sheetName val="초_성9"/>
      <sheetName val="CHECK_성9"/>
      <sheetName val="공정능력_(2)16"/>
      <sheetName val="cpk_data9"/>
      <sheetName val="full_(2)9"/>
      <sheetName val="Production_Plan110"/>
      <sheetName val="GAGE_R&amp;R(FRT_UPR)6"/>
      <sheetName val="중공업_실적6"/>
      <sheetName val="_하반기_경비_조정계획_150627(사계_r2_기준)_6"/>
      <sheetName val="불량_리스트6"/>
      <sheetName val="불량_코드6"/>
      <sheetName val="Team_종합6"/>
      <sheetName val="RFQ_Template6"/>
      <sheetName val="3월말_장기악성(국내)10"/>
      <sheetName val="2월말_장기악성(국내)10"/>
      <sheetName val="YOKE-H(10_3)9"/>
      <sheetName val="TABLE_DB9"/>
      <sheetName val="쌍용_data_base9"/>
      <sheetName val="VERTICAL_PIPE9"/>
      <sheetName val="2과_공수집계9"/>
      <sheetName val="108_수선비6"/>
      <sheetName val="품의서양식_(3)6"/>
      <sheetName val="1__보고6"/>
      <sheetName val="Input_Page3"/>
      <sheetName val="Input_Sheet3"/>
      <sheetName val="Aug01_Status_Rpt3"/>
      <sheetName val="Base_Info3"/>
      <sheetName val="ISSUE_LIST6"/>
      <sheetName val="업무분장_10"/>
      <sheetName val="DV_Flow_Chart_DV-PV1_(PFC)10"/>
      <sheetName val="MATEMST_(2)9"/>
      <sheetName val="X-3_ENG16"/>
      <sheetName val="REAR_6"/>
      <sheetName val="abs_dac검사대비분석자료26"/>
      <sheetName val="RFQ_Form6"/>
      <sheetName val="BI-FUEL_AIR_VENT_PIPE6"/>
      <sheetName val="_0602주-무결점운동_진행현황_보고_(201406105"/>
      <sheetName val="공정별공법-W_HSE-LH10"/>
      <sheetName val="4_Vendor_price9"/>
      <sheetName val="14년_증판안_판촉9"/>
      <sheetName val="Actual_In_&amp;_Out9"/>
      <sheetName val="1_TAT_Info_6"/>
      <sheetName val="1_종합평가표6"/>
      <sheetName val="CAPA분석_360K13"/>
      <sheetName val="ALPROFILE_발주실적16"/>
      <sheetName val="신고서_전11"/>
      <sheetName val="Sheet6_(3)16"/>
      <sheetName val="영업_일111"/>
      <sheetName val="(2)월생산현황_5"/>
      <sheetName val="RFQ_180410"/>
      <sheetName val="DS_MBR_RR_Side__-_PcA5"/>
      <sheetName val="Europe_PU-15"/>
      <sheetName val="4_20)통계적기법관리절차서5"/>
      <sheetName val="Dual_PMP수율5"/>
      <sheetName val="GLOBAL_PT_NEW_FORMAT_OCT_200216"/>
      <sheetName val="Sch7a_(토요일)16"/>
      <sheetName val="실적_및_계획16"/>
      <sheetName val="Sheet1_(2)16"/>
      <sheetName val="PRO_(참조)16"/>
      <sheetName val="_PPAP_작성중__xlsx11"/>
      <sheetName val="PFMEA_XLS11"/>
      <sheetName val="기타_부자재5"/>
      <sheetName val="Full_PBD5"/>
      <sheetName val="첨부13__사출(PAD)_카메라2"/>
      <sheetName val="Cover_page3"/>
      <sheetName val="Adjusted_OI3"/>
      <sheetName val="Adjusted_OI_(2)3"/>
      <sheetName val="Income_Stmt_(USD)3"/>
      <sheetName val="Income_Stmt_(RMB)3"/>
      <sheetName val="IS_Loc_Adj3"/>
      <sheetName val="Balance_Sht_(USD)3"/>
      <sheetName val="BS_Loc+Adj3"/>
      <sheetName val="Balance_Sht_(RMB)3"/>
      <sheetName val="Cash_Flow_(USD)3"/>
      <sheetName val="Cash_Forecast3"/>
      <sheetName val="IC_AP_AR4"/>
      <sheetName val="Cash_Cross_check3"/>
      <sheetName val="Unit_Price_without_LTA&amp;Pricing3"/>
      <sheetName val="Sales_without_LTA&amp;Pricing3"/>
      <sheetName val="Unit_ECN_Sales3"/>
      <sheetName val="Total_ECN_Sales3"/>
      <sheetName val="LTA_Percentage3"/>
      <sheetName val="LTA_Amount3"/>
      <sheetName val="Total_P2P3"/>
      <sheetName val="Net_Sales3"/>
      <sheetName val="Unit_Mat_Cost_Without_PS_VAVE3"/>
      <sheetName val="Material_cost_without_PS_VAVE3"/>
      <sheetName val="Unit_ECN_cost3"/>
      <sheetName val="ECN_cost_saving3"/>
      <sheetName val="Unit_Purchase_Saving3"/>
      <sheetName val="Total_Purchase_Saving3"/>
      <sheetName val="Unit_VAVE_Saving3"/>
      <sheetName val="Total_VAVE3"/>
      <sheetName val="Unit_Margin_Improvement3"/>
      <sheetName val="Total_Margin_Improvement3"/>
      <sheetName val="Unit_mat__cost_after_PS_VAVE3"/>
      <sheetName val="Total_Mat_cost_after_PS_VAVE3"/>
      <sheetName val="Unit_Inb_Freight_Rate3"/>
      <sheetName val="Inboud_Freight_Amount3"/>
      <sheetName val="Unit_Inb-Duty3"/>
      <sheetName val="Inbound_Duty3"/>
      <sheetName val="Material_cost_before_Scrap3"/>
      <sheetName val="Scrap_Rate3"/>
      <sheetName val="Scrap_Amount3"/>
      <sheetName val="Scrap_recovery_rate3"/>
      <sheetName val="Scrap_Recovery_Amount3"/>
      <sheetName val="Unit_Production_Auxiliary3"/>
      <sheetName val="Production_Auxiliary3"/>
      <sheetName val="Net_Material3"/>
      <sheetName val="Unit_OB_freight3"/>
      <sheetName val="Total_OB_freight3"/>
      <sheetName val="Total_LC&amp;OVH3"/>
      <sheetName val="LC&amp;OVH_Undefined_Var_3"/>
      <sheetName val="LC&amp;OVH_Undefined_Fix_3"/>
      <sheetName val="Total_headcount_&amp;_labor_cost3"/>
      <sheetName val="Direct_Labor_Cost3"/>
      <sheetName val="Indirect_Labor_Cost3"/>
      <sheetName val="Salary_Cost3"/>
      <sheetName val="MSI_-_FY(RMB)3"/>
      <sheetName val="MSI_-_Comm_Sales3"/>
      <sheetName val="MSI_-_IC_Sales3"/>
      <sheetName val="MSI_-_Mat_Cost3"/>
      <sheetName val="MSI_-_Direct_Labor3"/>
      <sheetName val="MSI_-_Variable_OH3"/>
      <sheetName val="MSI_-_Fixed_OH3"/>
      <sheetName val="2000_(원본)2"/>
      <sheetName val="Danh_Mục3"/>
      <sheetName val="Danh_Muc3"/>
      <sheetName val="_SR3차원단위_(3)10"/>
      <sheetName val="Rate_data16"/>
      <sheetName val="대외공문_10"/>
      <sheetName val="외주품_감점_유형_기준16"/>
      <sheetName val="Danh_sach_Hàn_thùng2"/>
      <sheetName val="Mẫu_DMVT2"/>
      <sheetName val="Mẫu_DMVT_(2)2"/>
      <sheetName val="DANH_MỤC_NHÓM_ĐỐI_TƯỢNG2"/>
      <sheetName val="Nhap_T82"/>
      <sheetName val="Begining_detail-CTIET2"/>
      <sheetName val="Summary-TOMLUOC_2"/>
      <sheetName val="SO_TONG_HOP_CONG_NO2"/>
      <sheetName val="DM_KHAU_HAO2"/>
      <sheetName val="THƯ_VIỆN2"/>
      <sheetName val="Nguon_PT_xetai2"/>
      <sheetName val="Nguon_PT_xe_Ben2"/>
      <sheetName val="Bien_so2"/>
      <sheetName val="MỤC_LỤC2"/>
      <sheetName val="Ghi_chú2"/>
      <sheetName val="1__Định_hướng_HĐ_CN_năm_20192"/>
      <sheetName val="2_1_Tổng_quan_TT_KD_xe_DL2"/>
      <sheetName val="2_2_Tổng_quan_TT_DVPT_DL2"/>
      <sheetName val="3_1__ĐKM_xe_DL2"/>
      <sheetName val="3_2_1__KH_KD-MKT_&amp;_TCKD_xe_KIA2"/>
      <sheetName val="3_2_2_CSBH_KIA2"/>
      <sheetName val="3_2_3__KH_KD-MKT&amp;TCKD_DVPT2"/>
      <sheetName val="Pv_SL2"/>
      <sheetName val="3_3_1_KH_KD-MKT_&amp;_TCKD_Mazda2"/>
      <sheetName val="3_3_2_CSBH_MAZDA2"/>
      <sheetName val="3_3_3_KH_KD-MKT&amp;TCKD_DVPT_MAZD2"/>
      <sheetName val="3_4__DVPT_SR_KIA_MAZDA2"/>
      <sheetName val="3_4_1_KH_KD-MKT&amp;TCKD_PEUGEOT2"/>
      <sheetName val="3_4_2_CSBH_PEUGEOT2"/>
      <sheetName val="3_4_3_KH_KD-MKT&amp;TC_DVPT_PEUGEO2"/>
      <sheetName val="3_5__TÀI_CHÍNH_KD_XE_KIA_MAZDA2"/>
      <sheetName val="4_1_Tổng_quan_TT_KD_Tai,_Bus2"/>
      <sheetName val="4_2_Tổng_quan_TT_DVPT_Tai_Bus2"/>
      <sheetName val="5_1__ĐKM_xe_Tai,_Bus2"/>
      <sheetName val="PTBH_20182"/>
      <sheetName val="SL_-_TVBH2"/>
      <sheetName val="5_2a__KD_Xe_Fuso2"/>
      <sheetName val="5_2b__KD_Xe_Foton2"/>
      <sheetName val="5_2c__KD_Xe_Bus2"/>
      <sheetName val="5_2__KH_KD-MKT&amp;TCKD_xe_Tải,_Bu2"/>
      <sheetName val="5_3__CSBH_xe_Tải,_Bus2"/>
      <sheetName val="5_4_KH_KD-MKT&amp;TC_DVPT_Tải,_Bus2"/>
      <sheetName val="Review_note2"/>
      <sheetName val="6_1_ĐKĐK2"/>
      <sheetName val="6_2__Bảo_hiểm2"/>
      <sheetName val="6_3__Tín_dụng2"/>
      <sheetName val="6_4__GSHT_&amp;_PH2"/>
      <sheetName val="6_5_DVHT2"/>
      <sheetName val="7_1_KH_nhân_sự2"/>
      <sheetName val="7_2__Định_biên_&amp;_Lương2"/>
      <sheetName val="7_3_KH_thưởng_năng_suất2"/>
      <sheetName val="Check_TH2"/>
      <sheetName val="8__Hành_chính2"/>
      <sheetName val="8_12"/>
      <sheetName val="9_1__Duy_tu_bảo_trì2"/>
      <sheetName val="9_2__Cải_tạo,_nâng_cấp2"/>
      <sheetName val="10__TSCĐ_-_CCDC2"/>
      <sheetName val="11D__Tài_chính_KD_XE_TỔNG2"/>
      <sheetName val="11E__Tài_chính_KD_DVPT_TỔNG2"/>
      <sheetName val="11A__Tài_chính_SR_KIA2"/>
      <sheetName val="11B__Tài_chính_SR_MAZDA2"/>
      <sheetName val="11D__Tài_chính_SR_Peugout2"/>
      <sheetName val="11C__Tài_chính_SR_TẢI_BUS2"/>
      <sheetName val="11D__Tài_chính_SR_Du_lịch2"/>
      <sheetName val="11__Tài_chính_Chi_nhánh2"/>
      <sheetName val="12__SĐTC2"/>
      <sheetName val="3-2002년_소모공구비3"/>
      <sheetName val="CONSUMO_DE_RESINA_5"/>
      <sheetName val="MS_SPEC2"/>
      <sheetName val="Tool_Type2"/>
      <sheetName val="LCAUTO_43"/>
      <sheetName val="LCAT수_조3"/>
      <sheetName val="_Common_Info_Page3"/>
      <sheetName val="AQL(0_65)2"/>
      <sheetName val="1_TP조립6"/>
      <sheetName val="NEW_TOOL_MASTER3"/>
      <sheetName val="8월_매출현황3"/>
      <sheetName val="3공장_순양전자3"/>
      <sheetName val="현진테크_(2)3"/>
      <sheetName val="동경cnc_지그3"/>
      <sheetName val="대한테크_집계3"/>
      <sheetName val="서연전자_(2)3"/>
      <sheetName val="삼익전자_(2)3"/>
      <sheetName val="삼익산업_(2)3"/>
      <sheetName val="시무인텔_(2)3"/>
      <sheetName val="성우일렉스_(2)3"/>
      <sheetName val="성호테크_(2)3"/>
      <sheetName val="2009년_매출_실적2"/>
      <sheetName val="개발원가_종합3"/>
      <sheetName val="2008_г11"/>
      <sheetName val="RELAY_FAX양식11"/>
      <sheetName val="상세_견적서_(HMC)11"/>
      <sheetName val="2_중요한회계정책11"/>
      <sheetName val="9_관계기업투자11"/>
      <sheetName val="42_리스11"/>
      <sheetName val="25_법인세11"/>
      <sheetName val="Proj_List_00E11"/>
      <sheetName val="Bosch_ADVP&amp;R16"/>
      <sheetName val="Bas_Moteur9"/>
      <sheetName val="국내_9"/>
      <sheetName val="4,5공장_9"/>
      <sheetName val="시트_9"/>
      <sheetName val="GLOBAL_PT_NEW_FORMAT_JULY__2011"/>
      <sheetName val="02년_SUC16"/>
      <sheetName val="3_PT개발계획10"/>
      <sheetName val="원단위_전후비교16"/>
      <sheetName val="3__관리점지수실적-1_1생산성16"/>
      <sheetName val="Sec_1_-_RFQ16"/>
      <sheetName val="ERP도입후_시정현황10"/>
      <sheetName val="Purchasing_Data10"/>
      <sheetName val="6_N_m_CCW_전류10"/>
      <sheetName val="c_db114"/>
      <sheetName val="고객불만_건10"/>
      <sheetName val="General_Assumptions2"/>
      <sheetName val="외주수입검사_종합(6월)6"/>
      <sheetName val="금형_이력_카드3"/>
      <sheetName val="소재_이력3"/>
      <sheetName val="99_조정금액3"/>
      <sheetName val="3__Acronyms_and_abbreviations2"/>
      <sheetName val="05_新Table(간접직)2"/>
      <sheetName val="05계약내역(기존T_활용)2"/>
      <sheetName val="3_3검토국9"/>
      <sheetName val="THS_-_Key_Inputs3"/>
      <sheetName val="거래선별_매출현황_내역5"/>
      <sheetName val="수식파일_(삭제금지)2"/>
      <sheetName val="03년_체제결과5"/>
      <sheetName val="5_Why's2"/>
      <sheetName val="PMBG12LD_장비및인원소요(D_A기준)_2"/>
      <sheetName val="97계획(96_119"/>
      <sheetName val="Drop-down_Lists9"/>
      <sheetName val="B053_(990701)공정능력PC%계산9"/>
      <sheetName val="2012_Volum10"/>
      <sheetName val="Supplier_QRQC9"/>
      <sheetName val="GM_Master10"/>
      <sheetName val="4_3_첨부110"/>
      <sheetName val="검사협정_보충9"/>
      <sheetName val="제품명_(3)10"/>
      <sheetName val="09년_현황10"/>
      <sheetName val="WTC_BODY一覧原紙10"/>
      <sheetName val="1_기안을지9"/>
      <sheetName val="2005년_소요량2"/>
      <sheetName val="Input_Form_-_EingabeMaske2"/>
      <sheetName val="MASTER_DATA1"/>
      <sheetName val="_제9차_회사표준_제개정_공청회_이의제기신청서_XLSX2"/>
      <sheetName val="InspectionData_(2)2"/>
      <sheetName val="부품_LIST2"/>
      <sheetName val="천정등기구_실적2"/>
      <sheetName val="List_Total2"/>
      <sheetName val="Person_Cost2"/>
      <sheetName val="THEO_DÕI_THAI_SẢN_(2)2"/>
      <sheetName val="Time_Man2"/>
      <sheetName val="Salary(Cus_)2"/>
      <sheetName val="OT_OVER2"/>
      <sheetName val="Segment_4_Bid_Sheet2"/>
      <sheetName val="Hi6810_功能信号表2"/>
      <sheetName val="6_FQC检验数据2"/>
      <sheetName val="2003_prod22"/>
      <sheetName val="2003_Target2"/>
      <sheetName val="RA_Bearer2"/>
      <sheetName val="Trend_Total_nguyên_nhân2"/>
      <sheetName val="設備預算總表附件3_2"/>
      <sheetName val="FA_Definitions2"/>
      <sheetName val="11_Inv_2"/>
      <sheetName val="Budget_Imt_mensuel_(CFO)2"/>
      <sheetName val="CDV_Pte_mensuel2"/>
      <sheetName val="Evol_Prod_(Eqpt)2"/>
      <sheetName val="CAPVR_Pte_mensuel2"/>
      <sheetName val="SEP_20072"/>
      <sheetName val="Q1_&amp;_Q22"/>
      <sheetName val="LINE_PPM-분석4"/>
      <sheetName val="Value_2"/>
      <sheetName val="CPK(Process_Capanility)2"/>
      <sheetName val="종합원가분석_1_2"/>
      <sheetName val="1_생산02"/>
      <sheetName val="1_개발개요2"/>
      <sheetName val="G-Exchange_#6672"/>
      <sheetName val="C-Mix_Rate_&amp;_Revenue(calc)2"/>
      <sheetName val="01년2월현황_2"/>
      <sheetName val="2차_OI3"/>
      <sheetName val="devis_qcdp22"/>
      <sheetName val="22_보증금(전신전화가입권)2"/>
      <sheetName val="39_미지급법인세2"/>
      <sheetName val="Z41,Z42_이외total9"/>
      <sheetName val="개인별_교육현황2"/>
      <sheetName val="관리구역_책임자(181010)2"/>
      <sheetName val="ACU기청소2018-05-04_(3)2"/>
      <sheetName val="ASM_A동2"/>
      <sheetName val="SMT구역_(2)2"/>
      <sheetName val="관리구역_체크시트2"/>
      <sheetName val="관리구역_평가시트2"/>
      <sheetName val="담당자편성표_(B)2"/>
      <sheetName val="조립A구역_(2)2"/>
      <sheetName val="개선보고서_(2)2"/>
      <sheetName val="INATAKE_SYS2"/>
      <sheetName val="영업_입수계획_2"/>
      <sheetName val="참고1_02_판매계획_(수량)2"/>
      <sheetName val="전사_경영계획_수량2"/>
      <sheetName val="Duration_2"/>
      <sheetName val="02_08생산대상대수2"/>
      <sheetName val="Cty+XN(KT_2005)2"/>
      <sheetName val="20060624_공조제어3"/>
      <sheetName val="공정공수_XLS2"/>
      <sheetName val="풍량상한치_제한_data3"/>
      <sheetName val="Source_List3"/>
      <sheetName val="After_sales10"/>
      <sheetName val="Interco_&amp;_PVS_Loc_Cur9"/>
      <sheetName val="OEM_Plan10"/>
      <sheetName val="첨부4_기술평가서9"/>
      <sheetName val="99년12월_실적DATA4"/>
      <sheetName val="J2(P_MT)9"/>
      <sheetName val="PS_SIDE_OTR_INR_공정개선_상세8"/>
      <sheetName val="TL_PROTO_2열4"/>
      <sheetName val="★금형비_계산서9"/>
      <sheetName val="LOWSIDE_비교9"/>
      <sheetName val="PACKING_LIST4"/>
      <sheetName val="COOLING_UNIT4"/>
      <sheetName val="자동차_종합지표10"/>
      <sheetName val="보강사_소요량9"/>
      <sheetName val="P&amp;L_account10"/>
      <sheetName val="118_세금과공과9"/>
      <sheetName val="경영재무_(입력)9"/>
      <sheetName val="연구개발_(입력)9"/>
      <sheetName val="일반현황_(입력)9"/>
      <sheetName val="품질관리_(입력)9"/>
      <sheetName val="1_2_2완제품검사('00_4월)_(가라)9"/>
      <sheetName val="#1-1_(2)4"/>
      <sheetName val="2-2_매출분석4"/>
      <sheetName val="기초_DATA4"/>
      <sheetName val="신흥테크_세부내역_LIST4"/>
      <sheetName val="Issues_List4"/>
      <sheetName val="Actual_data4"/>
      <sheetName val="기준정보(A)_15_10_274"/>
      <sheetName val="단중_및_예비길이_SHEET_15_9_5(K)4"/>
      <sheetName val="15_1_02_15년_1월예시계획4"/>
      <sheetName val="15년_12월_시작재공품_15_12_34"/>
      <sheetName val="기준정보(A)_12_02_234"/>
      <sheetName val="STD__CAB4"/>
      <sheetName val="STD__NCAB4"/>
      <sheetName val="원소재_변경_상세4"/>
      <sheetName val="직거래가_변경4"/>
      <sheetName val="PL_By_Model(Result)3"/>
      <sheetName val="24_냉각실용添12"/>
      <sheetName val="노원열병합__건축공사기성내역서4"/>
      <sheetName val="Gia_vat_tu4"/>
      <sheetName val="Data_Not_Used4"/>
      <sheetName val="FTQ_Data4"/>
      <sheetName val="Int_Pulls_Data4"/>
      <sheetName val="Int_Spills_Data4"/>
      <sheetName val="PPM_Data4"/>
      <sheetName val="Pulls_Data4"/>
      <sheetName val="Spills_Data4"/>
      <sheetName val="PP%-low_RPM2"/>
      <sheetName val="After_Sales_Supplier_#'s2"/>
      <sheetName val="원단위_1계_2계8"/>
      <sheetName val="한일자야(감액손실)_(2)2"/>
      <sheetName val="NUEVO_MODELOS_20182"/>
      <sheetName val="ADJTBL_31002"/>
      <sheetName val="400H_가공,금형비2"/>
      <sheetName val="AOP_Summary-22"/>
      <sheetName val="Danh_sach1"/>
      <sheetName val="Bang_KL1"/>
      <sheetName val="Lcau_-_Lxuc1"/>
      <sheetName val="Validation_Lists9"/>
      <sheetName val="BOX_ASSY2"/>
      <sheetName val="CAR_Form_Summary2"/>
      <sheetName val="Personnaliser___2"/>
      <sheetName val="Takt_Time2"/>
      <sheetName val="Data_Input3"/>
      <sheetName val="원가_종합10"/>
      <sheetName val="DS-Thuong_6T_dau1"/>
      <sheetName val="CHI_TIẾT1"/>
      <sheetName val="견적서_detail_Main_11"/>
      <sheetName val="LINE_운영안9"/>
      <sheetName val="Schedule_12"/>
      <sheetName val="제품별_매출10"/>
      <sheetName val="Data_Working_Time10"/>
      <sheetName val="Order_status10"/>
      <sheetName val="Order_status29"/>
      <sheetName val="Customer_Master9"/>
      <sheetName val="Common_code9"/>
      <sheetName val="Order_Status_Master9"/>
      <sheetName val="Product_Master9"/>
      <sheetName val="사무용품_신청9"/>
      <sheetName val="Net_Revenue4"/>
      <sheetName val="7)_133677344"/>
      <sheetName val="기초_데이터4"/>
      <sheetName val="Rollforward_{bpe}2"/>
      <sheetName val="Allow_-_SR&amp;D2"/>
      <sheetName val="220_(2)4"/>
      <sheetName val="표지_(2)4"/>
      <sheetName val="중요차종_(090131)4"/>
      <sheetName val="PU_FOAM_가격조정_기준2"/>
      <sheetName val="개선대책_양식4"/>
      <sheetName val="S_P1"/>
      <sheetName val="R_FJS_CAR_(old)1"/>
      <sheetName val="Certificate_list_1"/>
      <sheetName val="REPAIR_DATA_-_CONTAINER_#53"/>
      <sheetName val="6_Parent_S__Fixed_Prod2"/>
      <sheetName val="Material_References2"/>
      <sheetName val="BOM_Cost_(R-U713MHH)1"/>
      <sheetName val="케이스_재공_재고1"/>
      <sheetName val="BAT1_1"/>
      <sheetName val="업체손실공수_xls2"/>
      <sheetName val="FRT_재료비1"/>
      <sheetName val="8_공정능력평가(5)1"/>
      <sheetName val="U268_4x4_AT(walk)Mitsu2"/>
      <sheetName val="2_Underbody_DT1"/>
      <sheetName val="FAX_(2)1"/>
      <sheetName val="0_주광원_LED_ASSY1"/>
      <sheetName val="9_초기공정능력조사(을)1"/>
      <sheetName val="1-1_연월차_개인별_보전수당1"/>
      <sheetName val="00-Input_Values1"/>
      <sheetName val="Input_Values1"/>
      <sheetName val="Corp_acronym1"/>
      <sheetName val="4_销售计划1"/>
      <sheetName val="Output_1_(2)1"/>
      <sheetName val="해외)_MASTER_DATA"/>
      <sheetName val="국내)_마스터_데이터"/>
      <sheetName val="Group_Consolidated"/>
      <sheetName val="입력_List4"/>
      <sheetName val="DO_NOT_DELETE3"/>
      <sheetName val="기종별_합계1"/>
      <sheetName val="Export_Data1"/>
      <sheetName val="실사LIST-중간가공품(05_12_27현재)_(2)1"/>
      <sheetName val="4_Financial1"/>
      <sheetName val="3_4)__FR_종합1"/>
      <sheetName val="3_4)__RR_종합1"/>
      <sheetName val="RFQ_Cover_Sheeet1"/>
      <sheetName val="FRN_020001"/>
      <sheetName val="Diaph1_values2"/>
      <sheetName val="Diaph2_values2"/>
      <sheetName val="Diaph_values2"/>
      <sheetName val="Cushion_datas2"/>
      <sheetName val="P_O_(LOCAL)2"/>
      <sheetName val="UPPER_도면2"/>
      <sheetName val="Kautex_4WD_St_IV_P&amp;D2"/>
      <sheetName val="Sachs_FL_WHL2"/>
      <sheetName val="11403-06163_เก่า8"/>
      <sheetName val="FM-HD_(New)8"/>
      <sheetName val="FM-HD_(HKMC)_8"/>
      <sheetName val="FM-HD_(11254-06201)__8"/>
      <sheetName val="FM-HD_(11251-06163)8"/>
      <sheetName val="FM-HD_(11514053)8"/>
      <sheetName val="FM-HD_(11611807)8"/>
      <sheetName val="FM-HD_(94502003)8"/>
      <sheetName val="FM-HD_(94501839)8"/>
      <sheetName val="FM-HD_(PT-GDENG0911-4)8"/>
      <sheetName val="FM-HD_(94520439)8"/>
      <sheetName val="FM-HD_(94500396)8"/>
      <sheetName val="FM-HD_(94500407)8"/>
      <sheetName val="FM-HD_(94500414)8"/>
      <sheetName val="FM-HD_(94500073)8"/>
      <sheetName val="FM-HD_(11588683)8"/>
      <sheetName val="FM-HD_(94500952)8"/>
      <sheetName val="FM-HD_(11569995)8"/>
      <sheetName val="FM-HD_(11254-06201)8"/>
      <sheetName val="FM-HD_(11588685)8"/>
      <sheetName val="FM-HD_(94500793)_8"/>
      <sheetName val="FM-HD_(11588717)8"/>
      <sheetName val="FM-HD_(HD-25198904)8"/>
      <sheetName val="FM-HD_(HD-11570514)_8"/>
      <sheetName val="FM-HD_(11097441)8"/>
      <sheetName val="FM-HD_(11588662)_8"/>
      <sheetName val="FM-HD_(11519387)8"/>
      <sheetName val="FM-HD_(11561969)8"/>
      <sheetName val="FM-HD_(11516580)8"/>
      <sheetName val="FM-HD_(11588712)___8"/>
      <sheetName val="FM-HD_(11519375)8"/>
      <sheetName val="FM-HD_(FAA32071001)__8"/>
      <sheetName val="FM-HD_(11519382)_8"/>
      <sheetName val="FM-HD_(11519383)_8"/>
      <sheetName val="FM-HD_(11561763)__8"/>
      <sheetName val="FM-HD_(11588316)__8"/>
      <sheetName val="repeatative_rejection2"/>
      <sheetName val="4_경비_5_영업외수지1"/>
      <sheetName val="Sch1_-_P&amp;L_Summary1"/>
      <sheetName val="Sch2_-_BalSht_Summary1"/>
      <sheetName val="Sch3_-_CFlow_Summary1"/>
      <sheetName val="Model_Synthesis_Report1"/>
      <sheetName val="2019년_생산수량1"/>
      <sheetName val="19년_종합_CT1"/>
      <sheetName val="delta_impedance(평균)2"/>
      <sheetName val="SUST_DEV_&amp;_OTHER1"/>
      <sheetName val="OEM_1"/>
      <sheetName val="August_20031"/>
      <sheetName val="OE_UMC1"/>
      <sheetName val="Analysis-Others_Pg_41"/>
      <sheetName val="Fx_Rates1"/>
      <sheetName val="FY_12_Interiors_Volume2"/>
      <sheetName val="INT_Price_FY12_MFC2"/>
      <sheetName val="強度_CN_A1_C10H_152H1"/>
      <sheetName val="II__CF1"/>
      <sheetName val="I__Assumptions1"/>
      <sheetName val="CONN_조립2"/>
      <sheetName val="04_03월소일정계획1"/>
      <sheetName val="_관리계획서_Rev_01_xlsx1"/>
      <sheetName val="Costed_BOM_2ndR_40%1"/>
      <sheetName val="seat-sdn_only1"/>
      <sheetName val="10-2_ED&amp;D_EQU1"/>
      <sheetName val="Business_Plan1"/>
      <sheetName val="Organization_chart201910022"/>
      <sheetName val="RESPONSIBILITY_MATRIX2"/>
      <sheetName val="거래선_생산계획1"/>
      <sheetName val="3_학점이수(사내_사외교육)1"/>
      <sheetName val="3__트림별_내수1"/>
      <sheetName val="3__트림별_북미1"/>
      <sheetName val="3__트림별_유럽1"/>
      <sheetName val="23_보증금(전신전화가입권)1"/>
      <sheetName val="실DATA_"/>
      <sheetName val="Main-Yield_report"/>
      <sheetName val="Cosmetic_Description"/>
      <sheetName val="2_´ë?Ü°o1®"/>
      <sheetName val="첨#3__PCB"/>
      <sheetName val="1_page"/>
      <sheetName val="Questions_for_Wuhan_Lear"/>
      <sheetName val="Detail_report"/>
      <sheetName val="Request_template"/>
      <sheetName val="CC_Down_load_0716"/>
      <sheetName val="CAUZA_DEFECTE"/>
      <sheetName val="CAUSES_OF_DEFECTS"/>
      <sheetName val="_FURNACE현설"/>
      <sheetName val="프로필렌_이송라인"/>
      <sheetName val="EO_이력관리대장"/>
      <sheetName val="개조_요청서1"/>
      <sheetName val="_쿠첸_CIR-301_제원현황(170317)_xlsx1"/>
      <sheetName val="BOM_CODE1"/>
      <sheetName val="96_하반기_전시회_경비1"/>
      <sheetName val="Summary_Capex_Info-Cal_(master1"/>
      <sheetName val="Grille_Q3P_Organe3"/>
      <sheetName val="Table(APG_MF)1"/>
      <sheetName val="Pt_Rates1"/>
      <sheetName val="2_(1설원_첨)1"/>
      <sheetName val="Component_List1"/>
      <sheetName val="Text_Control1"/>
      <sheetName val="text_contl1"/>
      <sheetName val="XD_담력저감1"/>
      <sheetName val="원가검토가_(현양산품)1"/>
      <sheetName val="원가검토가_(최초견적가)1"/>
      <sheetName val="원가검토가_(최초양산품)1"/>
      <sheetName val="RT_Table1"/>
      <sheetName val="Histogram_Chart2"/>
      <sheetName val="Freq_error_DATA2"/>
      <sheetName val="Freq_HISTOGRAM2"/>
      <sheetName val="입력_데이타1"/>
      <sheetName val="TLc_개조차(목표원가)1"/>
      <sheetName val="Sheet1_(3)1"/>
      <sheetName val="의장2반_1"/>
      <sheetName val="Detail_Defect_COMBO_KAISER1"/>
      <sheetName val="28_8부1"/>
      <sheetName val="KQ_11"/>
      <sheetName val="3rd_DESIGN_APRD"/>
      <sheetName val="Tien_Thuong"/>
      <sheetName val="NC_XL_6T_cuoi_01_CTy"/>
      <sheetName val="Data_-6T_dau"/>
      <sheetName val="Cong_6T"/>
      <sheetName val="BEND_LOSS"/>
      <sheetName val="Intercompany_Detail"/>
      <sheetName val="plan&amp;section_of_foundation"/>
      <sheetName val="4__가격구조"/>
      <sheetName val="Special_rack_(Packaging_Input)"/>
      <sheetName val="경영비율_"/>
      <sheetName val="ESTI_"/>
      <sheetName val="CP_khau_hao"/>
      <sheetName val="ns_chung"/>
      <sheetName val="dongia_(2)"/>
      <sheetName val="THĐH_E4"/>
      <sheetName val="THĐH_E3"/>
      <sheetName val="판매_계획_대_실적"/>
      <sheetName val="DG 285"/>
      <sheetName val="DG  286"/>
      <sheetName val="DG 85"/>
      <sheetName val="DG 89"/>
      <sheetName val="DG THIET BI"/>
      <sheetName val="DGVCTC 285"/>
      <sheetName val="DG vat lieu"/>
      <sheetName val="Cước VC + ĐM CP Tư vấn"/>
      <sheetName val="Basic_assumptins6"/>
      <sheetName val="THVT"/>
      <sheetName val="BATCH일정"/>
      <sheetName val="일 년"/>
      <sheetName val="산출내역서집계표"/>
      <sheetName val="첨부5-3)납입용기설정서"/>
      <sheetName val="금형원본"/>
      <sheetName val="목록 모음"/>
      <sheetName val="MIJIBI"/>
      <sheetName val="TỪ KHÓA"/>
      <sheetName val="구미"/>
      <sheetName val="inilial"/>
      <sheetName val="Quy định công trừ MBO"/>
      <sheetName val="LeadSchedule"/>
      <sheetName val="6。1周间报告"/>
      <sheetName val="월말상여금내역서"/>
      <sheetName val="온도cycle"/>
      <sheetName val="기타당좌자산"/>
      <sheetName val="5500"/>
      <sheetName val="拉伸强度"/>
      <sheetName val="저장품List"/>
      <sheetName val="상세내역"/>
      <sheetName val="기본정보1"/>
      <sheetName val="SFA M-P"/>
      <sheetName val="진행 사항"/>
      <sheetName val="일정"/>
      <sheetName val="节减明细"/>
      <sheetName val="HHP 설비 LIST"/>
      <sheetName val="Equipment"/>
      <sheetName val="Assess2"/>
      <sheetName val="개당가공비_목표"/>
      <sheetName val="BT03(M292C)"/>
      <sheetName val="BASKET-ACTIVE"/>
      <sheetName val="Design"/>
      <sheetName val="1A-BT03(M292C)"/>
      <sheetName val="[PRDW30.XLS࡝15_DAMPER6"/>
      <sheetName val="整机试制问题清单"/>
      <sheetName val="试制准入检查"/>
      <sheetName val="Budget_Skippy"/>
      <sheetName val="사업부손익"/>
      <sheetName val="支払手形"/>
      <sheetName val="雑収"/>
      <sheetName val="违规分类"/>
      <sheetName val="VSAMS Summary"/>
      <sheetName val="WIP_STATION_REPAIR_Q"/>
      <sheetName val="Standard Tests"/>
      <sheetName val="2.NPI封面"/>
      <sheetName val="詳細資料"/>
      <sheetName val="附件一---外箱破損處理流程圖1"/>
      <sheetName val="PartsList"/>
      <sheetName val="Data lists"/>
      <sheetName val="FE DPHU报告 "/>
      <sheetName val="TOP 15"/>
      <sheetName val="FE_DPHU报告_"/>
      <sheetName val="Qual Approv Test Plan_050322"/>
      <sheetName val="Dashboard (methodologies)"/>
      <sheetName val="BE DPHU报告 "/>
      <sheetName val="C"/>
      <sheetName val="Constantes"/>
      <sheetName val="Performance"/>
      <sheetName val="Reference Lists"/>
      <sheetName val="Ramp-up Prod KLf pro Woche "/>
      <sheetName val="E"/>
      <sheetName val="OT Project Report"/>
      <sheetName val="状态报告"/>
      <sheetName val="Cork"/>
      <sheetName val="Equipment Info assumptions"/>
      <sheetName val="E Goal"/>
      <sheetName val="E_KSR"/>
      <sheetName val="All_KSR"/>
      <sheetName val="P Goal"/>
      <sheetName val="P_KSR"/>
      <sheetName val="說明"/>
      <sheetName val="Manufacturers And Names Lists"/>
      <sheetName val="BE_DPHU报告_"/>
      <sheetName val="说明"/>
      <sheetName val="リリースファイル一覧"/>
      <sheetName val="封面"/>
      <sheetName val="ELEC_QUAL"/>
      <sheetName val="Perishable Tooling"/>
      <sheetName val="All Parts"/>
      <sheetName val="파일목록"/>
      <sheetName val="故障代码"/>
      <sheetName val="版本状态"/>
      <sheetName val="IA1"/>
      <sheetName val="所有辅料"/>
      <sheetName val="장비감가"/>
      <sheetName val="外部收入"/>
      <sheetName val="周生產"/>
      <sheetName val="１"/>
      <sheetName val="Workings"/>
      <sheetName val="Linelev4"/>
      <sheetName val="GPIO Configuration"/>
      <sheetName val="标准"/>
      <sheetName val="配置信息"/>
      <sheetName val="COAST間欠見積 "/>
      <sheetName val="主要问题清单"/>
      <sheetName val="问题单"/>
      <sheetName val="Solution"/>
      <sheetName val="__"/>
      <sheetName val="____"/>
      <sheetName val="生產計劃"/>
      <sheetName val="bal_sheet"/>
      <sheetName val="Overhead calculations"/>
      <sheetName val="Picklist"/>
      <sheetName val="700-001526-02"/>
      <sheetName val="700-001601-04"/>
      <sheetName val="700-001613-03"/>
      <sheetName val="700-001618-03-HF"/>
      <sheetName val="700-001665-01-HF"/>
      <sheetName val="700-001675-01"/>
      <sheetName val="700-001731-01"/>
      <sheetName val="700-001736-01"/>
      <sheetName val="700-001894-01"/>
      <sheetName val="700-002368-01-HF"/>
      <sheetName val="700-001924-04-HF"/>
      <sheetName val="700-001945-01-HF"/>
      <sheetName val="700-001975-04"/>
      <sheetName val="700-002000-03"/>
      <sheetName val="700-002017-01-HF"/>
      <sheetName val="700-002182-01"/>
      <sheetName val="700-002226-02(15up)"/>
      <sheetName val="700-002226-02(1up)"/>
      <sheetName val="700-002231-01"/>
      <sheetName val="700-002366-01"/>
      <sheetName val="700-001022-05"/>
      <sheetName val="700-001225-06"/>
      <sheetName val="700-001299-05-HF"/>
      <sheetName val="700-001304-05-HF "/>
      <sheetName val="700-001382-01"/>
      <sheetName val="700-001445-02"/>
      <sheetName val="Debug check list"/>
      <sheetName val="DVX CDMA"/>
      <sheetName val="DVX UMTS"/>
      <sheetName val="Scorpian Mini"/>
      <sheetName val="Xfon WE"/>
      <sheetName val="Ultra"/>
      <sheetName val="Ultra Maxx"/>
      <sheetName val="Ultra M Razor Mini"/>
      <sheetName val="Xfon UMTS"/>
      <sheetName val="Xfon UMTS AF"/>
      <sheetName val="Xfon WE AF"/>
      <sheetName val="TFCSBU01"/>
      <sheetName val="MTBF_check"/>
      <sheetName val="模块案例"/>
      <sheetName val="Abbreviations"/>
      <sheetName val="$$ Document ID"/>
      <sheetName val="Definition"/>
      <sheetName val="Down list"/>
      <sheetName val="設備マスタ  (2)"/>
      <sheetName val="D"/>
      <sheetName val="Mg frame Summary"/>
      <sheetName val="HDa16"/>
      <sheetName val="Keyword"/>
      <sheetName val="QUANTITIES"/>
      <sheetName val="參考--PDA 2003 Defect Rate"/>
      <sheetName val="Pivot Table"/>
      <sheetName val="SP-H700PartsList"/>
      <sheetName val="02-华为问题"/>
      <sheetName val="B.2"/>
      <sheetName val="E.2"/>
      <sheetName val="C.3"/>
      <sheetName val="帮助"/>
      <sheetName val="解码板"/>
      <sheetName val="DVT Gap Data"/>
      <sheetName val="標準工時資料庫"/>
      <sheetName val="Summary definition"/>
      <sheetName val="全製程出貨資料"/>
      <sheetName val="BE_DPHU报告_1"/>
      <sheetName val="Manufacturers_And_Names_Lists"/>
      <sheetName val="Perishable_Tooling"/>
      <sheetName val="Summary_definition"/>
      <sheetName val="LCDQ별"/>
      <sheetName val="Profile 300-500"/>
      <sheetName val="ISO30"/>
      <sheetName val="사용법"/>
      <sheetName val="Reference"/>
      <sheetName val="pal"/>
      <sheetName val="시산"/>
      <sheetName val="TFT_Attendace2"/>
      <sheetName val="1. ベース画面 通話"/>
      <sheetName val="不良类别定义（关联不可删）"/>
      <sheetName val=" 整改1"/>
      <sheetName val="分类"/>
      <sheetName val="BID"/>
      <sheetName val="WUN"/>
      <sheetName val="열화상"/>
      <sheetName val="유형 List"/>
      <sheetName val="SOP 표지"/>
      <sheetName val="NEGO"/>
      <sheetName val="주간 진행 현황"/>
      <sheetName val="진위건물DB"/>
      <sheetName val="진영"/>
      <sheetName val="HISTORICAL"/>
      <sheetName val="FORECASTING"/>
      <sheetName val="품번리스트"/>
      <sheetName val="건축(충일분)"/>
      <sheetName val="용진"/>
      <sheetName val="일위대가"/>
      <sheetName val="90"/>
      <sheetName val="40"/>
      <sheetName val="50"/>
      <sheetName val="60"/>
      <sheetName val="70"/>
      <sheetName val="camera_10"/>
      <sheetName val="蓝牙分类"/>
      <sheetName val="Chart1"/>
      <sheetName val="자체경비"/>
      <sheetName val="투자계획집계표"/>
      <sheetName val="Main-Yield_report1"/>
      <sheetName val="Cosmetic_Description1"/>
      <sheetName val="VSAMS_Summary"/>
      <sheetName val="Standard_Tests"/>
      <sheetName val="2_NPI封面"/>
      <sheetName val="Data_lists"/>
      <sheetName val="FE_DPHU报告_1"/>
      <sheetName val="TOP_15"/>
      <sheetName val="Qual_Approv_Test_Plan_050322"/>
      <sheetName val="Dashboard_(methodologies)"/>
      <sheetName val="Reference_Lists"/>
      <sheetName val="Ramp-up_Prod_KLf_pro_Woche_"/>
      <sheetName val="OT_Project_Report"/>
      <sheetName val="Equipment_Info_assumptions"/>
      <sheetName val="E_Goal"/>
      <sheetName val="P_Goal"/>
      <sheetName val="All_Parts"/>
      <sheetName val="이익계획 요약1"/>
      <sheetName val="조립C"/>
      <sheetName val="CRUTCH"/>
      <sheetName val="IO LIST"/>
      <sheetName val="Material"/>
      <sheetName val="Plant &amp;  Machinery"/>
      <sheetName val="실행일정"/>
      <sheetName val="지역-가마감"/>
      <sheetName val="개조수리 요청서"/>
      <sheetName val="견적정보"/>
      <sheetName val="인건비예산(정규직)"/>
      <sheetName val="인건비예산(용역)"/>
      <sheetName val="Quy định trừ điểm MBO"/>
      <sheetName val="양산이동"/>
      <sheetName val="8)중점관리장비현황"/>
      <sheetName val="SPOT 조건"/>
      <sheetName val="co2 조건"/>
      <sheetName val="51755-B1100(1CVT)"/>
      <sheetName val="Page 14-A"/>
      <sheetName val="0_절삭조건12"/>
      <sheetName val="금형_(2)15"/>
      <sheetName val="Basic_assumptions12"/>
      <sheetName val="XMA_12월_8,000대_원,부자재_完7"/>
      <sheetName val="YFA_10월분_원자재(10_12)_미납완료_完7"/>
      <sheetName val="YFA_10월분_부자재(10_7,9)_FEDEX_完7"/>
      <sheetName val="DBL_LPG시험12"/>
      <sheetName val="INVESTMENT_(Hardware)13"/>
      <sheetName val="GAGE_R&amp;R(FRT_UPR)7"/>
      <sheetName val="중공업_실적7"/>
      <sheetName val="_하반기_경비_조정계획_150627(사계_r2_기준)_7"/>
      <sheetName val="0_CHMSL_LED_ASSY7"/>
      <sheetName val="SCP_47"/>
      <sheetName val="SCP_5_D2UXT7"/>
      <sheetName val="SCP_6_D2UX7"/>
      <sheetName val="Invest_(MAC)7"/>
      <sheetName val="SCP_Apr20157"/>
      <sheetName val="400H_가공,금형비3"/>
      <sheetName val="신고서_전12"/>
      <sheetName val="영업_일112"/>
      <sheetName val="(2)월생산현황_6"/>
      <sheetName val="CONSUMO_DE_RESINA_6"/>
      <sheetName val="Europe_PU-16"/>
      <sheetName val="RFQ_Template7"/>
      <sheetName val="108_수선비7"/>
      <sheetName val="2-1_제품군별계획대비실적(B_A)9"/>
      <sheetName val="품의서양식_(3)7"/>
      <sheetName val="Full_PBD6"/>
      <sheetName val="1_TAT_Info_7"/>
      <sheetName val="4_20)통계적기법관리절차서6"/>
      <sheetName val="불량_리스트7"/>
      <sheetName val="불량_코드7"/>
      <sheetName val="Team_종합7"/>
      <sheetName val="PFMEA_XLS12"/>
      <sheetName val="REAR_7"/>
      <sheetName val="abs_dac검사대비분석자료27"/>
      <sheetName val="MS_SPEC3"/>
      <sheetName val="1_TP조립7"/>
      <sheetName val="3-2002년_소모공구비4"/>
      <sheetName val="1__보고7"/>
      <sheetName val="DS_MBR_RR_Side__-_PcA6"/>
      <sheetName val="Dual_PMP수율6"/>
      <sheetName val="_PPAP_작성중__xlsx12"/>
      <sheetName val="기타_부자재6"/>
      <sheetName val="RFQ_Form7"/>
      <sheetName val="Aug01_Status_Rpt4"/>
      <sheetName val="ISSUE_LIST7"/>
      <sheetName val="Input_Page4"/>
      <sheetName val="Input_Sheet4"/>
      <sheetName val="Base_Info4"/>
      <sheetName val="_0602주-무결점운동_진행현황_보고_(201406106"/>
      <sheetName val="PMBG12LD_장비및인원소요(D_A기준)_3"/>
      <sheetName val="NEW_TOOL_MASTER4"/>
      <sheetName val="개발원가_종합4"/>
      <sheetName val="RELAY_FAX양식12"/>
      <sheetName val="2008_г12"/>
      <sheetName val="상세_견적서_(HMC)12"/>
      <sheetName val="2_중요한회계정책12"/>
      <sheetName val="9_관계기업투자12"/>
      <sheetName val="42_리스12"/>
      <sheetName val="25_법인세12"/>
      <sheetName val="Proj_List_00E12"/>
      <sheetName val="Danh_Mục4"/>
      <sheetName val="Danh_Muc4"/>
      <sheetName val="BI-FUEL_AIR_VENT_PIPE7"/>
      <sheetName val="8월_매출현황4"/>
      <sheetName val="3공장_순양전자4"/>
      <sheetName val="현진테크_(2)4"/>
      <sheetName val="동경cnc_지그4"/>
      <sheetName val="대한테크_집계4"/>
      <sheetName val="서연전자_(2)4"/>
      <sheetName val="삼익전자_(2)4"/>
      <sheetName val="삼익산업_(2)4"/>
      <sheetName val="시무인텔_(2)4"/>
      <sheetName val="성우일렉스_(2)4"/>
      <sheetName val="성호테크_(2)4"/>
      <sheetName val="2009년_매출_실적3"/>
      <sheetName val="LCAUTO_44"/>
      <sheetName val="LCAT수_조4"/>
      <sheetName val="외주수입검사_종합(6월)7"/>
      <sheetName val="금형_이력_카드4"/>
      <sheetName val="소재_이력4"/>
      <sheetName val="99_조정금액4"/>
      <sheetName val="_Common_Info_Page4"/>
      <sheetName val="THS_-_Key_Inputs4"/>
      <sheetName val="2005년_소요량3"/>
      <sheetName val="1_종합평가표7"/>
      <sheetName val="Input_Form_-_EingabeMaske3"/>
      <sheetName val="InspectionData_(2)3"/>
      <sheetName val="NUEVO_MODELOS_20183"/>
      <sheetName val="Tool_Type3"/>
      <sheetName val="3__Acronyms_and_abbreviations3"/>
      <sheetName val="G-Exchange_#6673"/>
      <sheetName val="C-Mix_Rate_&amp;_Revenue(calc)3"/>
      <sheetName val="_제9차_회사표준_제개정_공청회_이의제기신청서_XLSX3"/>
      <sheetName val="부품_LIST3"/>
      <sheetName val="거래선별_매출현황_내역6"/>
      <sheetName val="수식파일_(삭제금지)3"/>
      <sheetName val="List_Total3"/>
      <sheetName val="Person_Cost3"/>
      <sheetName val="THEO_DÕI_THAI_SẢN_(2)3"/>
      <sheetName val="Time_Man3"/>
      <sheetName val="Salary(Cus_)3"/>
      <sheetName val="OT_OVER3"/>
      <sheetName val="Segment_4_Bid_Sheet3"/>
      <sheetName val="Hi6810_功能信号表3"/>
      <sheetName val="6_FQC检验数据3"/>
      <sheetName val="2003_prod23"/>
      <sheetName val="2003_Target3"/>
      <sheetName val="RA_Bearer3"/>
      <sheetName val="Trend_Total_nguyên_nhân3"/>
      <sheetName val="設備預算總表附件3_3"/>
      <sheetName val="FA_Definitions3"/>
      <sheetName val="03년_체제결과6"/>
      <sheetName val="5_Why's3"/>
      <sheetName val="05_新Table(간접직)3"/>
      <sheetName val="05계약내역(기존T_활용)3"/>
      <sheetName val="11_Inv_3"/>
      <sheetName val="Duration_3"/>
      <sheetName val="천정등기구_실적3"/>
      <sheetName val="영업_입수계획_3"/>
      <sheetName val="참고1_02_판매계획_(수량)3"/>
      <sheetName val="전사_경영계획_수량3"/>
      <sheetName val="2차_OI4"/>
      <sheetName val="첨부13__사출(PAD)_카메라3"/>
      <sheetName val="개인별_교육현황3"/>
      <sheetName val="관리구역_책임자(181010)3"/>
      <sheetName val="ACU기청소2018-05-04_(3)3"/>
      <sheetName val="ASM_A동3"/>
      <sheetName val="SMT구역_(2)3"/>
      <sheetName val="관리구역_체크시트3"/>
      <sheetName val="관리구역_평가시트3"/>
      <sheetName val="담당자편성표_(B)3"/>
      <sheetName val="조립A구역_(2)3"/>
      <sheetName val="개선보고서_(2)3"/>
      <sheetName val="종합원가분석_1_3"/>
      <sheetName val="1_생산03"/>
      <sheetName val="1_개발개요3"/>
      <sheetName val="01년2월현황_3"/>
      <sheetName val="General_Assumptions3"/>
      <sheetName val="Cover_page4"/>
      <sheetName val="Adjusted_OI4"/>
      <sheetName val="Adjusted_OI_(2)4"/>
      <sheetName val="Income_Stmt_(USD)4"/>
      <sheetName val="Income_Stmt_(RMB)4"/>
      <sheetName val="IS_Loc_Adj4"/>
      <sheetName val="Balance_Sht_(USD)4"/>
      <sheetName val="BS_Loc+Adj4"/>
      <sheetName val="Balance_Sht_(RMB)4"/>
      <sheetName val="Cash_Flow_(USD)4"/>
      <sheetName val="Cash_Forecast4"/>
      <sheetName val="IC_AP_AR5"/>
      <sheetName val="Cash_Cross_check4"/>
      <sheetName val="Unit_Price_without_LTA&amp;Pricing4"/>
      <sheetName val="Sales_without_LTA&amp;Pricing4"/>
      <sheetName val="Unit_ECN_Sales4"/>
      <sheetName val="Total_ECN_Sales4"/>
      <sheetName val="LTA_Percentage4"/>
      <sheetName val="LTA_Amount4"/>
      <sheetName val="Total_P2P4"/>
      <sheetName val="Net_Sales4"/>
      <sheetName val="Unit_Mat_Cost_Without_PS_VAVE4"/>
      <sheetName val="Material_cost_without_PS_VAVE4"/>
      <sheetName val="Unit_ECN_cost4"/>
      <sheetName val="ECN_cost_saving4"/>
      <sheetName val="Unit_Purchase_Saving4"/>
      <sheetName val="Total_Purchase_Saving4"/>
      <sheetName val="Unit_VAVE_Saving4"/>
      <sheetName val="Total_VAVE4"/>
      <sheetName val="Unit_Margin_Improvement4"/>
      <sheetName val="Total_Margin_Improvement4"/>
      <sheetName val="Unit_mat__cost_after_PS_VAVE4"/>
      <sheetName val="Total_Mat_cost_after_PS_VAVE4"/>
      <sheetName val="Unit_Inb_Freight_Rate4"/>
      <sheetName val="Inboud_Freight_Amount4"/>
      <sheetName val="Unit_Inb-Duty4"/>
      <sheetName val="Inbound_Duty4"/>
      <sheetName val="Material_cost_before_Scrap4"/>
      <sheetName val="Scrap_Rate4"/>
      <sheetName val="Scrap_Amount4"/>
      <sheetName val="Scrap_recovery_rate4"/>
      <sheetName val="Scrap_Recovery_Amount4"/>
      <sheetName val="Unit_Production_Auxiliary4"/>
      <sheetName val="Production_Auxiliary4"/>
      <sheetName val="Net_Material4"/>
      <sheetName val="Unit_OB_freight4"/>
      <sheetName val="Total_OB_freight4"/>
      <sheetName val="Total_LC&amp;OVH4"/>
      <sheetName val="LC&amp;OVH_Undefined_Var_4"/>
      <sheetName val="LC&amp;OVH_Undefined_Fix_4"/>
      <sheetName val="Total_headcount_&amp;_labor_cost4"/>
      <sheetName val="Direct_Labor_Cost4"/>
      <sheetName val="Indirect_Labor_Cost4"/>
      <sheetName val="Salary_Cost4"/>
      <sheetName val="MSI_-_FY(RMB)4"/>
      <sheetName val="MSI_-_Comm_Sales4"/>
      <sheetName val="MSI_-_IC_Sales4"/>
      <sheetName val="MSI_-_Mat_Cost4"/>
      <sheetName val="MSI_-_Direct_Labor4"/>
      <sheetName val="MSI_-_Variable_OH4"/>
      <sheetName val="MSI_-_Fixed_OH4"/>
      <sheetName val="AQL(0_65)3"/>
      <sheetName val="Value_3"/>
      <sheetName val="CPK(Process_Capanility)3"/>
      <sheetName val="SEP_20073"/>
      <sheetName val="Q1_&amp;_Q23"/>
      <sheetName val="devis_qcdp23"/>
      <sheetName val="22_보증금(전신전화가입권)3"/>
      <sheetName val="39_미지급법인세3"/>
      <sheetName val="INATAKE_SYS3"/>
      <sheetName val="02_08생산대상대수3"/>
      <sheetName val="2000_(원본)3"/>
      <sheetName val="Danh_sach_Hàn_thùng3"/>
      <sheetName val="Mẫu_DMVT3"/>
      <sheetName val="Mẫu_DMVT_(2)3"/>
      <sheetName val="DANH_MỤC_NHÓM_ĐỐI_TƯỢNG3"/>
      <sheetName val="Nhap_T83"/>
      <sheetName val="Begining_detail-CTIET3"/>
      <sheetName val="Summary-TOMLUOC_3"/>
      <sheetName val="SO_TONG_HOP_CONG_NO3"/>
      <sheetName val="DM_KHAU_HAO3"/>
      <sheetName val="Cty+XN(KT_2005)3"/>
      <sheetName val="공정공수_XLS3"/>
      <sheetName val="기준정보(A)_15_10_275"/>
      <sheetName val="단중_및_예비길이_SHEET_15_9_5(K)5"/>
      <sheetName val="15_1_02_15년_1월예시계획5"/>
      <sheetName val="15년_12월_시작재공품_15_12_35"/>
      <sheetName val="기준정보(A)_12_02_235"/>
      <sheetName val="STD__CAB5"/>
      <sheetName val="STD__NCAB5"/>
      <sheetName val="원소재_변경_상세5"/>
      <sheetName val="직거래가_변경5"/>
      <sheetName val="PL_By_Model(Result)4"/>
      <sheetName val="24_냉각실용添13"/>
      <sheetName val="노원열병합__건축공사기성내역서5"/>
      <sheetName val="Gia_vat_tu5"/>
      <sheetName val="Data_Not_Used5"/>
      <sheetName val="FTQ_Data5"/>
      <sheetName val="Int_Pulls_Data5"/>
      <sheetName val="Int_Spills_Data5"/>
      <sheetName val="PPM_Data5"/>
      <sheetName val="Pulls_Data5"/>
      <sheetName val="Spills_Data5"/>
      <sheetName val="PP%-low_RPM3"/>
      <sheetName val="After_Sales_Supplier_#'s3"/>
      <sheetName val="한일자야(감액손실)_(2)3"/>
      <sheetName val="ADJTBL_31003"/>
      <sheetName val="AOP_Summary-23"/>
      <sheetName val="Budget_Imt_mensuel_(CFO)3"/>
      <sheetName val="CDV_Pte_mensuel3"/>
      <sheetName val="Evol_Prod_(Eqpt)3"/>
      <sheetName val="CAPVR_Pte_mensuel3"/>
      <sheetName val="THƯ_VIỆN3"/>
      <sheetName val="Nguon_PT_xetai3"/>
      <sheetName val="Nguon_PT_xe_Ben3"/>
      <sheetName val="Bien_so3"/>
      <sheetName val="MỤC_LỤC3"/>
      <sheetName val="Ghi_chú3"/>
      <sheetName val="1__Định_hướng_HĐ_CN_năm_20193"/>
      <sheetName val="2_1_Tổng_quan_TT_KD_xe_DL3"/>
      <sheetName val="2_2_Tổng_quan_TT_DVPT_DL3"/>
      <sheetName val="3_1__ĐKM_xe_DL3"/>
      <sheetName val="3_2_1__KH_KD-MKT_&amp;_TCKD_xe_KIA3"/>
      <sheetName val="3_2_2_CSBH_KIA3"/>
      <sheetName val="3_2_3__KH_KD-MKT&amp;TCKD_DVPT3"/>
      <sheetName val="Pv_SL3"/>
      <sheetName val="3_3_1_KH_KD-MKT_&amp;_TCKD_Mazda3"/>
      <sheetName val="3_3_2_CSBH_MAZDA3"/>
      <sheetName val="3_3_3_KH_KD-MKT&amp;TCKD_DVPT_MAZD3"/>
      <sheetName val="3_4__DVPT_SR_KIA_MAZDA3"/>
      <sheetName val="3_4_1_KH_KD-MKT&amp;TCKD_PEUGEOT3"/>
      <sheetName val="3_4_2_CSBH_PEUGEOT3"/>
      <sheetName val="3_4_3_KH_KD-MKT&amp;TC_DVPT_PEUGEO3"/>
      <sheetName val="3_5__TÀI_CHÍNH_KD_XE_KIA_MAZDA3"/>
      <sheetName val="4_1_Tổng_quan_TT_KD_Tai,_Bus3"/>
      <sheetName val="4_2_Tổng_quan_TT_DVPT_Tai_Bus3"/>
      <sheetName val="5_1__ĐKM_xe_Tai,_Bus3"/>
      <sheetName val="PTBH_20183"/>
      <sheetName val="SL_-_TVBH3"/>
      <sheetName val="5_2a__KD_Xe_Fuso3"/>
      <sheetName val="5_2b__KD_Xe_Foton3"/>
      <sheetName val="5_2c__KD_Xe_Bus3"/>
      <sheetName val="5_2__KH_KD-MKT&amp;TCKD_xe_Tải,_Bu3"/>
      <sheetName val="5_3__CSBH_xe_Tải,_Bus3"/>
      <sheetName val="5_4_KH_KD-MKT&amp;TC_DVPT_Tải,_Bus3"/>
      <sheetName val="Review_note3"/>
      <sheetName val="6_1_ĐKĐK3"/>
      <sheetName val="6_2__Bảo_hiểm3"/>
      <sheetName val="6_3__Tín_dụng3"/>
      <sheetName val="6_4__GSHT_&amp;_PH3"/>
      <sheetName val="6_5_DVHT3"/>
      <sheetName val="7_1_KH_nhân_sự3"/>
      <sheetName val="7_2__Định_biên_&amp;_Lương3"/>
      <sheetName val="7_3_KH_thưởng_năng_suất3"/>
      <sheetName val="Check_TH3"/>
      <sheetName val="8__Hành_chính3"/>
      <sheetName val="8_13"/>
      <sheetName val="9_1__Duy_tu_bảo_trì3"/>
      <sheetName val="9_2__Cải_tạo,_nâng_cấp3"/>
      <sheetName val="10__TSCĐ_-_CCDC3"/>
      <sheetName val="11D__Tài_chính_KD_XE_TỔNG3"/>
      <sheetName val="11E__Tài_chính_KD_DVPT_TỔNG3"/>
      <sheetName val="11A__Tài_chính_SR_KIA3"/>
      <sheetName val="11B__Tài_chính_SR_MAZDA3"/>
      <sheetName val="11D__Tài_chính_SR_Peugout3"/>
      <sheetName val="11C__Tài_chính_SR_TẢI_BUS3"/>
      <sheetName val="11D__Tài_chính_SR_Du_lịch3"/>
      <sheetName val="11__Tài_chính_Chi_nhánh3"/>
      <sheetName val="12__SĐTC3"/>
      <sheetName val="견적서_detail_Main_12"/>
      <sheetName val="MASTER_DATA2"/>
      <sheetName val="CAR_Form_Summary3"/>
      <sheetName val="Schedule_13"/>
      <sheetName val="개선대책_양식5"/>
      <sheetName val="S_P2"/>
      <sheetName val="R_FJS_CAR_(old)2"/>
      <sheetName val="Certificate_list_2"/>
      <sheetName val="REPAIR_DATA_-_CONTAINER_#54"/>
      <sheetName val="Material_References3"/>
      <sheetName val="BOM_Cost_(R-U713MHH)2"/>
      <sheetName val="케이스_재공_재고2"/>
      <sheetName val="BAT1_2"/>
      <sheetName val="업체손실공수_xls3"/>
      <sheetName val="FRT_재료비2"/>
      <sheetName val="8_공정능력평가(5)2"/>
      <sheetName val="2_Underbody_DT2"/>
      <sheetName val="FAX_(2)2"/>
      <sheetName val="0_주광원_LED_ASSY2"/>
      <sheetName val="9_초기공정능력조사(을)2"/>
      <sheetName val="1-1_연월차_개인별_보전수당2"/>
      <sheetName val="00-Input_Values2"/>
      <sheetName val="Input_Values2"/>
      <sheetName val="Corp_acronym2"/>
      <sheetName val="4_销售计划2"/>
      <sheetName val="Output_1_(2)2"/>
      <sheetName val="Danh_sach2"/>
      <sheetName val="Bang_KL2"/>
      <sheetName val="Lcau_-_Lxuc2"/>
      <sheetName val="입력_List5"/>
      <sheetName val="DO_NOT_DELETE4"/>
      <sheetName val="기종별_합계2"/>
      <sheetName val="Export_Data2"/>
      <sheetName val="실사LIST-중간가공품(05_12_27현재)_(2)2"/>
      <sheetName val="4_Financial2"/>
      <sheetName val="3_4)__FR_종합2"/>
      <sheetName val="3_4)__RR_종합2"/>
      <sheetName val="RFQ_Cover_Sheeet2"/>
      <sheetName val="FRN_020002"/>
      <sheetName val="4_경비_5_영업외수지2"/>
      <sheetName val="Sch1_-_P&amp;L_Summary2"/>
      <sheetName val="Sch2_-_BalSht_Summary2"/>
      <sheetName val="Sch3_-_CFlow_Summary2"/>
      <sheetName val="Model_Synthesis_Report2"/>
      <sheetName val="2019년_생산수량2"/>
      <sheetName val="19년_종합_CT2"/>
      <sheetName val="SUST_DEV_&amp;_OTHER2"/>
      <sheetName val="OEM_2"/>
      <sheetName val="August_20032"/>
      <sheetName val="OE_UMC2"/>
      <sheetName val="Analysis-Others_Pg_42"/>
      <sheetName val="Fx_Rates2"/>
      <sheetName val="FY_12_Interiors_Volume3"/>
      <sheetName val="INT_Price_FY12_MFC3"/>
      <sheetName val="強度_CN_A1_C10H_152H2"/>
      <sheetName val="II__CF2"/>
      <sheetName val="I__Assumptions2"/>
      <sheetName val="04_03월소일정계획2"/>
      <sheetName val="_관리계획서_Rev_01_xlsx2"/>
      <sheetName val="Costed_BOM_2ndR_40%2"/>
      <sheetName val="seat-sdn_only2"/>
      <sheetName val="10-2_ED&amp;D_EQU2"/>
      <sheetName val="Business_Plan2"/>
      <sheetName val="DS-Thuong_6T_dau2"/>
      <sheetName val="CHI_TIẾT2"/>
      <sheetName val="거래선_생산계획2"/>
      <sheetName val="3_학점이수(사내_사외교육)2"/>
      <sheetName val="1_page1"/>
      <sheetName val="3__트림별_내수2"/>
      <sheetName val="3__트림별_북미2"/>
      <sheetName val="3__트림별_유럽2"/>
      <sheetName val="23_보증금(전신전화가입권)2"/>
      <sheetName val="2_´ë?Ü°o1®1"/>
      <sheetName val="실DATA_1"/>
      <sheetName val="해외)_MASTER_DATA1"/>
      <sheetName val="국내)_마스터_데이터1"/>
      <sheetName val="Group_Consolidated1"/>
      <sheetName val="share_year=51"/>
      <sheetName val="Request_template1"/>
      <sheetName val="Gauge_R&amp;R1"/>
      <sheetName val="Bia_TQT1"/>
      <sheetName val="단기금융상품"/>
      <sheetName val="회의록(190211)"/>
      <sheetName val="1. 회의록(190218)"/>
      <sheetName val="1. 회의록(190225)"/>
      <sheetName val="1. 회의록(190730)"/>
      <sheetName val="2. 생산관리팀"/>
      <sheetName val="3. 생산팀"/>
      <sheetName val="4. 품질개발팀_품질"/>
      <sheetName val="5. 품질개발팀_개발"/>
      <sheetName val="6. 경영지원팀"/>
      <sheetName val="US4_BRKT_FR_BUMPER_SIDE_LWR_L_2"/>
      <sheetName val="休日"/>
      <sheetName val="Data (c)"/>
      <sheetName val="Data_(c)"/>
      <sheetName val="지수"/>
      <sheetName val="Internal cost reference table"/>
      <sheetName val="????ile"/>
      <sheetName val="15产能分析"/>
      <sheetName val="Low"/>
      <sheetName val="직노"/>
      <sheetName val="분류표"/>
      <sheetName val="대형원계"/>
      <sheetName val="XM개조차_연동제(12.3분기)"/>
      <sheetName val="Macro"/>
      <sheetName val="Sheet172"/>
      <sheetName val="자산_종합"/>
      <sheetName val="전공장2"/>
      <sheetName val="Prices P11 and P12 (PAG) (2)"/>
      <sheetName val="외화"/>
      <sheetName val="일일자금 "/>
      <sheetName val="승Ԁ"/>
      <sheetName val="facto"/>
      <sheetName val="5800무형"/>
      <sheetName val="Active 1,4 MT"/>
      <sheetName val="Valid Options"/>
      <sheetName val="2015_2018 Veh Vol"/>
      <sheetName val="도료단가"/>
      <sheetName val="2.´ë_Ü°o1®"/>
      <sheetName val="2차_OI_࠱"/>
      <sheetName val="prov locales"/>
      <sheetName val="FX_Rate"/>
      <sheetName val="0.Cover"/>
      <sheetName val="1.Change_History"/>
      <sheetName val="2.Criteria"/>
      <sheetName val="dcu_toal"/>
      <sheetName val="5.Safety_Mechanism"/>
      <sheetName val="alc code"/>
      <sheetName val="Owner List"/>
      <sheetName val="311910-032"/>
      <sheetName val="311910-063"/>
      <sheetName val="311910-023"/>
      <sheetName val="311910-022"/>
      <sheetName val="311910-033"/>
      <sheetName val="311910-013"/>
      <sheetName val="311910-012"/>
      <sheetName val="311910-004"/>
      <sheetName val="311910-006"/>
      <sheetName val="311910-003"/>
      <sheetName val="311910-005"/>
      <sheetName val="311910-043"/>
      <sheetName val="311910-042"/>
      <sheetName val="311910-053"/>
      <sheetName val="311910-052"/>
      <sheetName val="311910-062"/>
      <sheetName val="311910-073"/>
      <sheetName val="311910-072"/>
      <sheetName val="311910-166"/>
      <sheetName val="311910-164"/>
      <sheetName val="311910-293"/>
      <sheetName val="311910-292"/>
      <sheetName val="自定義"/>
      <sheetName val="2005MPS"/>
      <sheetName val="Capacity By Modle"/>
      <sheetName val="MPM&amp;DEK"/>
      <sheetName val="France Bunting Style"/>
      <sheetName val="France DVX"/>
      <sheetName val="Germany DVX"/>
      <sheetName val="Poland DVX"/>
      <sheetName val="Spain DVX"/>
      <sheetName val="UK DVX"/>
      <sheetName val="UK Scorpion Mini"/>
      <sheetName val="GZ"/>
      <sheetName val="21030511盘点票"/>
      <sheetName val="测试风险评估标准"/>
      <sheetName val="清冊"/>
      <sheetName val="Year Graph"/>
      <sheetName val="Future Qtr MPS"/>
      <sheetName val="中试部问题点"/>
      <sheetName val="del. chart"/>
      <sheetName val="単価"/>
      <sheetName val="SD6.1 2CH BOM"/>
      <sheetName val="PMU管理及控制需求"/>
      <sheetName val="FO"/>
      <sheetName val="功能信号表"/>
      <sheetName val="Forwarder_Plan"/>
      <sheetName val="WIP "/>
      <sheetName val="C-4"/>
      <sheetName val="承台 "/>
      <sheetName val="機種名"/>
      <sheetName val="GR&amp;R"/>
      <sheetName val="___"/>
      <sheetName val="Litchi_0319 一般動作"/>
      <sheetName val="Function Description"/>
      <sheetName val="FRU demand"/>
      <sheetName val="Compal open order "/>
      <sheetName val="R CTO demand"/>
      <sheetName val="Compal stock 4.6"/>
      <sheetName val="转换数据"/>
      <sheetName val="Cr+6(C-cover)"/>
      <sheetName val="01_030602"/>
      <sheetName val="分类规则引用"/>
      <sheetName val="TP GRR O-film"/>
      <sheetName val="DPP回路-308R"/>
      <sheetName val="New Sys Spreaddsht Instructions"/>
      <sheetName val=" AMTC EQ_Alignment_Data"/>
      <sheetName val="Cost Breakdown"/>
      <sheetName val="人員統計"/>
      <sheetName val="不良項目"/>
      <sheetName val="Impedance"/>
      <sheetName val="附件一按客户融资费用统计"/>
      <sheetName val="各机种???料(5)"/>
      <sheetName val="各机种___料(5)"/>
      <sheetName val="Legend"/>
      <sheetName val="Parameter-Shift Plan"/>
      <sheetName val="Anamhl"/>
      <sheetName val="maintenance"/>
      <sheetName val="可靠性测试问题级别定义目录"/>
      <sheetName val="资产分类"/>
      <sheetName val="数据"/>
      <sheetName val="清單"/>
      <sheetName val="5M以下汇总及主要不良项"/>
      <sheetName val="기공1-1-2"/>
      <sheetName val="作業時間入力"/>
      <sheetName val="目录版本说明"/>
      <sheetName val="ME BOM9.16_"/>
      <sheetName val="定义表"/>
      <sheetName val="Delay原因分析"/>
      <sheetName val="物料收发汇总表"/>
      <sheetName val="第三組已完成"/>
      <sheetName val="Overhead summary"/>
      <sheetName val="统计报表(美金)"/>
      <sheetName val="掌控表"/>
      <sheetName val="P1012001"/>
      <sheetName val="功耗"/>
      <sheetName val="Calimero BOM"/>
      <sheetName val="仕損費"/>
      <sheetName val="数量・価格前提"/>
      <sheetName val="Sheet494"/>
      <sheetName val="PIT-HX"/>
      <sheetName val="工艺路线"/>
      <sheetName val="대실실"/>
      <sheetName val="공정품질-11월"/>
      <sheetName val="11月份"/>
      <sheetName val="各社状況"/>
      <sheetName val="Physical Description"/>
      <sheetName val="Labor CTB"/>
      <sheetName val="평가기준"/>
      <sheetName val="落板测试报告"/>
      <sheetName val="X2349 CRB Build Plan"/>
      <sheetName val="X-R 관리계수표"/>
      <sheetName val="제품표준규격"/>
      <sheetName val="4. FAI,Validation"/>
      <sheetName val="자금집행내역"/>
      <sheetName val="Packing수불"/>
      <sheetName val="Scrap"/>
      <sheetName val="CELL"/>
      <sheetName val="월간total"/>
      <sheetName val="실적입력"/>
      <sheetName val="CELL 생산일보 "/>
      <sheetName val="RULE SA05-09"/>
      <sheetName val="BOM LIST 정리"/>
      <sheetName val="Disclaimer"/>
      <sheetName val="4(2)"/>
      <sheetName val="Year"/>
      <sheetName val="Characteristic"/>
      <sheetName val="1차 시산표"/>
      <sheetName val="CAPVC"/>
      <sheetName val="교육생등록"/>
      <sheetName val="조직도_99"/>
      <sheetName val="6. FTA특혜관세적용달성율"/>
      <sheetName val="EscLP"/>
      <sheetName val="자재 입고(K1E1)"/>
      <sheetName val="6차량_원단위"/>
      <sheetName val="첨부(인조가죽신규계산)"/>
      <sheetName val="김경원"/>
      <sheetName val="Import"/>
      <sheetName val="1월실적"/>
      <sheetName val="5월실적"/>
      <sheetName val="7월실적"/>
      <sheetName val="8월실적"/>
      <sheetName val="2월실적"/>
      <sheetName val="3월실적"/>
      <sheetName val="이월정리"/>
      <sheetName val="9월급여"/>
      <sheetName val="T공구"/>
      <sheetName val="B00007834明细"/>
      <sheetName val="开发费用"/>
      <sheetName val="工装夹检具"/>
      <sheetName val="유형자산리드-5700"/>
      <sheetName val="_0602_________________2014061_2"/>
      <sheetName val="배포1203"/>
      <sheetName val="1-2)검사협정서"/>
      <sheetName val="1-1)검사협정서"/>
      <sheetName val="同行评审"/>
      <sheetName val="1492C"/>
      <sheetName val="工單差异分攤"/>
      <sheetName val="期初B"/>
      <sheetName val="Product Mix"/>
      <sheetName val="QS02-计划 "/>
      <sheetName val="SCM AV data"/>
      <sheetName val="97년 재료예산坜³垤"/>
      <sheetName val="대차"/>
      <sheetName val="9801"/>
      <sheetName val="LPP"/>
      <sheetName val="1(A급) (2)"/>
      <sheetName val="Intercompany_Detail1"/>
      <sheetName val="1(A급)_(2)1"/>
      <sheetName val="1(A급)_(2)"/>
      <sheetName val="71죭"/>
      <sheetName val="에어컨bom"/>
      <sheetName val="콘덴서bom"/>
      <sheetName val="NX4e 차종 부품가 견적 집계현황"/>
      <sheetName val="Manufacturing"/>
      <sheetName val="2002년실적"/>
      <sheetName val="REV Idle(19)_Output(74_중심거리확정)"/>
      <sheetName val="M1"/>
      <sheetName val="수정"/>
      <sheetName val="20년 생산확대방안"/>
      <sheetName val="Header"/>
      <sheetName val="98비정기소모"/>
      <sheetName val="CD&amp;SwapRates"/>
      <sheetName val="Roadmap Target_0627"/>
      <sheetName val="Roadmap Target (2)"/>
      <sheetName val="NX4e CAC INLET"/>
      <sheetName val="세부1-1"/>
      <sheetName val="세부1-2"/>
      <sheetName val="세부1-3"/>
      <sheetName val="세부1-4"/>
      <sheetName val="NX4e CAC OUTLET"/>
      <sheetName val="세부2-1"/>
      <sheetName val="세부2-2"/>
      <sheetName val="세부2-3"/>
      <sheetName val="세부2-4"/>
      <sheetName val="Theta3 FF (기존)"/>
      <sheetName val="Theta3 FF"/>
      <sheetName val="TF_1"/>
      <sheetName val="TF_2"/>
      <sheetName val="TF_3"/>
      <sheetName val="TF_4"/>
      <sheetName val="TF_5"/>
      <sheetName val="TF_6"/>
      <sheetName val="TR_7"/>
      <sheetName val="HZG D-Full Coolant Hose "/>
      <sheetName val="9BQX CAC"/>
      <sheetName val="9BQX CAC INLET_OUTLET(구매)"/>
      <sheetName val="NQ5 RADIATOR HOSE"/>
      <sheetName val="NX4 OIL COOLER HOSE"/>
      <sheetName val="SG2 RADIATOR HOSE(Current반영)"/>
      <sheetName val="NX4 BRAKE HOSE (구매)"/>
      <sheetName val="NX4 Brake Hose(개발)"/>
      <sheetName val="US4 OIL COOLER HOSE"/>
      <sheetName val="KA4 OIL COOLER HOSE"/>
      <sheetName val="Roadmap Target"/>
      <sheetName val="첨부3부재료비(차체)"/>
      <sheetName val="총괄"/>
      <sheetName val="환율반영"/>
      <sheetName val="진천"/>
      <sheetName val="Volume Sensitivity"/>
      <sheetName val="(6) CBA Exec Summary"/>
      <sheetName val="pre-PFD"/>
      <sheetName val="P1"/>
      <sheetName val="인원자료"/>
      <sheetName val="CTBH"/>
      <sheetName val="Comments"/>
      <sheetName val="주보"/>
      <sheetName val="CODE표"/>
      <sheetName val="고객불량현황"/>
      <sheetName val="공정불량현황"/>
      <sheetName val="수입검사현황"/>
      <sheetName val="제안접수"/>
      <sheetName val="주별"/>
      <sheetName val="월별"/>
      <sheetName val="3. 트림별_HMMA"/>
      <sheetName val="3. 트림별_일반"/>
      <sheetName val="T6-6(7)"/>
      <sheetName val="T6-6(6)"/>
      <sheetName val="사원명부"/>
      <sheetName val="mc.cap "/>
      <sheetName val="유가증권LS"/>
      <sheetName val="승"/>
      <sheetName val="p.1 sub lead"/>
      <sheetName val="EXC가격품의"/>
      <sheetName val="raw Data"/>
      <sheetName val="전체LIST원본"/>
      <sheetName val="Voreinstellungen"/>
      <sheetName val="Eingabe"/>
      <sheetName val="Panel Warpage"/>
      <sheetName val="SIP Section "/>
      <sheetName val="목록관리"/>
      <sheetName val="EQT-ESTN"/>
      <sheetName val="Loading"/>
      <sheetName val="CAPA_CHART"/>
      <sheetName val="이자수익OVERALL"/>
      <sheetName val="진공CAPA"/>
      <sheetName val="보고자료"/>
      <sheetName val="LEAD TIME 추이"/>
      <sheetName val="镀金品"/>
      <sheetName val="100"/>
      <sheetName val="기종데이터"/>
      <sheetName val="준비"/>
      <sheetName val="숨기기"/>
      <sheetName val="전사손익"/>
      <sheetName val="03A104KQ"/>
      <sheetName val="引用源"/>
      <sheetName val="业体code"/>
      <sheetName val="제조원가"/>
      <sheetName val="0-2.BDV"/>
      <sheetName val="한전"/>
      <sheetName val="参考資料"/>
      <sheetName val="비율"/>
      <sheetName val="P관리도(COB)"/>
      <sheetName val="13년 소인화"/>
      <sheetName val="Xunit (단위환산)"/>
      <sheetName val="불량DATA"/>
      <sheetName val="세부(Raw)"/>
      <sheetName val="Measurement_Data"/>
      <sheetName val="물량산출근거"/>
      <sheetName val="수원 RAW BT03(M292C)"/>
      <sheetName val="初期値"/>
      <sheetName val="미지급이자1"/>
      <sheetName val="Tên model"/>
      <sheetName val="▶순간정지(입력)"/>
      <sheetName val="12B"/>
      <sheetName val="TFT_Attendace3"/>
      <sheetName val="TFT_Attendace4"/>
      <sheetName val="List_Total4"/>
      <sheetName val="Person_Cost4"/>
      <sheetName val="THEO_DÕI_THAI_SẢN_(2)4"/>
      <sheetName val="Time_Man4"/>
      <sheetName val="Salary(Cus_)4"/>
      <sheetName val="OT_OVER4"/>
      <sheetName val="Segment_4_Bid_Sheet4"/>
      <sheetName val="Hi6810_功能信号表4"/>
      <sheetName val="6_FQC检验数据4"/>
      <sheetName val="2003_prod24"/>
      <sheetName val="2003_Target4"/>
      <sheetName val="RA_Bearer4"/>
      <sheetName val="Trend_Total_nguyên_nhân4"/>
      <sheetName val="設備預算總表附件3_4"/>
      <sheetName val="FA_Definitions4"/>
      <sheetName val="TFT_Attendace5"/>
      <sheetName val="List_Total5"/>
      <sheetName val="Person_Cost5"/>
      <sheetName val="THEO_DÕI_THAI_SẢN_(2)5"/>
      <sheetName val="Time_Man5"/>
      <sheetName val="Salary(Cus_)5"/>
      <sheetName val="OT_OVER5"/>
      <sheetName val="Segment_4_Bid_Sheet5"/>
      <sheetName val="Hi6810_功能信号表5"/>
      <sheetName val="6_FQC检验数据5"/>
      <sheetName val="2003_prod25"/>
      <sheetName val="2003_Target5"/>
      <sheetName val="RA_Bearer5"/>
      <sheetName val="Trend_Total_nguyên_nhân5"/>
      <sheetName val="設備預算總表附件3_5"/>
      <sheetName val="FA_Definitions5"/>
      <sheetName val="개발원가_종합5"/>
      <sheetName val="Main-Yield_report2"/>
      <sheetName val="Cosmetic_Description2"/>
      <sheetName val="TFT_Attendace6"/>
      <sheetName val="List_Total6"/>
      <sheetName val="Person_Cost6"/>
      <sheetName val="THEO_DÕI_THAI_SẢN_(2)6"/>
      <sheetName val="Time_Man6"/>
      <sheetName val="Salary(Cus_)6"/>
      <sheetName val="OT_OVER6"/>
      <sheetName val="Segment_4_Bid_Sheet6"/>
      <sheetName val="Hi6810_功能信号表6"/>
      <sheetName val="6_FQC检验数据6"/>
      <sheetName val="2003_prod26"/>
      <sheetName val="2003_Target6"/>
      <sheetName val="RA_Bearer6"/>
      <sheetName val="Trend_Total_nguyên_nhân6"/>
      <sheetName val="設備預算總表附件3_6"/>
      <sheetName val="FA_Definitions6"/>
      <sheetName val="개발원가_종합6"/>
      <sheetName val="Main-Yield_report3"/>
      <sheetName val="Cosmetic_Description3"/>
      <sheetName val="금형_(2)16"/>
      <sheetName val="TFT_Attendace7"/>
      <sheetName val="List_Total7"/>
      <sheetName val="Person_Cost7"/>
      <sheetName val="THEO_DÕI_THAI_SẢN_(2)7"/>
      <sheetName val="Time_Man7"/>
      <sheetName val="Salary(Cus_)7"/>
      <sheetName val="OT_OVER7"/>
      <sheetName val="Segment_4_Bid_Sheet7"/>
      <sheetName val="Hi6810_功能信号表7"/>
      <sheetName val="6_FQC检验数据7"/>
      <sheetName val="2003_prod27"/>
      <sheetName val="2003_Target7"/>
      <sheetName val="RA_Bearer7"/>
      <sheetName val="Trend_Total_nguyên_nhân7"/>
      <sheetName val="設備預算總表附件3_7"/>
      <sheetName val="FA_Definitions7"/>
      <sheetName val="개발원가_종합7"/>
      <sheetName val="22_보증금(전신전화가입권)4"/>
      <sheetName val="39_미지급법인세4"/>
      <sheetName val="Main-Yield_report4"/>
      <sheetName val="Cosmetic_Description4"/>
      <sheetName val="업체손실공수_xls4"/>
      <sheetName val="차체부품_INS_REPORT(갑)18"/>
      <sheetName val="FUEL_FILLER18"/>
      <sheetName val="5_WIRE적용LIST18"/>
      <sheetName val="3_일반사상18"/>
      <sheetName val="_납촉자18"/>
      <sheetName val="금형_(2)17"/>
      <sheetName val="J150_승인진도관리_LIST11"/>
      <sheetName val="TOTAL_LIST11"/>
      <sheetName val="Price_Range11"/>
      <sheetName val="FTR_MACRo11"/>
      <sheetName val="TFT_Attendace8"/>
      <sheetName val="List_Total8"/>
      <sheetName val="Person_Cost8"/>
      <sheetName val="THEO_DÕI_THAI_SẢN_(2)8"/>
      <sheetName val="Time_Man8"/>
      <sheetName val="Salary(Cus_)8"/>
      <sheetName val="OT_OVER8"/>
      <sheetName val="Segment_4_Bid_Sheet8"/>
      <sheetName val="Hi6810_功能信号表8"/>
      <sheetName val="6_FQC检验数据8"/>
      <sheetName val="2003_prod28"/>
      <sheetName val="2003_Target8"/>
      <sheetName val="RA_Bearer8"/>
      <sheetName val="Trend_Total_nguyên_nhân8"/>
      <sheetName val="設備預算總表附件3_8"/>
      <sheetName val="FA_Definitions8"/>
      <sheetName val="개발원가_종합8"/>
      <sheetName val="22_보증금(전신전화가입권)5"/>
      <sheetName val="39_미지급법인세5"/>
      <sheetName val="Main-Yield_report5"/>
      <sheetName val="Cosmetic_Description5"/>
      <sheetName val="업체손실공수_xls5"/>
      <sheetName val="1_TM19"/>
      <sheetName val="2_align19"/>
      <sheetName val="3_JUDDER19"/>
      <sheetName val="4_M_S19"/>
      <sheetName val="5_P_W_R19"/>
      <sheetName val="6_F_G19"/>
      <sheetName val="7__SCABLE19"/>
      <sheetName val="8_DIFF19"/>
      <sheetName val="9_A_C19"/>
      <sheetName val="10_GEAR19"/>
      <sheetName val="11_ISC19"/>
      <sheetName val="12_ALT19"/>
      <sheetName val="13_O_S19"/>
      <sheetName val="14_silencer19"/>
      <sheetName val="15_DAMPER19"/>
      <sheetName val="16_HUB19"/>
      <sheetName val="17_DLOCK19"/>
      <sheetName val="18_PSP19"/>
      <sheetName val="19_누수19"/>
      <sheetName val="20_K_S19"/>
      <sheetName val="차체부품_INS_REPORT(갑)19"/>
      <sheetName val="FUEL_FILLER19"/>
      <sheetName val="진행_DATA_(2)19"/>
      <sheetName val="2_대외공문19"/>
      <sheetName val="5_WIRE적용LIST19"/>
      <sheetName val="외주현황_wq119"/>
      <sheetName val="3_일반사상19"/>
      <sheetName val="3-2_귀책부서별_DT현황18"/>
      <sheetName val="_납촉자19"/>
      <sheetName val="LX3_0_RR18"/>
      <sheetName val="SUB_2월_재검사추이도18"/>
      <sheetName val="일일_업무_현황_(3)12"/>
      <sheetName val="일일_업무_현황_(5)12"/>
      <sheetName val="JT3_0견적-구118"/>
      <sheetName val="금형_(2)18"/>
      <sheetName val="J150_승인진도관리_LIST12"/>
      <sheetName val="TOTAL_LIST12"/>
      <sheetName val="Price_Range12"/>
      <sheetName val="FTR_MACRo12"/>
      <sheetName val="1-1_General_Code11"/>
      <sheetName val="협력사_일반현황12"/>
      <sheetName val="MPL_技連12"/>
      <sheetName val="342E_BLOCK12"/>
      <sheetName val="MPS_Q3_FY0411"/>
      <sheetName val="MPS_Q4_FY0411"/>
      <sheetName val="TFT_Attendace9"/>
      <sheetName val="List_Total9"/>
      <sheetName val="Person_Cost9"/>
      <sheetName val="THEO_DÕI_THAI_SẢN_(2)9"/>
      <sheetName val="Time_Man9"/>
      <sheetName val="Salary(Cus_)9"/>
      <sheetName val="OT_OVER9"/>
      <sheetName val="Segment_4_Bid_Sheet9"/>
      <sheetName val="Hi6810_功能信号表9"/>
      <sheetName val="6_FQC检验数据9"/>
      <sheetName val="2003_prod29"/>
      <sheetName val="2003_Target9"/>
      <sheetName val="RA_Bearer9"/>
      <sheetName val="Trend_Total_nguyên_nhân9"/>
      <sheetName val="設備預算總表附件3_9"/>
      <sheetName val="FA_Definitions9"/>
      <sheetName val="개발원가_종합9"/>
      <sheetName val="0_CHMSL_LED_ASSY8"/>
      <sheetName val="GAGE_R&amp;R(FRT_UPR)8"/>
      <sheetName val="중공업_실적8"/>
      <sheetName val="_하반기_경비_조정계획_150627(사계_r2_기준)_8"/>
      <sheetName val="22_보증금(전신전화가입권)6"/>
      <sheetName val="39_미지급법인세6"/>
      <sheetName val="Main-Yield_report6"/>
      <sheetName val="Cosmetic_Description6"/>
      <sheetName val="업체손실공수_xls6"/>
      <sheetName val="TỪ_KHÓA"/>
      <sheetName val="Quy_định_công_trừ_MBO"/>
      <sheetName val="SFA_M-P"/>
      <sheetName val="진행_사항"/>
      <sheetName val="HHP_설비_LIST"/>
      <sheetName val="Stand_off"/>
      <sheetName val="2차_OI䑲⿀1"/>
      <sheetName val="Quy_định_trừ_điểm_MBO"/>
      <sheetName val="LEAD_TIME_추이"/>
      <sheetName val="1_TM21"/>
      <sheetName val="2_align21"/>
      <sheetName val="3_JUDDER21"/>
      <sheetName val="4_M_S21"/>
      <sheetName val="5_P_W_R21"/>
      <sheetName val="6_F_G21"/>
      <sheetName val="7__SCABLE21"/>
      <sheetName val="8_DIFF21"/>
      <sheetName val="9_A_C21"/>
      <sheetName val="10_GEAR21"/>
      <sheetName val="11_ISC21"/>
      <sheetName val="12_ALT21"/>
      <sheetName val="13_O_S21"/>
      <sheetName val="14_silencer21"/>
      <sheetName val="15_DAMPER21"/>
      <sheetName val="16_HUB21"/>
      <sheetName val="17_DLOCK21"/>
      <sheetName val="18_PSP21"/>
      <sheetName val="19_누수21"/>
      <sheetName val="20_K_S21"/>
      <sheetName val="차체부품_INS_REPORT(갑)21"/>
      <sheetName val="FUEL_FILLER21"/>
      <sheetName val="진행_DATA_(2)21"/>
      <sheetName val="2_대외공문21"/>
      <sheetName val="5_WIRE적용LIST21"/>
      <sheetName val="외주현황_wq121"/>
      <sheetName val="3_일반사상21"/>
      <sheetName val="3-2_귀책부서별_DT현황20"/>
      <sheetName val="_납촉자21"/>
      <sheetName val="LX3_0_RR20"/>
      <sheetName val="SUB_2월_재검사추이도20"/>
      <sheetName val="GB-IC_Villingen_GG20"/>
      <sheetName val="5_세운W-A20"/>
      <sheetName val="일일_업무_현황_(3)14"/>
      <sheetName val="일일_업무_현황_(5)14"/>
      <sheetName val="JT3_0견적-구120"/>
      <sheetName val="DATA_BASE11"/>
      <sheetName val="금형_(2)20"/>
      <sheetName val="J150_승인진도관리_LIST14"/>
      <sheetName val="TOTAL_LIST14"/>
      <sheetName val="Price_Range14"/>
      <sheetName val="FTR_MACRo14"/>
      <sheetName val="포머_비가동_내역12"/>
      <sheetName val="FRONT_HUB견적가13"/>
      <sheetName val="0_절삭조건14"/>
      <sheetName val="VS1_Paretto분석13"/>
      <sheetName val="02_07_27_부품판매가11"/>
      <sheetName val="1-1_General_Code13"/>
      <sheetName val="생산현황_(입력)11"/>
      <sheetName val="협력사_일반현황14"/>
      <sheetName val="MPL_技連14"/>
      <sheetName val="342E_BLOCK14"/>
      <sheetName val="업체별_단가현황11"/>
      <sheetName val="CR_CODE11"/>
      <sheetName val="THEME_CODE11"/>
      <sheetName val="P&amp;L,Bal_Sheet,Cash_Forecast11"/>
      <sheetName val="임율_&amp;_LOT11"/>
      <sheetName val="생산계획_(2)11"/>
      <sheetName val="1_ER유체응용11"/>
      <sheetName val="4_시험장비11"/>
      <sheetName val="Summary_Sheet11"/>
      <sheetName val="Datasheet_for_KPI_Model_111"/>
      <sheetName val="MPS_Q3_FY0413"/>
      <sheetName val="MPS_Q4_FY0413"/>
      <sheetName val="일일_생산및판매계획_대_실적11"/>
      <sheetName val="PC%계산(WM_COMM단차)11"/>
      <sheetName val="VPP(BD-010)_이상보고11"/>
      <sheetName val="비교원가제출_고11"/>
      <sheetName val="1_세부비교원가(내수)11"/>
      <sheetName val="1_종합비교원가(내수_일반_유럽)11"/>
      <sheetName val="03_PFD-111"/>
      <sheetName val="97년_재료예산(안)11"/>
      <sheetName val="Data_Sheet11"/>
      <sheetName val="2__Definitions11"/>
      <sheetName val="TFT_Attendace11"/>
      <sheetName val="10_예산_및_원가_계획(02년)11"/>
      <sheetName val="코드_조건표12"/>
      <sheetName val="HMC_사전원가(원혁기준)13%11"/>
      <sheetName val="Upgrades_pricing11"/>
      <sheetName val="7_3_DY팀11"/>
      <sheetName val="List_Total11"/>
      <sheetName val="Person_Cost11"/>
      <sheetName val="THEO_DÕI_THAI_SẢN_(2)11"/>
      <sheetName val="Time_Man11"/>
      <sheetName val="Salary(Cus_)11"/>
      <sheetName val="OT_OVER11"/>
      <sheetName val="Segment_4_Bid_Sheet11"/>
      <sheetName val="Hi6810_功能信号表11"/>
      <sheetName val="6_FQC检验数据11"/>
      <sheetName val="2003_prod211"/>
      <sheetName val="2003_Target11"/>
      <sheetName val="RA_Bearer11"/>
      <sheetName val="Trend_Total_nguyên_nhân11"/>
      <sheetName val="設備預算總表附件3_11"/>
      <sheetName val="FA_Definitions11"/>
      <sheetName val="_21"/>
      <sheetName val="개발원가_종합11"/>
      <sheetName val="2차_OIL량측정11"/>
      <sheetName val="무부하_회전수11"/>
      <sheetName val="진행중_설변11"/>
      <sheetName val="장비_전체리스트11"/>
      <sheetName val="PNL_ASS'Y_CRASH_PAD_UPR_RH11"/>
      <sheetName val="S50_10"/>
      <sheetName val="재품별_단가11"/>
      <sheetName val="0_CHMSL_LED_ASSY10"/>
      <sheetName val="GAGE_R&amp;R(FRT_UPR)10"/>
      <sheetName val="5-Why_Root_Cause_Analysis_10"/>
      <sheetName val="TEAM하반기_계획_(2)10"/>
      <sheetName val="광주_소요량10"/>
      <sheetName val="공정능력(마운틴_홀_거리)10"/>
      <sheetName val="▶R_C_FRM10"/>
      <sheetName val="초_성10"/>
      <sheetName val="CHECK_성10"/>
      <sheetName val="cpk_data10"/>
      <sheetName val="full_(2)10"/>
      <sheetName val="_22"/>
      <sheetName val="중공업_실적10"/>
      <sheetName val="_하반기_경비_조정계획_150627(사계_r2_기준)10"/>
      <sheetName val="(2)월생산현황_8"/>
      <sheetName val="22_보증금(전신전화가입권)8"/>
      <sheetName val="39_미지급법인세8"/>
      <sheetName val="Main-Yield_report8"/>
      <sheetName val="Cosmetic_Description8"/>
      <sheetName val="업체손실공수_xls8"/>
      <sheetName val="1_TAT_Info_8"/>
      <sheetName val="AQL(0_65)4"/>
      <sheetName val="TỪ_KHÓA2"/>
      <sheetName val="Quy_định_công_trừ_MBO2"/>
      <sheetName val="SFA_M-P2"/>
      <sheetName val="진행_사항2"/>
      <sheetName val="HHP_설비_LIST2"/>
      <sheetName val="share_year=53"/>
      <sheetName val="delta_impedance(평균)4"/>
      <sheetName val="Histogram_Chart4"/>
      <sheetName val="Freq_error_DATA4"/>
      <sheetName val="Freq_HISTOGRAM4"/>
      <sheetName val="強度_CN_A1_C10H_152H3"/>
      <sheetName val="Stand_off2"/>
      <sheetName val="CC_Down_load_07162"/>
      <sheetName val="CAUZA_DEFECTE2"/>
      <sheetName val="CAUSES_OF_DEFECTS2"/>
      <sheetName val="VSAMS_Summary2"/>
      <sheetName val="Standard_Tests2"/>
      <sheetName val="2_NPI封面2"/>
      <sheetName val="Data_lists2"/>
      <sheetName val="FE_DPHU报告_3"/>
      <sheetName val="TOP_152"/>
      <sheetName val="Qual_Approv_Test_Plan_0503222"/>
      <sheetName val="Dashboard_(methodologies)2"/>
      <sheetName val="BE_DPHU报告_3"/>
      <sheetName val="Reference_Lists2"/>
      <sheetName val="Ramp-up_Prod_KLf_pro_Woche_2"/>
      <sheetName val="OT_Project_Report2"/>
      <sheetName val="Equipment_Info_assumptions2"/>
      <sheetName val="E_Goal2"/>
      <sheetName val="P_Goal2"/>
      <sheetName val="Manufacturers_And_Names_Lists2"/>
      <sheetName val="Perishable_Tooling2"/>
      <sheetName val="All_Parts2"/>
      <sheetName val="2차_OI䑲⿀3"/>
      <sheetName val="Quy_định_trừ_điểm_MBO2"/>
      <sheetName val="LEAD_TIME_추이2"/>
      <sheetName val="1_TM20"/>
      <sheetName val="2_align20"/>
      <sheetName val="3_JUDDER20"/>
      <sheetName val="4_M_S20"/>
      <sheetName val="5_P_W_R20"/>
      <sheetName val="6_F_G20"/>
      <sheetName val="7__SCABLE20"/>
      <sheetName val="8_DIFF20"/>
      <sheetName val="9_A_C20"/>
      <sheetName val="10_GEAR20"/>
      <sheetName val="11_ISC20"/>
      <sheetName val="12_ALT20"/>
      <sheetName val="13_O_S20"/>
      <sheetName val="14_silencer20"/>
      <sheetName val="15_DAMPER20"/>
      <sheetName val="16_HUB20"/>
      <sheetName val="17_DLOCK20"/>
      <sheetName val="18_PSP20"/>
      <sheetName val="19_누수20"/>
      <sheetName val="20_K_S20"/>
      <sheetName val="차체부품_INS_REPORT(갑)20"/>
      <sheetName val="FUEL_FILLER20"/>
      <sheetName val="진행_DATA_(2)20"/>
      <sheetName val="2_대외공문20"/>
      <sheetName val="5_WIRE적용LIST20"/>
      <sheetName val="외주현황_wq120"/>
      <sheetName val="3_일반사상20"/>
      <sheetName val="3-2_귀책부서별_DT현황19"/>
      <sheetName val="_납촉자20"/>
      <sheetName val="LX3_0_RR19"/>
      <sheetName val="SUB_2월_재검사추이도19"/>
      <sheetName val="GB-IC_Villingen_GG19"/>
      <sheetName val="5_세운W-A19"/>
      <sheetName val="일일_업무_현황_(3)13"/>
      <sheetName val="일일_업무_현황_(5)13"/>
      <sheetName val="JT3_0견적-구119"/>
      <sheetName val="금형_(2)19"/>
      <sheetName val="J150_승인진도관리_LIST13"/>
      <sheetName val="TOTAL_LIST13"/>
      <sheetName val="Price_Range13"/>
      <sheetName val="FTR_MACRo13"/>
      <sheetName val="FRONT_HUB견적가12"/>
      <sheetName val="0_절삭조건13"/>
      <sheetName val="VS1_Paretto분석12"/>
      <sheetName val="1-1_General_Code12"/>
      <sheetName val="협력사_일반현황13"/>
      <sheetName val="MPL_技連13"/>
      <sheetName val="342E_BLOCK13"/>
      <sheetName val="Summary_Sheet10"/>
      <sheetName val="Datasheet_for_KPI_Model_110"/>
      <sheetName val="MPS_Q3_FY0412"/>
      <sheetName val="MPS_Q4_FY0412"/>
      <sheetName val="TFT_Attendace10"/>
      <sheetName val="Upgrades_pricing10"/>
      <sheetName val="7_3_DY팀10"/>
      <sheetName val="List_Total10"/>
      <sheetName val="Person_Cost10"/>
      <sheetName val="THEO_DÕI_THAI_SẢN_(2)10"/>
      <sheetName val="Time_Man10"/>
      <sheetName val="Salary(Cus_)10"/>
      <sheetName val="OT_OVER10"/>
      <sheetName val="Segment_4_Bid_Sheet10"/>
      <sheetName val="Hi6810_功能信号表10"/>
      <sheetName val="6_FQC检验数据10"/>
      <sheetName val="2003_prod210"/>
      <sheetName val="2003_Target10"/>
      <sheetName val="RA_Bearer10"/>
      <sheetName val="Trend_Total_nguyên_nhân10"/>
      <sheetName val="設備預算總表附件3_10"/>
      <sheetName val="FA_Definitions10"/>
      <sheetName val="개발원가_종합10"/>
      <sheetName val="PNL_ASS'Y_CRASH_PAD_UPR_RH10"/>
      <sheetName val="0_CHMSL_LED_ASSY9"/>
      <sheetName val="GAGE_R&amp;R(FRT_UPR)9"/>
      <sheetName val="중공업_실적9"/>
      <sheetName val="_하반기_경비_조정계획_150627(사계_r2_기준)_9"/>
      <sheetName val="(2)월생산현황_7"/>
      <sheetName val="22_보증금(전신전화가입권)7"/>
      <sheetName val="39_미지급법인세7"/>
      <sheetName val="Main-Yield_report7"/>
      <sheetName val="Cosmetic_Description7"/>
      <sheetName val="업체손실공수_xls7"/>
      <sheetName val="TỪ_KHÓA1"/>
      <sheetName val="Quy_định_công_trừ_MBO1"/>
      <sheetName val="SFA_M-P1"/>
      <sheetName val="진행_사항1"/>
      <sheetName val="HHP_설비_LIST1"/>
      <sheetName val="share_year=52"/>
      <sheetName val="delta_impedance(평균)3"/>
      <sheetName val="Histogram_Chart3"/>
      <sheetName val="Freq_error_DATA3"/>
      <sheetName val="Freq_HISTOGRAM3"/>
      <sheetName val="Stand_off1"/>
      <sheetName val="CC_Down_load_07161"/>
      <sheetName val="CAUZA_DEFECTE1"/>
      <sheetName val="CAUSES_OF_DEFECTS1"/>
      <sheetName val="VSAMS_Summary1"/>
      <sheetName val="Standard_Tests1"/>
      <sheetName val="2_NPI封面1"/>
      <sheetName val="Data_lists1"/>
      <sheetName val="FE_DPHU报告_2"/>
      <sheetName val="TOP_151"/>
      <sheetName val="Qual_Approv_Test_Plan_0503221"/>
      <sheetName val="Dashboard_(methodologies)1"/>
      <sheetName val="BE_DPHU报告_2"/>
      <sheetName val="Reference_Lists1"/>
      <sheetName val="Ramp-up_Prod_KLf_pro_Woche_1"/>
      <sheetName val="OT_Project_Report1"/>
      <sheetName val="Equipment_Info_assumptions1"/>
      <sheetName val="E_Goal1"/>
      <sheetName val="P_Goal1"/>
      <sheetName val="Manufacturers_And_Names_Lists1"/>
      <sheetName val="Perishable_Tooling1"/>
      <sheetName val="All_Parts1"/>
      <sheetName val="2차_OI䑲⿀2"/>
      <sheetName val="Quy_định_trừ_điểm_MBO1"/>
      <sheetName val="LEAD_TIME_추이1"/>
      <sheetName val="1_TM24"/>
      <sheetName val="2_align24"/>
      <sheetName val="3_JUDDER24"/>
      <sheetName val="4_M_S24"/>
      <sheetName val="5_P_W_R24"/>
      <sheetName val="6_F_G24"/>
      <sheetName val="7__SCABLE24"/>
      <sheetName val="8_DIFF24"/>
      <sheetName val="9_A_C24"/>
      <sheetName val="10_GEAR24"/>
      <sheetName val="11_ISC24"/>
      <sheetName val="12_ALT24"/>
      <sheetName val="13_O_S24"/>
      <sheetName val="14_silencer24"/>
      <sheetName val="15_DAMPER24"/>
      <sheetName val="16_HUB24"/>
      <sheetName val="17_DLOCK24"/>
      <sheetName val="18_PSP24"/>
      <sheetName val="19_누수24"/>
      <sheetName val="20_K_S24"/>
      <sheetName val="차체부품_INS_REPORT(갑)24"/>
      <sheetName val="FUEL_FILLER24"/>
      <sheetName val="진행_DATA_(2)24"/>
      <sheetName val="2_대외공문24"/>
      <sheetName val="5_WIRE적용LIST24"/>
      <sheetName val="외주현황_wq124"/>
      <sheetName val="3_일반사상24"/>
      <sheetName val="3-2_귀책부서별_DT현황23"/>
      <sheetName val="_납촉자24"/>
      <sheetName val="LX3_0_RR23"/>
      <sheetName val="SUB_2월_재검사추이도23"/>
      <sheetName val="GB-IC_Villingen_GG23"/>
      <sheetName val="5_세운W-A23"/>
      <sheetName val="c_db24"/>
      <sheetName val="일일_업무_현황_(3)17"/>
      <sheetName val="일일_업무_현황_(5)17"/>
      <sheetName val="JT3_0견적-구123"/>
      <sheetName val="DATA_BASE14"/>
      <sheetName val="금형_(2)23"/>
      <sheetName val="J150_승인진도관리_LIST17"/>
      <sheetName val="TOTAL_LIST17"/>
      <sheetName val="Price_Range17"/>
      <sheetName val="FTR_MACRo17"/>
      <sheetName val="포머_비가동_내역15"/>
      <sheetName val="FRONT_HUB견적가16"/>
      <sheetName val="1_2내수17"/>
      <sheetName val="0_절삭조건17"/>
      <sheetName val="상세_계산_내역17"/>
      <sheetName val="VS1_Paretto분석16"/>
      <sheetName val="02_07_27_부품판매가14"/>
      <sheetName val="1-1_General_Code16"/>
      <sheetName val="생산현황_(입력)14"/>
      <sheetName val="협력사_일반현황17"/>
      <sheetName val="MPL_技連17"/>
      <sheetName val="342E_BLOCK17"/>
      <sheetName val="업체별_단가현황14"/>
      <sheetName val="CR_CODE14"/>
      <sheetName val="THEME_CODE14"/>
      <sheetName val="P&amp;L,Bal_Sheet,Cash_Forecast14"/>
      <sheetName val="임율_&amp;_LOT14"/>
      <sheetName val="생산계획_(2)14"/>
      <sheetName val="1_ER유체응용14"/>
      <sheetName val="4_시험장비14"/>
      <sheetName val="Summary_Sheet14"/>
      <sheetName val="Datasheet_for_KPI_Model_114"/>
      <sheetName val="MPS_Q3_FY0416"/>
      <sheetName val="MPS_Q4_FY0416"/>
      <sheetName val="일일_생산및판매계획_대_실적14"/>
      <sheetName val="PC%계산(WM_COMM단차)14"/>
      <sheetName val="FLOW_PROSES_(A)14"/>
      <sheetName val="VPP(BD-010)_이상보고14"/>
      <sheetName val="비교원가제출_고14"/>
      <sheetName val="Basic_assumptions14"/>
      <sheetName val="1_세부비교원가(내수)14"/>
      <sheetName val="1_종합비교원가(내수_일반_유럽)14"/>
      <sheetName val="production_dept13"/>
      <sheetName val="6_수입검사_13"/>
      <sheetName val="03_PFD-114"/>
      <sheetName val="12_Inv_13"/>
      <sheetName val="97년_재료예산(안)14"/>
      <sheetName val="1_터빈13"/>
      <sheetName val="cost_base_e_dati13"/>
      <sheetName val="Data_Sheet14"/>
      <sheetName val="2__Definitions14"/>
      <sheetName val="TFT_Attendace14"/>
      <sheetName val="10_예산_및_원가_계획(02년)14"/>
      <sheetName val="코드_조건표15"/>
      <sheetName val="HMC_사전원가(원혁기준)13%14"/>
      <sheetName val="Upgrades_pricing14"/>
      <sheetName val="7_3_DY팀14"/>
      <sheetName val="List_Total14"/>
      <sheetName val="Person_Cost14"/>
      <sheetName val="THEO_DÕI_THAI_SẢN_(2)14"/>
      <sheetName val="Time_Man14"/>
      <sheetName val="Salary(Cus_)14"/>
      <sheetName val="OT_OVER14"/>
      <sheetName val="Segment_4_Bid_Sheet14"/>
      <sheetName val="Hi6810_功能信号表14"/>
      <sheetName val="6_FQC检验数据14"/>
      <sheetName val="2003_prod214"/>
      <sheetName val="2003_Target14"/>
      <sheetName val="RA_Bearer14"/>
      <sheetName val="Trend_Total_nguyên_nhân14"/>
      <sheetName val="設備預算總表附件3_14"/>
      <sheetName val="FA_Definitions14"/>
      <sheetName val="_27"/>
      <sheetName val="개발원가_종합14"/>
      <sheetName val="2차_OIL량측정14"/>
      <sheetName val="무부하_회전수14"/>
      <sheetName val="진행중_설변14"/>
      <sheetName val="장비_전체리스트14"/>
      <sheetName val="PNL_ASS'Y_CRASH_PAD_UPR_RH14"/>
      <sheetName val="1_1_2008_OTIF13"/>
      <sheetName val="업무분장_13"/>
      <sheetName val="S50_13"/>
      <sheetName val="DBL_LPG시험13"/>
      <sheetName val="재품별_단가14"/>
      <sheetName val="집중검사_리스트13"/>
      <sheetName val="실행내역서_13"/>
      <sheetName val="개발_LIST13"/>
      <sheetName val="차체_품안표13"/>
      <sheetName val="1~3월_지시사항13"/>
      <sheetName val="1_POSITIONING13"/>
      <sheetName val="Value_Analysis_-_Sheet_113"/>
      <sheetName val="BAFFLE_HMC_TABLE113"/>
      <sheetName val="0_CHMSL_LED_ASSY13"/>
      <sheetName val="Production_Plan113"/>
      <sheetName val="GAGE_R&amp;R(FRT_UPR)13"/>
      <sheetName val="5-Why_Root_Cause_Analysis_13"/>
      <sheetName val="TEAM하반기_계획_(2)13"/>
      <sheetName val="광주_소요량13"/>
      <sheetName val="공정능력(마운틴_홀_거리)13"/>
      <sheetName val="▶R_C_FRM13"/>
      <sheetName val="초_성13"/>
      <sheetName val="CHECK_성13"/>
      <sheetName val="cpk_data13"/>
      <sheetName val="full_(2)13"/>
      <sheetName val="_28"/>
      <sheetName val="중공업_실적13"/>
      <sheetName val="_하반기_경비_조정계획_150627(사계_r2_기준)13"/>
      <sheetName val="(2)월생산현황_11"/>
      <sheetName val="22_보증금(전신전화가입권)11"/>
      <sheetName val="39_미지급법인세11"/>
      <sheetName val="Main-Yield_report11"/>
      <sheetName val="Cosmetic_Description11"/>
      <sheetName val="업체손실공수_xls11"/>
      <sheetName val="1_TAT_Info_11"/>
      <sheetName val="불량_리스트8"/>
      <sheetName val="불량_코드8"/>
      <sheetName val="_0602주-무결점운동_진행현황_보고_(201406107"/>
      <sheetName val="4_20)통계적기법관리절차서7"/>
      <sheetName val="Dual_PMP수율7"/>
      <sheetName val="2-1_제품군별계획대비실적(B_A)10"/>
      <sheetName val="OEM_이의제기_종합10"/>
      <sheetName val="XMA_12월_8,000대_원,부자재_完8"/>
      <sheetName val="YFA_10월분_원자재(10_12)_미납완료_完8"/>
      <sheetName val="YFA_10월분_부자재(10_7,9)_FEDEX_完8"/>
      <sheetName val="SCP_48"/>
      <sheetName val="SCP_5_D2UXT8"/>
      <sheetName val="SCP_6_D2UX8"/>
      <sheetName val="Invest_(MAC)8"/>
      <sheetName val="SCP_Apr20158"/>
      <sheetName val="AQL(0_65)7"/>
      <sheetName val="108_수선비8"/>
      <sheetName val="Team_종합8"/>
      <sheetName val="CONSUMO_DE_RESINA_7"/>
      <sheetName val="ISSUE_LIST8"/>
      <sheetName val="품의서양식_(3)8"/>
      <sheetName val="1__보고8"/>
      <sheetName val="Input_Page5"/>
      <sheetName val="Input_Sheet5"/>
      <sheetName val="Aug01_Status_Rpt5"/>
      <sheetName val="Base_Info5"/>
      <sheetName val="RFQ_Template8"/>
      <sheetName val="기타_부자재7"/>
      <sheetName val="REAR_8"/>
      <sheetName val="abs_dac검사대비분석자료28"/>
      <sheetName val="LCAUTO_46"/>
      <sheetName val="LCAT수_조6"/>
      <sheetName val="8월_매출현황5"/>
      <sheetName val="3공장_순양전자5"/>
      <sheetName val="현진테크_(2)5"/>
      <sheetName val="동경cnc_지그5"/>
      <sheetName val="대한테크_집계5"/>
      <sheetName val="서연전자_(2)5"/>
      <sheetName val="삼익전자_(2)5"/>
      <sheetName val="삼익산업_(2)5"/>
      <sheetName val="시무인텔_(2)5"/>
      <sheetName val="성우일렉스_(2)5"/>
      <sheetName val="성호테크_(2)5"/>
      <sheetName val="거래선별_매출현황_내역7"/>
      <sheetName val="LINE_PPM-분석7"/>
      <sheetName val="TỪ_KHÓA5"/>
      <sheetName val="Full_PBD7"/>
      <sheetName val="소재_이력5"/>
      <sheetName val="외주수입검사_종합(6월)8"/>
      <sheetName val="Quy_định_công_trừ_MBO5"/>
      <sheetName val="REPAIR_DATA_-_CONTAINER_#57"/>
      <sheetName val="노원열병합__건축공사기성내역서7"/>
      <sheetName val="Gia_vat_tu7"/>
      <sheetName val="Issues_List7"/>
      <sheetName val="SFA_M-P5"/>
      <sheetName val="진행_사항5"/>
      <sheetName val="HHP_설비_LIST5"/>
      <sheetName val="PMBG12LD_장비및인원소요(D_A기준)_5"/>
      <sheetName val="3__Acronyms_and_abbreviations6"/>
      <sheetName val="Tool_Type6"/>
      <sheetName val="share_year=56"/>
      <sheetName val="3-2002년_소모공구비5"/>
      <sheetName val="DS_MBR_RR_Side__-_PcA7"/>
      <sheetName val="Europe_PU-17"/>
      <sheetName val="_Common_Info_Page5"/>
      <sheetName val="1_종합평가표8"/>
      <sheetName val="BI-FUEL_AIR_VENT_PIPE8"/>
      <sheetName val="RFQ_Form8"/>
      <sheetName val="1_TP조립8"/>
      <sheetName val="수식파일_(삭제금지)5"/>
      <sheetName val="03년_체제결과7"/>
      <sheetName val="5_Why's5"/>
      <sheetName val="NEW_TOOL_MASTER5"/>
      <sheetName val="금형_이력_카드5"/>
      <sheetName val="99_조정금액5"/>
      <sheetName val="InspectionData_(2)5"/>
      <sheetName val="Input_Form_-_EingabeMaske5"/>
      <sheetName val="1_생산05"/>
      <sheetName val="01년2월현황_5"/>
      <sheetName val="delta_impedance(평균)7"/>
      <sheetName val="Histogram_Chart7"/>
      <sheetName val="Freq_error_DATA7"/>
      <sheetName val="Freq_HISTOGRAM7"/>
      <sheetName val="PACKING_LIST6"/>
      <sheetName val="COOLING_UNIT6"/>
      <sheetName val="強度_CN_A1_C10H_152H6"/>
      <sheetName val="2차_OI5"/>
      <sheetName val="Actual_data5"/>
      <sheetName val="신흥테크_세부내역_LIST5"/>
      <sheetName val="TL_PROTO_2열5"/>
      <sheetName val="Stand_off5"/>
      <sheetName val="THS_-_Key_Inputs5"/>
      <sheetName val="Danh_Mục5"/>
      <sheetName val="Danh_Muc5"/>
      <sheetName val="05_新Table(간접직)5"/>
      <sheetName val="05계약내역(기존T_활용)5"/>
      <sheetName val="MS_SPEC5"/>
      <sheetName val="2009년_매출_실적5"/>
      <sheetName val="11_Inv_5"/>
      <sheetName val="00-Input_Values5"/>
      <sheetName val="Input_Values5"/>
      <sheetName val="CC_Down_load_07165"/>
      <sheetName val="CAUZA_DEFECTE5"/>
      <sheetName val="CAUSES_OF_DEFECTS5"/>
      <sheetName val="VSAMS_Summary5"/>
      <sheetName val="Standard_Tests5"/>
      <sheetName val="2_NPI封面5"/>
      <sheetName val="Data_lists5"/>
      <sheetName val="FE_DPHU报告_6"/>
      <sheetName val="TOP_155"/>
      <sheetName val="Qual_Approv_Test_Plan_0503225"/>
      <sheetName val="Dashboard_(methodologies)5"/>
      <sheetName val="BE_DPHU报告_6"/>
      <sheetName val="Reference_Lists5"/>
      <sheetName val="Ramp-up_Prod_KLf_pro_Woche_5"/>
      <sheetName val="OT_Project_Report5"/>
      <sheetName val="Equipment_Info_assumptions5"/>
      <sheetName val="E_Goal5"/>
      <sheetName val="P_Goal5"/>
      <sheetName val="Manufacturers_And_Names_Lists5"/>
      <sheetName val="Perishable_Tooling5"/>
      <sheetName val="All_Parts5"/>
      <sheetName val="G-Exchange_#6675"/>
      <sheetName val="C-Mix_Rate_&amp;_Revenue(calc)5"/>
      <sheetName val="Cty+XN(KT_2005)5"/>
      <sheetName val="2차_OI䑲⿀6"/>
      <sheetName val="한일자야(감액손실)_(2)5"/>
      <sheetName val="1-1_연월차_개인별_보전수당5"/>
      <sheetName val="2005년_소요량5"/>
      <sheetName val="20060624_공조제어5"/>
      <sheetName val="첨부13__사출(PAD)_카메라5"/>
      <sheetName val="부품_LIST5"/>
      <sheetName val="종합원가분석_1_5"/>
      <sheetName val="_제9차_회사표준_제개정_공청회_이의제기신청서_XLSX5"/>
      <sheetName val="General_Assumptions5"/>
      <sheetName val="1_개발개요5"/>
      <sheetName val="02_08생산대상대수5"/>
      <sheetName val="SEP_20075"/>
      <sheetName val="개인별_교육현황5"/>
      <sheetName val="관리구역_책임자(181010)5"/>
      <sheetName val="ACU기청소2018-05-04_(3)5"/>
      <sheetName val="ASM_A동5"/>
      <sheetName val="SMT구역_(2)5"/>
      <sheetName val="관리구역_체크시트5"/>
      <sheetName val="관리구역_평가시트5"/>
      <sheetName val="담당자편성표_(B)5"/>
      <sheetName val="조립A구역_(2)5"/>
      <sheetName val="개선보고서_(2)5"/>
      <sheetName val="Value_5"/>
      <sheetName val="Duration_5"/>
      <sheetName val="공정공수_XLS5"/>
      <sheetName val="풍량상한치_제한_data5"/>
      <sheetName val="Source_List5"/>
      <sheetName val="99년12월_실적DATA5"/>
      <sheetName val="#1-1_(2)5"/>
      <sheetName val="2-2_매출분석5"/>
      <sheetName val="기초_DATA5"/>
      <sheetName val="PL_By_Model(Result)6"/>
      <sheetName val="2000_(원본)5"/>
      <sheetName val="천정등기구_실적5"/>
      <sheetName val="영업_입수계획_5"/>
      <sheetName val="참고1_02_판매계획_(수량)5"/>
      <sheetName val="전사_경영계획_수량5"/>
      <sheetName val="INATAKE_SYS5"/>
      <sheetName val="FAX_(2)5"/>
      <sheetName val="Quy_định_trừ_điểm_MBO5"/>
      <sheetName val="LEAD_TIME_추이5"/>
      <sheetName val="1_TM23"/>
      <sheetName val="2_align23"/>
      <sheetName val="3_JUDDER23"/>
      <sheetName val="4_M_S23"/>
      <sheetName val="5_P_W_R23"/>
      <sheetName val="6_F_G23"/>
      <sheetName val="7__SCABLE23"/>
      <sheetName val="8_DIFF23"/>
      <sheetName val="9_A_C23"/>
      <sheetName val="10_GEAR23"/>
      <sheetName val="11_ISC23"/>
      <sheetName val="12_ALT23"/>
      <sheetName val="13_O_S23"/>
      <sheetName val="14_silencer23"/>
      <sheetName val="15_DAMPER23"/>
      <sheetName val="16_HUB23"/>
      <sheetName val="17_DLOCK23"/>
      <sheetName val="18_PSP23"/>
      <sheetName val="19_누수23"/>
      <sheetName val="20_K_S23"/>
      <sheetName val="차체부품_INS_REPORT(갑)23"/>
      <sheetName val="FUEL_FILLER23"/>
      <sheetName val="진행_DATA_(2)23"/>
      <sheetName val="2_대외공문23"/>
      <sheetName val="5_WIRE적용LIST23"/>
      <sheetName val="외주현황_wq123"/>
      <sheetName val="3_일반사상23"/>
      <sheetName val="3-2_귀책부서별_DT현황22"/>
      <sheetName val="_납촉자23"/>
      <sheetName val="LX3_0_RR22"/>
      <sheetName val="SUB_2월_재검사추이도22"/>
      <sheetName val="GB-IC_Villingen_GG22"/>
      <sheetName val="5_세운W-A22"/>
      <sheetName val="일일_업무_현황_(3)16"/>
      <sheetName val="일일_업무_현황_(5)16"/>
      <sheetName val="JT3_0견적-구122"/>
      <sheetName val="DATA_BASE13"/>
      <sheetName val="금형_(2)22"/>
      <sheetName val="J150_승인진도관리_LIST16"/>
      <sheetName val="TOTAL_LIST16"/>
      <sheetName val="Price_Range16"/>
      <sheetName val="FTR_MACRo16"/>
      <sheetName val="포머_비가동_내역14"/>
      <sheetName val="FRONT_HUB견적가15"/>
      <sheetName val="0_절삭조건16"/>
      <sheetName val="VS1_Paretto분석15"/>
      <sheetName val="02_07_27_부품판매가13"/>
      <sheetName val="1-1_General_Code15"/>
      <sheetName val="생산현황_(입력)13"/>
      <sheetName val="협력사_일반현황16"/>
      <sheetName val="MPL_技連16"/>
      <sheetName val="342E_BLOCK16"/>
      <sheetName val="업체별_단가현황13"/>
      <sheetName val="CR_CODE13"/>
      <sheetName val="THEME_CODE13"/>
      <sheetName val="P&amp;L,Bal_Sheet,Cash_Forecast13"/>
      <sheetName val="임율_&amp;_LOT13"/>
      <sheetName val="생산계획_(2)13"/>
      <sheetName val="1_ER유체응용13"/>
      <sheetName val="4_시험장비13"/>
      <sheetName val="Summary_Sheet13"/>
      <sheetName val="Datasheet_for_KPI_Model_113"/>
      <sheetName val="MPS_Q3_FY0415"/>
      <sheetName val="MPS_Q4_FY0415"/>
      <sheetName val="일일_생산및판매계획_대_실적13"/>
      <sheetName val="PC%계산(WM_COMM단차)13"/>
      <sheetName val="VPP(BD-010)_이상보고13"/>
      <sheetName val="비교원가제출_고13"/>
      <sheetName val="Basic_assumptions13"/>
      <sheetName val="1_세부비교원가(내수)13"/>
      <sheetName val="1_종합비교원가(내수_일반_유럽)13"/>
      <sheetName val="production_dept12"/>
      <sheetName val="6_수입검사_12"/>
      <sheetName val="03_PFD-113"/>
      <sheetName val="12_Inv_12"/>
      <sheetName val="97년_재료예산(안)13"/>
      <sheetName val="1_터빈12"/>
      <sheetName val="cost_base_e_dati12"/>
      <sheetName val="Data_Sheet13"/>
      <sheetName val="2__Definitions13"/>
      <sheetName val="TFT_Attendace13"/>
      <sheetName val="10_예산_및_원가_계획(02년)13"/>
      <sheetName val="코드_조건표14"/>
      <sheetName val="HMC_사전원가(원혁기준)13%13"/>
      <sheetName val="Upgrades_pricing13"/>
      <sheetName val="7_3_DY팀13"/>
      <sheetName val="List_Total13"/>
      <sheetName val="Person_Cost13"/>
      <sheetName val="THEO_DÕI_THAI_SẢN_(2)13"/>
      <sheetName val="Time_Man13"/>
      <sheetName val="Salary(Cus_)13"/>
      <sheetName val="OT_OVER13"/>
      <sheetName val="Segment_4_Bid_Sheet13"/>
      <sheetName val="Hi6810_功能信号表13"/>
      <sheetName val="6_FQC检验数据13"/>
      <sheetName val="2003_prod213"/>
      <sheetName val="2003_Target13"/>
      <sheetName val="RA_Bearer13"/>
      <sheetName val="Trend_Total_nguyên_nhân13"/>
      <sheetName val="設備預算總表附件3_13"/>
      <sheetName val="FA_Definitions13"/>
      <sheetName val="_25"/>
      <sheetName val="개발원가_종합13"/>
      <sheetName val="2차_OIL량측정13"/>
      <sheetName val="무부하_회전수13"/>
      <sheetName val="진행중_설변13"/>
      <sheetName val="장비_전체리스트13"/>
      <sheetName val="PNL_ASS'Y_CRASH_PAD_UPR_RH13"/>
      <sheetName val="1_1_2008_OTIF12"/>
      <sheetName val="업무분장_12"/>
      <sheetName val="S50_12"/>
      <sheetName val="재품별_단가13"/>
      <sheetName val="집중검사_리스트12"/>
      <sheetName val="실행내역서_12"/>
      <sheetName val="개발_LIST12"/>
      <sheetName val="차체_품안표12"/>
      <sheetName val="1~3월_지시사항12"/>
      <sheetName val="1_POSITIONING12"/>
      <sheetName val="Value_Analysis_-_Sheet_112"/>
      <sheetName val="BAFFLE_HMC_TABLE112"/>
      <sheetName val="0_CHMSL_LED_ASSY12"/>
      <sheetName val="Production_Plan112"/>
      <sheetName val="GAGE_R&amp;R(FRT_UPR)12"/>
      <sheetName val="5-Why_Root_Cause_Analysis_12"/>
      <sheetName val="TEAM하반기_계획_(2)12"/>
      <sheetName val="광주_소요량12"/>
      <sheetName val="공정능력(마운틴_홀_거리)12"/>
      <sheetName val="▶R_C_FRM12"/>
      <sheetName val="초_성12"/>
      <sheetName val="CHECK_성12"/>
      <sheetName val="cpk_data12"/>
      <sheetName val="full_(2)12"/>
      <sheetName val="_26"/>
      <sheetName val="중공업_실적12"/>
      <sheetName val="_하반기_경비_조정계획_150627(사계_r2_기준)12"/>
      <sheetName val="(2)월생산현황_10"/>
      <sheetName val="22_보증금(전신전화가입권)10"/>
      <sheetName val="39_미지급법인세10"/>
      <sheetName val="Main-Yield_report10"/>
      <sheetName val="Cosmetic_Description10"/>
      <sheetName val="업체손실공수_xls10"/>
      <sheetName val="1_TAT_Info_10"/>
      <sheetName val="AQL(0_65)6"/>
      <sheetName val="LCAUTO_45"/>
      <sheetName val="LCAT수_조5"/>
      <sheetName val="LINE_PPM-분석6"/>
      <sheetName val="TỪ_KHÓA4"/>
      <sheetName val="Quy_định_công_trừ_MBO4"/>
      <sheetName val="REPAIR_DATA_-_CONTAINER_#56"/>
      <sheetName val="노원열병합__건축공사기성내역서6"/>
      <sheetName val="Gia_vat_tu6"/>
      <sheetName val="Issues_List6"/>
      <sheetName val="SFA_M-P4"/>
      <sheetName val="진행_사항4"/>
      <sheetName val="HHP_설비_LIST4"/>
      <sheetName val="PMBG12LD_장비및인원소요(D_A기준)_4"/>
      <sheetName val="3__Acronyms_and_abbreviations5"/>
      <sheetName val="Tool_Type5"/>
      <sheetName val="share_year=55"/>
      <sheetName val="수식파일_(삭제금지)4"/>
      <sheetName val="5_Why's4"/>
      <sheetName val="InspectionData_(2)4"/>
      <sheetName val="Input_Form_-_EingabeMaske4"/>
      <sheetName val="1_생산04"/>
      <sheetName val="01년2월현황_4"/>
      <sheetName val="delta_impedance(평균)6"/>
      <sheetName val="Histogram_Chart6"/>
      <sheetName val="Freq_error_DATA6"/>
      <sheetName val="Freq_HISTOGRAM6"/>
      <sheetName val="PACKING_LIST5"/>
      <sheetName val="COOLING_UNIT5"/>
      <sheetName val="強度_CN_A1_C10H_152H5"/>
      <sheetName val="Stand_off4"/>
      <sheetName val="05_新Table(간접직)4"/>
      <sheetName val="05계약내역(기존T_활용)4"/>
      <sheetName val="MS_SPEC4"/>
      <sheetName val="2009년_매출_실적4"/>
      <sheetName val="11_Inv_4"/>
      <sheetName val="00-Input_Values4"/>
      <sheetName val="Input_Values4"/>
      <sheetName val="CC_Down_load_07164"/>
      <sheetName val="CAUZA_DEFECTE4"/>
      <sheetName val="CAUSES_OF_DEFECTS4"/>
      <sheetName val="VSAMS_Summary4"/>
      <sheetName val="Standard_Tests4"/>
      <sheetName val="2_NPI封面4"/>
      <sheetName val="Data_lists4"/>
      <sheetName val="FE_DPHU报告_5"/>
      <sheetName val="TOP_154"/>
      <sheetName val="Qual_Approv_Test_Plan_0503224"/>
      <sheetName val="Dashboard_(methodologies)4"/>
      <sheetName val="BE_DPHU报告_5"/>
      <sheetName val="Reference_Lists4"/>
      <sheetName val="Ramp-up_Prod_KLf_pro_Woche_4"/>
      <sheetName val="OT_Project_Report4"/>
      <sheetName val="Equipment_Info_assumptions4"/>
      <sheetName val="E_Goal4"/>
      <sheetName val="P_Goal4"/>
      <sheetName val="Manufacturers_And_Names_Lists4"/>
      <sheetName val="Perishable_Tooling4"/>
      <sheetName val="All_Parts4"/>
      <sheetName val="G-Exchange_#6674"/>
      <sheetName val="C-Mix_Rate_&amp;_Revenue(calc)4"/>
      <sheetName val="Cty+XN(KT_2005)4"/>
      <sheetName val="2차_OI䑲⿀5"/>
      <sheetName val="한일자야(감액손실)_(2)4"/>
      <sheetName val="1-1_연월차_개인별_보전수당4"/>
      <sheetName val="2005년_소요량4"/>
      <sheetName val="20060624_공조제어4"/>
      <sheetName val="첨부13__사출(PAD)_카메라4"/>
      <sheetName val="부품_LIST4"/>
      <sheetName val="종합원가분석_1_4"/>
      <sheetName val="_제9차_회사표준_제개정_공청회_이의제기신청서_XLSX4"/>
      <sheetName val="General_Assumptions4"/>
      <sheetName val="1_개발개요4"/>
      <sheetName val="02_08생산대상대수4"/>
      <sheetName val="SEP_20074"/>
      <sheetName val="개인별_교육현황4"/>
      <sheetName val="관리구역_책임자(181010)4"/>
      <sheetName val="ACU기청소2018-05-04_(3)4"/>
      <sheetName val="ASM_A동4"/>
      <sheetName val="SMT구역_(2)4"/>
      <sheetName val="관리구역_체크시트4"/>
      <sheetName val="관리구역_평가시트4"/>
      <sheetName val="담당자편성표_(B)4"/>
      <sheetName val="조립A구역_(2)4"/>
      <sheetName val="개선보고서_(2)4"/>
      <sheetName val="Value_4"/>
      <sheetName val="Duration_4"/>
      <sheetName val="공정공수_XLS4"/>
      <sheetName val="풍량상한치_제한_data4"/>
      <sheetName val="Source_List4"/>
      <sheetName val="PL_By_Model(Result)5"/>
      <sheetName val="2000_(원본)4"/>
      <sheetName val="천정등기구_실적4"/>
      <sheetName val="영업_입수계획_4"/>
      <sheetName val="참고1_02_판매계획_(수량)4"/>
      <sheetName val="전사_경영계획_수량4"/>
      <sheetName val="INATAKE_SYS4"/>
      <sheetName val="FAX_(2)4"/>
      <sheetName val="Quy_định_trừ_điểm_MBO4"/>
      <sheetName val="LEAD_TIME_추이4"/>
      <sheetName val="1_TM22"/>
      <sheetName val="2_align22"/>
      <sheetName val="3_JUDDER22"/>
      <sheetName val="4_M_S22"/>
      <sheetName val="5_P_W_R22"/>
      <sheetName val="6_F_G22"/>
      <sheetName val="7__SCABLE22"/>
      <sheetName val="8_DIFF22"/>
      <sheetName val="9_A_C22"/>
      <sheetName val="10_GEAR22"/>
      <sheetName val="11_ISC22"/>
      <sheetName val="12_ALT22"/>
      <sheetName val="13_O_S22"/>
      <sheetName val="14_silencer22"/>
      <sheetName val="15_DAMPER22"/>
      <sheetName val="16_HUB22"/>
      <sheetName val="17_DLOCK22"/>
      <sheetName val="18_PSP22"/>
      <sheetName val="19_누수22"/>
      <sheetName val="20_K_S22"/>
      <sheetName val="차체부품_INS_REPORT(갑)22"/>
      <sheetName val="FUEL_FILLER22"/>
      <sheetName val="진행_DATA_(2)22"/>
      <sheetName val="2_대외공문22"/>
      <sheetName val="5_WIRE적용LIST22"/>
      <sheetName val="외주현황_wq122"/>
      <sheetName val="3_일반사상22"/>
      <sheetName val="3-2_귀책부서별_DT현황21"/>
      <sheetName val="_납촉자22"/>
      <sheetName val="LX3_0_RR21"/>
      <sheetName val="SUB_2월_재검사추이도21"/>
      <sheetName val="GB-IC_Villingen_GG21"/>
      <sheetName val="5_세운W-A21"/>
      <sheetName val="일일_업무_현황_(3)15"/>
      <sheetName val="일일_업무_현황_(5)15"/>
      <sheetName val="JT3_0견적-구121"/>
      <sheetName val="DATA_BASE12"/>
      <sheetName val="금형_(2)21"/>
      <sheetName val="J150_승인진도관리_LIST15"/>
      <sheetName val="TOTAL_LIST15"/>
      <sheetName val="Price_Range15"/>
      <sheetName val="FTR_MACRo15"/>
      <sheetName val="포머_비가동_내역13"/>
      <sheetName val="FRONT_HUB견적가14"/>
      <sheetName val="0_절삭조건15"/>
      <sheetName val="VS1_Paretto분석14"/>
      <sheetName val="02_07_27_부품판매가12"/>
      <sheetName val="1-1_General_Code14"/>
      <sheetName val="생산현황_(입력)12"/>
      <sheetName val="협력사_일반현황15"/>
      <sheetName val="MPL_技連15"/>
      <sheetName val="342E_BLOCK15"/>
      <sheetName val="업체별_단가현황12"/>
      <sheetName val="CR_CODE12"/>
      <sheetName val="THEME_CODE12"/>
      <sheetName val="P&amp;L,Bal_Sheet,Cash_Forecast12"/>
      <sheetName val="임율_&amp;_LOT12"/>
      <sheetName val="생산계획_(2)12"/>
      <sheetName val="1_ER유체응용12"/>
      <sheetName val="4_시험장비12"/>
      <sheetName val="Summary_Sheet12"/>
      <sheetName val="Datasheet_for_KPI_Model_112"/>
      <sheetName val="MPS_Q3_FY0414"/>
      <sheetName val="MPS_Q4_FY0414"/>
      <sheetName val="일일_생산및판매계획_대_실적12"/>
      <sheetName val="PC%계산(WM_COMM단차)12"/>
      <sheetName val="VPP(BD-010)_이상보고12"/>
      <sheetName val="비교원가제출_고12"/>
      <sheetName val="1_세부비교원가(내수)12"/>
      <sheetName val="1_종합비교원가(내수_일반_유럽)12"/>
      <sheetName val="production_dept11"/>
      <sheetName val="6_수입검사_11"/>
      <sheetName val="03_PFD-112"/>
      <sheetName val="12_Inv_11"/>
      <sheetName val="97년_재료예산(안)12"/>
      <sheetName val="1_터빈11"/>
      <sheetName val="cost_base_e_dati11"/>
      <sheetName val="Data_Sheet12"/>
      <sheetName val="2__Definitions12"/>
      <sheetName val="TFT_Attendace12"/>
      <sheetName val="10_예산_및_원가_계획(02년)12"/>
      <sheetName val="코드_조건표13"/>
      <sheetName val="HMC_사전원가(원혁기준)13%12"/>
      <sheetName val="Upgrades_pricing12"/>
      <sheetName val="7_3_DY팀12"/>
      <sheetName val="List_Total12"/>
      <sheetName val="Person_Cost12"/>
      <sheetName val="THEO_DÕI_THAI_SẢN_(2)12"/>
      <sheetName val="Time_Man12"/>
      <sheetName val="Salary(Cus_)12"/>
      <sheetName val="OT_OVER12"/>
      <sheetName val="Segment_4_Bid_Sheet12"/>
      <sheetName val="Hi6810_功能信号表12"/>
      <sheetName val="6_FQC检验数据12"/>
      <sheetName val="2003_prod212"/>
      <sheetName val="2003_Target12"/>
      <sheetName val="RA_Bearer12"/>
      <sheetName val="Trend_Total_nguyên_nhân12"/>
      <sheetName val="設備預算總表附件3_12"/>
      <sheetName val="FA_Definitions12"/>
      <sheetName val="_23"/>
      <sheetName val="개발원가_종합12"/>
      <sheetName val="2차_OIL량측정12"/>
      <sheetName val="무부하_회전수12"/>
      <sheetName val="진행중_설변12"/>
      <sheetName val="장비_전체리스트12"/>
      <sheetName val="PNL_ASS'Y_CRASH_PAD_UPR_RH12"/>
      <sheetName val="1_1_2008_OTIF11"/>
      <sheetName val="업무분장_11"/>
      <sheetName val="S50_11"/>
      <sheetName val="재품별_단가12"/>
      <sheetName val="집중검사_리스트11"/>
      <sheetName val="실행내역서_11"/>
      <sheetName val="개발_LIST11"/>
      <sheetName val="차체_품안표11"/>
      <sheetName val="1~3월_지시사항11"/>
      <sheetName val="1_POSITIONING11"/>
      <sheetName val="Value_Analysis_-_Sheet_111"/>
      <sheetName val="BAFFLE_HMC_TABLE111"/>
      <sheetName val="0_CHMSL_LED_ASSY11"/>
      <sheetName val="Production_Plan111"/>
      <sheetName val="GAGE_R&amp;R(FRT_UPR)11"/>
      <sheetName val="5-Why_Root_Cause_Analysis_11"/>
      <sheetName val="TEAM하반기_계획_(2)11"/>
      <sheetName val="광주_소요량11"/>
      <sheetName val="공정능력(마운틴_홀_거리)11"/>
      <sheetName val="▶R_C_FRM11"/>
      <sheetName val="초_성11"/>
      <sheetName val="CHECK_성11"/>
      <sheetName val="cpk_data11"/>
      <sheetName val="full_(2)11"/>
      <sheetName val="_24"/>
      <sheetName val="중공업_실적11"/>
      <sheetName val="_하반기_경비_조정계획_150627(사계_r2_기준)11"/>
      <sheetName val="(2)월생산현황_9"/>
      <sheetName val="22_보증금(전신전화가입권)9"/>
      <sheetName val="39_미지급법인세9"/>
      <sheetName val="Main-Yield_report9"/>
      <sheetName val="Cosmetic_Description9"/>
      <sheetName val="업체손실공수_xls9"/>
      <sheetName val="1_TAT_Info_9"/>
      <sheetName val="AQL(0_65)5"/>
      <sheetName val="LINE_PPM-분석5"/>
      <sheetName val="TỪ_KHÓA3"/>
      <sheetName val="Quy_định_công_trừ_MBO3"/>
      <sheetName val="REPAIR_DATA_-_CONTAINER_#55"/>
      <sheetName val="Issues_List5"/>
      <sheetName val="SFA_M-P3"/>
      <sheetName val="진행_사항3"/>
      <sheetName val="HHP_설비_LIST3"/>
      <sheetName val="3__Acronyms_and_abbreviations4"/>
      <sheetName val="Tool_Type4"/>
      <sheetName val="share_year=54"/>
      <sheetName val="delta_impedance(평균)5"/>
      <sheetName val="Histogram_Chart5"/>
      <sheetName val="Freq_error_DATA5"/>
      <sheetName val="Freq_HISTOGRAM5"/>
      <sheetName val="強度_CN_A1_C10H_152H4"/>
      <sheetName val="Stand_off3"/>
      <sheetName val="00-Input_Values3"/>
      <sheetName val="Input_Values3"/>
      <sheetName val="CC_Down_load_07163"/>
      <sheetName val="CAUZA_DEFECTE3"/>
      <sheetName val="CAUSES_OF_DEFECTS3"/>
      <sheetName val="VSAMS_Summary3"/>
      <sheetName val="Standard_Tests3"/>
      <sheetName val="2_NPI封面3"/>
      <sheetName val="Data_lists3"/>
      <sheetName val="FE_DPHU报告_4"/>
      <sheetName val="TOP_153"/>
      <sheetName val="Qual_Approv_Test_Plan_0503223"/>
      <sheetName val="Dashboard_(methodologies)3"/>
      <sheetName val="BE_DPHU报告_4"/>
      <sheetName val="Reference_Lists3"/>
      <sheetName val="Ramp-up_Prod_KLf_pro_Woche_3"/>
      <sheetName val="OT_Project_Report3"/>
      <sheetName val="Equipment_Info_assumptions3"/>
      <sheetName val="E_Goal3"/>
      <sheetName val="P_Goal3"/>
      <sheetName val="Manufacturers_And_Names_Lists3"/>
      <sheetName val="Perishable_Tooling3"/>
      <sheetName val="All_Parts3"/>
      <sheetName val="2차_OI䑲⿀4"/>
      <sheetName val="1-1_연월차_개인별_보전수당3"/>
      <sheetName val="FAX_(2)3"/>
      <sheetName val="Quy_định_trừ_điểm_MBO3"/>
      <sheetName val="LEAD_TIME_추이3"/>
      <sheetName val="현황(수정)"/>
      <sheetName val="S901 CTC (2)"/>
      <sheetName val="세정"/>
      <sheetName val="착색"/>
      <sheetName val="출하"/>
      <sheetName val="흑칠"/>
      <sheetName val="History"/>
      <sheetName val="Workload Followup"/>
      <sheetName val="SPEC"/>
      <sheetName val="별도투자가 있을때"/>
      <sheetName val="PP%계산(초기공정능력)"/>
      <sheetName val="Options"/>
      <sheetName val="자동차 모델별 상세"/>
      <sheetName val="ktp06_URS 순 정렬"/>
      <sheetName val="3-20-07 data from HMMA"/>
      <sheetName val="Values"/>
      <sheetName val="3-31"/>
      <sheetName val="22.투자유가증권 "/>
      <sheetName val="월별 실적 및 분석"/>
      <sheetName val="배합비(99-05-25)"/>
      <sheetName val="1.세부비교원가(내_x0000__x0000_"/>
      <sheetName val="71ჭ"/>
      <sheetName val="05021_x0000_"/>
      <sheetName val="TEM턀讲"/>
      <sheetName val="TEMԯ_x0000_"/>
      <sheetName val="미실현손익명세서"/>
      <sheetName val="TEM　꽗"/>
      <sheetName val="______C_AS_CLAIM_MYCAR_PRDW30_2"/>
      <sheetName val="TEM퀀㹘"/>
      <sheetName val="SPC(3차)"/>
      <sheetName val="중장비1월"/>
      <sheetName val="붙임2-1  지급조서명세서(2001년분)"/>
      <sheetName val="MX628EX"/>
      <sheetName val="기계장치"/>
      <sheetName val="PDmaster"/>
      <sheetName val="Sales Plan"/>
      <sheetName val="13_Inv_"/>
      <sheetName val="0_LED_ASSY"/>
      <sheetName val="0_주광원_LDM"/>
      <sheetName val="TECHNICAL_DATA"/>
      <sheetName val="EX_rate"/>
      <sheetName val="3~4_》在库计划SABC样式"/>
      <sheetName val="Executive_Summary"/>
      <sheetName val="RPN Summary"/>
      <sheetName val="포머_비_x0000_ꊠȈ_x0000__x0000_"/>
      <sheetName val="비가동(입력)"/>
      <sheetName val="입력-설비별(수량,시간,불량)"/>
      <sheetName val="입력-조립생산실적집계"/>
      <sheetName val="출력-품목별실적표"/>
      <sheetName val="월생산계획"/>
      <sheetName val="DROP BOX 백데이터"/>
      <sheetName val="Belt Status-Overall"/>
      <sheetName val="Overview"/>
      <sheetName val="_x005f_x0000__x005f_x0000__x005f_x0000__x005f_x0000_i_2"/>
      <sheetName val="ST적용라인"/>
      <sheetName val="사업부구분코드"/>
      <sheetName val="수출_CP"/>
      <sheetName val="7라인 재고관리 피벗"/>
      <sheetName val="MH"/>
      <sheetName val="환율변동기준"/>
      <sheetName val="Input Data"/>
      <sheetName val="_230710_____3600_________Rev__2"/>
      <sheetName val="Vol &amp; Assumpt"/>
      <sheetName val="24-45 Data"/>
      <sheetName val="포머_비"/>
      <sheetName val="1.세부비교_x005f_x001b_"/>
      <sheetName val="2차 OI_x005f_x0010_"/>
      <sheetName val="설비LIS_x005f_x0001_"/>
      <sheetName val="07주洂䢦_x005f_x0001_"/>
      <sheetName val="07주洂亦_x005f_x0001_"/>
      <sheetName val="1.세부비교_x005f_x001b__x005f_x0000__x005f_x0000_㣪洁ᚦ"/>
      <sheetName val="2차 OI_x005f_x0010__x005f_x0000__x005f_xda10_࠱"/>
      <sheetName val="2차 OI_x005f_x0000__x005f_x0000_젘_x005f_x0000_"/>
      <sheetName val="_x005f_x0000_PRDW30.XL"/>
      <sheetName val="07주_x005f_x0000__x005f_x0000__x005f_x0000_惪"/>
      <sheetName val="07주_x005f_x0000__x005f_x0000__x005f_x0000_櫪"/>
      <sheetName val="07주_x005f_x0000__x005f_x0000__x005f_x0000_ᛪ"/>
      <sheetName val="07주_x005f_x0000__x005f_x0000__x005f_x0000_ᣪ"/>
      <sheetName val="07주_x005f_x0000__x005f_x0000__x005f_x0000_巪"/>
      <sheetName val="07주_x005f_x0000__x005f_x0000__x005f_x0000_濪"/>
      <sheetName val="Page 2"/>
      <sheetName val="BS정산표"/>
      <sheetName val="TITLE"/>
      <sheetName val="Typgebunden-Dedicated"/>
      <sheetName val="Typfrei-Non Dedicated"/>
      <sheetName val="Investitionen"/>
      <sheetName val="A-Projektkosten"/>
      <sheetName val="Kalkulationsdaten"/>
      <sheetName val="Standort"/>
      <sheetName val="typfrei"/>
      <sheetName val="Bauzahlen"/>
      <sheetName val="Prototypen"/>
      <sheetName val="K-Projektkosten"/>
      <sheetName val="Übersicht"/>
      <sheetName val="TCO"/>
      <sheetName val="Consensus"/>
      <sheetName val="사급단가"/>
      <sheetName val="V"/>
      <sheetName val="0.RCL IS"/>
      <sheetName val="승인원"/>
      <sheetName val=" 개정이력"/>
      <sheetName val="1)도면"/>
      <sheetName val="2)검사기준서"/>
      <sheetName val="3)검사성적서"/>
      <sheetName val="3-1)검사성적서(갑지)"/>
      <sheetName val="검사성적서(을지)"/>
      <sheetName val="4) 관리계획서"/>
      <sheetName val="5)재질성적서"/>
      <sheetName val="6)유해물질성적서"/>
      <sheetName val="7)금형이력카드"/>
      <sheetName val="8)포장사양서"/>
      <sheetName val="01월TTL"/>
      <sheetName val="UH_원장-cell-module"/>
      <sheetName val="1-1. OEM"/>
      <sheetName val="1-2 Code Info"/>
      <sheetName val="Rate dat÷"/>
      <sheetName val="산출데이타(a)"/>
      <sheetName val="변수1"/>
      <sheetName val="조정내역(스크랩)"/>
      <sheetName val="FX Table"/>
      <sheetName val="제품구분"/>
      <sheetName val="2014.10"/>
      <sheetName val="(Vendor)Cover"/>
      <sheetName val="12월 기타"/>
      <sheetName val="System NPV"/>
      <sheetName val="kich thuoc"/>
      <sheetName val="DTHH"/>
      <sheetName val="1-1.Gene"/>
      <sheetName val="납입주기"/>
      <sheetName val="OperBal"/>
      <sheetName val="Takt - 1 Shift"/>
      <sheetName val="Workshop Summary"/>
      <sheetName val="대책방안"/>
      <sheetName val="견적목표List"/>
      <sheetName val="Simulate"/>
      <sheetName val="환산항목"/>
      <sheetName val="VPZ-aktuell"/>
      <sheetName val="param"/>
      <sheetName val="손익비교 Data"/>
      <sheetName val="RCL MY2"/>
      <sheetName val="Income Statement"/>
      <sheetName val="2 - SALCPA Tracker - pg. 1"/>
      <sheetName val="Chart of Accounts"/>
      <sheetName val="検索条件"/>
      <sheetName val="rpt03"/>
      <sheetName val="rpt01"/>
      <sheetName val="rpt05"/>
      <sheetName val="HS CODE"/>
      <sheetName val="TTNR_Checks"/>
      <sheetName val="DPU 지적 (1월)"/>
      <sheetName val="HR Final"/>
      <sheetName val="HR"/>
      <sheetName val="Capa réelle TPT S49"/>
      <sheetName val="Récap capa TPT S49"/>
      <sheetName val="BEZEL_L외주"/>
      <sheetName val="NOZZLE_ASSY-SIDE_DEF_LH"/>
      <sheetName val="A-General"/>
      <sheetName val="List definitions"/>
      <sheetName val="그림"/>
      <sheetName val="KPI sheet"/>
      <sheetName val="서열표"/>
      <sheetName val="종합판"/>
      <sheetName val="DRBFM"/>
      <sheetName val="07년 ECU RAW DATA"/>
      <sheetName val="Dimension Data"/>
      <sheetName val="Capa(1)"/>
      <sheetName val="수주추정"/>
      <sheetName val="設能力3"/>
      <sheetName val="?PRDW30.XL"/>
      <sheetName val="제품별_수량"/>
      <sheetName val="CustomerPlan"/>
      <sheetName val="①評価項目_メーカー"/>
      <sheetName val=" 启 东"/>
      <sheetName val="product lines"/>
      <sheetName val="09년 1월이후 완료신작"/>
      <sheetName val="DATOS1"/>
      <sheetName val="TABLA"/>
      <sheetName val="ecr blank"/>
      <sheetName val="Material Import Rate"/>
      <sheetName val="Arrivals"/>
      <sheetName val="Courier 4x2"/>
      <sheetName val="month"/>
      <sheetName val="Retail Spider"/>
      <sheetName val="Lists (Hide)"/>
      <sheetName val="GRP"/>
      <sheetName val="WKS"/>
      <sheetName val="FIN6 input Front F&amp;G"/>
      <sheetName val="Plant"/>
      <sheetName val="Old Consoles"/>
      <sheetName val="OEM-Engr-Product Data"/>
      <sheetName val="Material Expense Rate"/>
      <sheetName val="POP Forecast"/>
      <sheetName val="2월생산성현황"/>
      <sheetName val="hidden"/>
      <sheetName val="翻译总表"/>
      <sheetName val="9808"/>
      <sheetName val="월별발행건수및금액(2011)"/>
      <sheetName val="출하현황"/>
      <sheetName val="세부손익목표"/>
      <sheetName val="9810"/>
      <sheetName val="9807"/>
      <sheetName val="9811"/>
      <sheetName val="INPUT DATA(입찰)"/>
      <sheetName val="어퍼금형"/>
      <sheetName val="일위대가표(DEEP)"/>
      <sheetName val="오산"/>
      <sheetName val="기술료현황"/>
      <sheetName val="1-2"/>
      <sheetName val="잠시"/>
      <sheetName val="SUB자료01 - 드롭 항목"/>
      <sheetName val="FILL-A"/>
      <sheetName val="Y3_LIST"/>
      <sheetName val="원계-JOINT"/>
      <sheetName val="Volume &amp; Assumptions"/>
      <sheetName val="RATES"/>
      <sheetName val="구성비"/>
      <sheetName val="(2) CT&amp;CAPA"/>
      <sheetName val="경수97.02"/>
      <sheetName val="MPST01V"/>
      <sheetName val="200"/>
      <sheetName val="OT"/>
      <sheetName val="Apr"/>
      <sheetName val="T7"/>
      <sheetName val="Feb"/>
      <sheetName val="Jan"/>
      <sheetName val="Mar"/>
      <sheetName val="May"/>
      <sheetName val="T1"/>
      <sheetName val="T6"/>
      <sheetName val="T3"/>
      <sheetName val="T4"/>
      <sheetName val="입력SHT"/>
      <sheetName val="재활용분류정보"/>
      <sheetName val="ACC-01-01"/>
      <sheetName val="Sheet298"/>
      <sheetName val="6.경비table"/>
      <sheetName val="공정능력_스펀지"/>
      <sheetName val="５・６月別発送件数"/>
      <sheetName val="CYPYSRRR"/>
      <sheetName val="1. 사업계획 작성지침 및 일정"/>
      <sheetName val="※ 작성 세부일정"/>
      <sheetName val="2. 국내외 경제전망"/>
      <sheetName val="3. 자동차 산업전망"/>
      <sheetName val="4. 산업별 경기전망"/>
      <sheetName val="5. 사업계획운영 process"/>
      <sheetName val="6. 사장방침서"/>
      <sheetName val="7. 실적(종합)"/>
      <sheetName val="8-A. 거래처별 매출계획"/>
      <sheetName val="8-B. 월별 손익계산서"/>
      <sheetName val="8-C. 중장기 손익, 제조원가"/>
      <sheetName val="8-D. 중장기 재무상태표"/>
      <sheetName val="※중장기 재무계획 비율 변동 추이"/>
      <sheetName val="8-E. 월별 투자계획"/>
      <sheetName val="8-F. 월별 인원계획"/>
      <sheetName val="8-G. 월별 품질계획"/>
      <sheetName val="8-H. 월별 원가절감계획"/>
      <sheetName val="8-I. 월별 자금계획"/>
      <sheetName val="9. 월별 주요업무 추진 일정(계열사)"/>
      <sheetName val="※분기별 확정 수주액 및 수주계획(주물회사 작성用)"/>
      <sheetName val="※분기별 손익계획(주물회사 작성用)"/>
      <sheetName val="※동아공업(주) 대표이사 방침서"/>
      <sheetName val="※동아공업(주) Work Calendar"/>
      <sheetName val="PPT-1.경영(손익)"/>
      <sheetName val="PPT-2.영업(수주)"/>
      <sheetName val="PPT-3.품질"/>
      <sheetName val="PPT-4.투자"/>
      <sheetName val="PPT-5.인원"/>
      <sheetName val="PPT-6.자금계획"/>
      <sheetName val="Dữ liệu"/>
      <sheetName val="Cpk 1"/>
      <sheetName val="仕掛"/>
      <sheetName val="Part_DATA"/>
      <sheetName val="NHÁNH SP CKOT (T10)"/>
      <sheetName val="NM GHẾ T5"/>
      <sheetName val="スコアカード (2)"/>
      <sheetName val="富士客１"/>
      <sheetName val="★납입기술"/>
      <sheetName val="●종합(직납)"/>
      <sheetName val="_x0000__x0000__x005"/>
      <sheetName val="_x005f_x0000__x005f"/>
      <sheetName val="_x005f_x005f_"/>
      <sheetName val="X3ATRH.CR"/>
      <sheetName val="HERO01"/>
      <sheetName val="运输费"/>
      <sheetName val="무형"/>
      <sheetName val="참조"/>
      <sheetName val="업무계획1"/>
      <sheetName val="97지급이자"/>
      <sheetName val="차종별장판"/>
      <sheetName val="Foglio1"/>
      <sheetName val="ExterneTBGListeDeroulante"/>
      <sheetName val="C_O내역(FB)"/>
      <sheetName val="개별(LEAD WIRE)"/>
      <sheetName val="LF내역"/>
      <sheetName val="2B1U-F-4"/>
      <sheetName val="M96현황_동아"/>
      <sheetName val="AAVR-IL"/>
      <sheetName val="99월별경비계획"/>
      <sheetName val="Mov‘2008"/>
      <sheetName val="Mov‘2007"/>
      <sheetName val="Mov‘2005"/>
      <sheetName val="Mov‘2006"/>
      <sheetName val="KPI실적"/>
      <sheetName val="GG"/>
      <sheetName val="C2"/>
      <sheetName val="EG제"/>
      <sheetName val="NCC제"/>
      <sheetName val="UT"/>
      <sheetName val="NCC"/>
      <sheetName val="HMBPROD"/>
      <sheetName val="FC-101"/>
      <sheetName val="년간PSI"/>
      <sheetName val="해외세목"/>
      <sheetName val="제시용"/>
      <sheetName val="98년BS"/>
      <sheetName val="잉여금"/>
      <sheetName val="納品作業依頼書_PTI_MOTO"/>
      <sheetName val="COBS"/>
      <sheetName val="정산표"/>
      <sheetName val="summary STOCK AMT"/>
      <sheetName val="년간부가가치"/>
      <sheetName val="english"/>
      <sheetName val="VENDOR"/>
      <sheetName val="顧客クレーム"/>
      <sheetName val="9월"/>
      <sheetName val="12월"/>
      <sheetName val="11월"/>
      <sheetName val="7월"/>
      <sheetName val="반도체"/>
      <sheetName val="LG-BATTERY"/>
      <sheetName val="SMT DAILY PRODUCTION REPORT"/>
      <sheetName val="MEM수율입고"/>
      <sheetName val="항목별"/>
      <sheetName val="環境試験"/>
      <sheetName val="monitoring"/>
      <sheetName val="Overzicht"/>
      <sheetName val="철판인상"/>
      <sheetName val="직납업체(현대)"/>
      <sheetName val="CURRENCY CODE"/>
      <sheetName val="B053_(990701)공정실적PP%계산19"/>
      <sheetName val="14_1부18"/>
      <sheetName val="Evaluation_objects18"/>
      <sheetName val="CASE_ASM18"/>
      <sheetName val="1ဲ_ALT19"/>
      <sheetName val="1ဳ_O_S19"/>
      <sheetName val="15_၄AMPER19"/>
      <sheetName val="二_POSITION_XLS19"/>
      <sheetName val="OPT손익_내수19"/>
      <sheetName val="OPT손익_수출19"/>
      <sheetName val="BACK_DATA_08_7_1~19"/>
      <sheetName val="E_W19"/>
      <sheetName val="P_W19"/>
      <sheetName val="S_W19"/>
      <sheetName val="TEMP_TORQUE19"/>
      <sheetName val="BACK_DATA19"/>
      <sheetName val="126_25518"/>
      <sheetName val="매출종합_`0918"/>
      <sheetName val="소상_&quot;1&quot;18"/>
      <sheetName val="검사기준서_을_치수18"/>
      <sheetName val="검사기준서_갑18"/>
      <sheetName val="검사기준서_을18"/>
      <sheetName val="검사협정_갑18"/>
      <sheetName val="검사성적서_갑18"/>
      <sheetName val="검사성적서_을18"/>
      <sheetName val="검사성적서_병18"/>
      <sheetName val="Nego_PV18"/>
      <sheetName val="1_변경범위19"/>
      <sheetName val="팀별_합계18"/>
      <sheetName val="설비능력및_종합공정능력산출시_사용18"/>
      <sheetName val="내수1_8GL18"/>
      <sheetName val="LAMBDA_자작18"/>
      <sheetName val="운임_환차손-Y19"/>
      <sheetName val="개발_TOOL_집계표17"/>
      <sheetName val="경상_개발비17"/>
      <sheetName val="MACRO1_XLM17"/>
      <sheetName val="계산_DATA_입력17"/>
      <sheetName val="PRESS_DATA17"/>
      <sheetName val="Cost_Reduction17"/>
      <sheetName val="HOLE_9905(1)11"/>
      <sheetName val="3월말_장기악성(국내)11"/>
      <sheetName val="2월말_장기악성(국내)11"/>
      <sheetName val="Moulding_data10"/>
      <sheetName val="Master_Cable17"/>
      <sheetName val="INVESTMENT_(Hardware)14"/>
      <sheetName val="YOKE-H(10_3)10"/>
      <sheetName val="TABLE_DB10"/>
      <sheetName val="쌍용_data_base10"/>
      <sheetName val="VERTICAL_PIPE10"/>
      <sheetName val="2과_공수집계10"/>
      <sheetName val="공정능력_(2)17"/>
      <sheetName val="X-3_ENG17"/>
      <sheetName val="4_Vendor_price10"/>
      <sheetName val="14년_증판안_판촉10"/>
      <sheetName val="ALPROFILE_발주실적17"/>
      <sheetName val="PFMEA_XLS13"/>
      <sheetName val="신고서_전13"/>
      <sheetName val="Sheet6_(3)17"/>
      <sheetName val="DV_Flow_Chart_DV-PV1_(PFC)11"/>
      <sheetName val="MATEMST_(2)10"/>
      <sheetName val="CAPA분석_360K14"/>
      <sheetName val="영업_일113"/>
      <sheetName val="RFQ_180411"/>
      <sheetName val="GLOBAL_PT_NEW_FORMAT_OCT_200217"/>
      <sheetName val="Sch7a_(토요일)17"/>
      <sheetName val="실적_및_계획17"/>
      <sheetName val="Sheet1_(2)17"/>
      <sheetName val="PRO_(참조)17"/>
      <sheetName val="_PPAP_작성중__xlsx13"/>
      <sheetName val="공정별공법-W_HSE-LH11"/>
      <sheetName val="3_3검토국10"/>
      <sheetName val="Actual_In_&amp;_Out10"/>
      <sheetName val="2008_г13"/>
      <sheetName val="RELAY_FAX양식13"/>
      <sheetName val="상세_견적서_(HMC)13"/>
      <sheetName val="2_중요한회계정책13"/>
      <sheetName val="9_관계기업투자13"/>
      <sheetName val="42_리스13"/>
      <sheetName val="25_법인세13"/>
      <sheetName val="Proj_List_00E13"/>
      <sheetName val="Bosch_ADVP&amp;R17"/>
      <sheetName val="Bas_Moteur10"/>
      <sheetName val="국내_10"/>
      <sheetName val="4,5공장_10"/>
      <sheetName val="시트_10"/>
      <sheetName val="GLOBAL_PT_NEW_FORMAT_JULY__2012"/>
      <sheetName val="02년_SUC17"/>
      <sheetName val="3_PT개발계획11"/>
      <sheetName val="외주품_감점_유형_기준17"/>
      <sheetName val="원단위_전후비교17"/>
      <sheetName val="3__관리점지수실적-1_1생산성17"/>
      <sheetName val="Sec_1_-_RFQ17"/>
      <sheetName val="Rate_data17"/>
      <sheetName val="대외공문_11"/>
      <sheetName val="ERP도입후_시정현황11"/>
      <sheetName val="Purchasing_Data11"/>
      <sheetName val="6_N_m_CCW_전류11"/>
      <sheetName val="c_db115"/>
      <sheetName val="_SR3차원단위_(3)11"/>
      <sheetName val="고객불만_건11"/>
      <sheetName val="97계획(96_1110"/>
      <sheetName val="Drop-down_Lists10"/>
      <sheetName val="B053_(990701)공정능력PC%계산10"/>
      <sheetName val="2012_Volum11"/>
      <sheetName val="Supplier_QRQC10"/>
      <sheetName val="GM_Master11"/>
      <sheetName val="4_3_첨부111"/>
      <sheetName val="검사협정_보충10"/>
      <sheetName val="제품명_(3)11"/>
      <sheetName val="09년_현황11"/>
      <sheetName val="WTC_BODY一覧原紙11"/>
      <sheetName val="1_기안을지10"/>
      <sheetName val="Z41,Z42_이외total10"/>
      <sheetName val="CPK(Process_Capanility)4"/>
      <sheetName val="Q1_&amp;_Q24"/>
      <sheetName val="devis_qcdp24"/>
      <sheetName val="Cover_page5"/>
      <sheetName val="Adjusted_OI5"/>
      <sheetName val="Adjusted_OI_(2)5"/>
      <sheetName val="Income_Stmt_(USD)5"/>
      <sheetName val="Income_Stmt_(RMB)5"/>
      <sheetName val="IS_Loc_Adj5"/>
      <sheetName val="Balance_Sht_(USD)5"/>
      <sheetName val="BS_Loc+Adj5"/>
      <sheetName val="Balance_Sht_(RMB)5"/>
      <sheetName val="Cash_Flow_(USD)5"/>
      <sheetName val="Cash_Forecast5"/>
      <sheetName val="IC_AP_AR6"/>
      <sheetName val="Cash_Cross_check5"/>
      <sheetName val="Unit_Price_without_LTA&amp;Pricing5"/>
      <sheetName val="Sales_without_LTA&amp;Pricing5"/>
      <sheetName val="Unit_ECN_Sales5"/>
      <sheetName val="Total_ECN_Sales5"/>
      <sheetName val="LTA_Percentage5"/>
      <sheetName val="LTA_Amount5"/>
      <sheetName val="Total_P2P5"/>
      <sheetName val="Net_Sales5"/>
      <sheetName val="Unit_Mat_Cost_Without_PS_VAVE5"/>
      <sheetName val="Material_cost_without_PS_VAVE5"/>
      <sheetName val="Unit_ECN_cost5"/>
      <sheetName val="ECN_cost_saving5"/>
      <sheetName val="Unit_Purchase_Saving5"/>
      <sheetName val="Total_Purchase_Saving5"/>
      <sheetName val="Unit_VAVE_Saving5"/>
      <sheetName val="Total_VAVE5"/>
      <sheetName val="Unit_Margin_Improvement5"/>
      <sheetName val="Total_Margin_Improvement5"/>
      <sheetName val="Unit_mat__cost_after_PS_VAVE5"/>
      <sheetName val="Total_Mat_cost_after_PS_VAVE5"/>
      <sheetName val="Unit_Inb_Freight_Rate5"/>
      <sheetName val="Inboud_Freight_Amount5"/>
      <sheetName val="Unit_Inb-Duty5"/>
      <sheetName val="Inbound_Duty5"/>
      <sheetName val="Material_cost_before_Scrap5"/>
      <sheetName val="Scrap_Rate5"/>
      <sheetName val="Scrap_Amount5"/>
      <sheetName val="Scrap_recovery_rate5"/>
      <sheetName val="Scrap_Recovery_Amount5"/>
      <sheetName val="Unit_Production_Auxiliary5"/>
      <sheetName val="Production_Auxiliary5"/>
      <sheetName val="Net_Material5"/>
      <sheetName val="Unit_OB_freight5"/>
      <sheetName val="Total_OB_freight5"/>
      <sheetName val="Total_LC&amp;OVH5"/>
      <sheetName val="LC&amp;OVH_Undefined_Var_5"/>
      <sheetName val="LC&amp;OVH_Undefined_Fix_5"/>
      <sheetName val="Total_headcount_&amp;_labor_cost5"/>
      <sheetName val="Direct_Labor_Cost5"/>
      <sheetName val="Indirect_Labor_Cost5"/>
      <sheetName val="Salary_Cost5"/>
      <sheetName val="MSI_-_FY(RMB)5"/>
      <sheetName val="MSI_-_Comm_Sales5"/>
      <sheetName val="MSI_-_IC_Sales5"/>
      <sheetName val="MSI_-_Mat_Cost5"/>
      <sheetName val="MSI_-_Direct_Labor5"/>
      <sheetName val="MSI_-_Variable_OH5"/>
      <sheetName val="MSI_-_Fixed_OH5"/>
      <sheetName val="Danh_sach_Hàn_thùng4"/>
      <sheetName val="Mẫu_DMVT4"/>
      <sheetName val="Mẫu_DMVT_(2)4"/>
      <sheetName val="DANH_MỤC_NHÓM_ĐỐI_TƯỢNG4"/>
      <sheetName val="Nhap_T84"/>
      <sheetName val="Begining_detail-CTIET4"/>
      <sheetName val="Summary-TOMLUOC_4"/>
      <sheetName val="SO_TONG_HOP_CONG_NO4"/>
      <sheetName val="DM_KHAU_HAO4"/>
      <sheetName val="After_sales11"/>
      <sheetName val="Interco_&amp;_PVS_Loc_Cur10"/>
      <sheetName val="OEM_Plan11"/>
      <sheetName val="첨부4_기술평가서10"/>
      <sheetName val="J2(P_MT)10"/>
      <sheetName val="PS_SIDE_OTR_INR_공정개선_상세9"/>
      <sheetName val="★금형비_계산서10"/>
      <sheetName val="LOWSIDE_비교10"/>
      <sheetName val="자동차_종합지표11"/>
      <sheetName val="보강사_소요량10"/>
      <sheetName val="P&amp;L_account11"/>
      <sheetName val="118_세금과공과10"/>
      <sheetName val="경영재무_(입력)10"/>
      <sheetName val="연구개발_(입력)10"/>
      <sheetName val="일반현황_(입력)10"/>
      <sheetName val="품질관리_(입력)10"/>
      <sheetName val="1_2_2완제품검사('00_4월)_(가라)10"/>
      <sheetName val="기준정보(A)_15_10_276"/>
      <sheetName val="단중_및_예비길이_SHEET_15_9_5(K)6"/>
      <sheetName val="15_1_02_15년_1월예시계획6"/>
      <sheetName val="15년_12월_시작재공품_15_12_36"/>
      <sheetName val="기준정보(A)_12_02_236"/>
      <sheetName val="STD__CAB6"/>
      <sheetName val="STD__NCAB6"/>
      <sheetName val="원소재_변경_상세6"/>
      <sheetName val="직거래가_변경6"/>
      <sheetName val="24_냉각실용添14"/>
      <sheetName val="Data_Not_Used6"/>
      <sheetName val="FTQ_Data6"/>
      <sheetName val="Int_Pulls_Data6"/>
      <sheetName val="Int_Spills_Data6"/>
      <sheetName val="PPM_Data6"/>
      <sheetName val="Pulls_Data6"/>
      <sheetName val="Spills_Data6"/>
      <sheetName val="PP%-low_RPM4"/>
      <sheetName val="After_Sales_Supplier_#'s4"/>
      <sheetName val="원단위_1계_2계9"/>
      <sheetName val="케이스_재공_재고3"/>
      <sheetName val="NUEVO_MODELOS_20184"/>
      <sheetName val="ADJTBL_31004"/>
      <sheetName val="400H_가공,금형비4"/>
      <sheetName val="AOP_Summary-24"/>
      <sheetName val="Budget_Imt_mensuel_(CFO)4"/>
      <sheetName val="CDV_Pte_mensuel4"/>
      <sheetName val="Evol_Prod_(Eqpt)4"/>
      <sheetName val="CAPVR_Pte_mensuel4"/>
      <sheetName val="THƯ_VIỆN4"/>
      <sheetName val="Nguon_PT_xetai4"/>
      <sheetName val="Nguon_PT_xe_Ben4"/>
      <sheetName val="Bien_so4"/>
      <sheetName val="MỤC_LỤC4"/>
      <sheetName val="Ghi_chú4"/>
      <sheetName val="1__Định_hướng_HĐ_CN_năm_20194"/>
      <sheetName val="2_1_Tổng_quan_TT_KD_xe_DL4"/>
      <sheetName val="2_2_Tổng_quan_TT_DVPT_DL4"/>
      <sheetName val="3_1__ĐKM_xe_DL4"/>
      <sheetName val="3_2_1__KH_KD-MKT_&amp;_TCKD_xe_KIA4"/>
      <sheetName val="3_2_2_CSBH_KIA4"/>
      <sheetName val="3_2_3__KH_KD-MKT&amp;TCKD_DVPT4"/>
      <sheetName val="Pv_SL4"/>
      <sheetName val="3_3_1_KH_KD-MKT_&amp;_TCKD_Mazda4"/>
      <sheetName val="3_3_2_CSBH_MAZDA4"/>
      <sheetName val="3_3_3_KH_KD-MKT&amp;TCKD_DVPT_MAZD4"/>
      <sheetName val="3_4__DVPT_SR_KIA_MAZDA4"/>
      <sheetName val="3_4_1_KH_KD-MKT&amp;TCKD_PEUGEOT4"/>
      <sheetName val="3_4_2_CSBH_PEUGEOT4"/>
      <sheetName val="3_4_3_KH_KD-MKT&amp;TC_DVPT_PEUGEO4"/>
      <sheetName val="3_5__TÀI_CHÍNH_KD_XE_KIA_MAZDA4"/>
      <sheetName val="4_1_Tổng_quan_TT_KD_Tai,_Bus4"/>
      <sheetName val="4_2_Tổng_quan_TT_DVPT_Tai_Bus4"/>
      <sheetName val="5_1__ĐKM_xe_Tai,_Bus4"/>
      <sheetName val="PTBH_20184"/>
      <sheetName val="SL_-_TVBH4"/>
      <sheetName val="5_2a__KD_Xe_Fuso4"/>
      <sheetName val="5_2b__KD_Xe_Foton4"/>
      <sheetName val="5_2c__KD_Xe_Bus4"/>
      <sheetName val="5_2__KH_KD-MKT&amp;TCKD_xe_Tải,_Bu4"/>
      <sheetName val="5_3__CSBH_xe_Tải,_Bus4"/>
      <sheetName val="5_4_KH_KD-MKT&amp;TC_DVPT_Tải,_Bus4"/>
      <sheetName val="Review_note4"/>
      <sheetName val="6_1_ĐKĐK4"/>
      <sheetName val="6_2__Bảo_hiểm4"/>
      <sheetName val="6_3__Tín_dụng4"/>
      <sheetName val="6_4__GSHT_&amp;_PH4"/>
      <sheetName val="6_5_DVHT4"/>
      <sheetName val="7_1_KH_nhân_sự4"/>
      <sheetName val="7_2__Định_biên_&amp;_Lương4"/>
      <sheetName val="7_3_KH_thưởng_năng_suất4"/>
      <sheetName val="Check_TH4"/>
      <sheetName val="8__Hành_chính4"/>
      <sheetName val="8_14"/>
      <sheetName val="9_1__Duy_tu_bảo_trì4"/>
      <sheetName val="9_2__Cải_tạo,_nâng_cấp4"/>
      <sheetName val="10__TSCĐ_-_CCDC4"/>
      <sheetName val="11D__Tài_chính_KD_XE_TỔNG4"/>
      <sheetName val="11E__Tài_chính_KD_DVPT_TỔNG4"/>
      <sheetName val="11A__Tài_chính_SR_KIA4"/>
      <sheetName val="11B__Tài_chính_SR_MAZDA4"/>
      <sheetName val="11D__Tài_chính_SR_Peugout4"/>
      <sheetName val="11C__Tài_chính_SR_TẢI_BUS4"/>
      <sheetName val="11D__Tài_chính_SR_Du_lịch4"/>
      <sheetName val="11__Tài_chính_Chi_nhánh4"/>
      <sheetName val="12__SĐTC4"/>
      <sheetName val="MASTER_DATA3"/>
      <sheetName val="견적서_detail_Main_13"/>
      <sheetName val="CAR_Form_Summary4"/>
      <sheetName val="LINE_운영안10"/>
      <sheetName val="원가_종합11"/>
      <sheetName val="Validation_Lists10"/>
      <sheetName val="Schedule_14"/>
      <sheetName val="제품별_매출11"/>
      <sheetName val="Data_Working_Time11"/>
      <sheetName val="Order_status11"/>
      <sheetName val="Order_status210"/>
      <sheetName val="Customer_Master10"/>
      <sheetName val="Common_code10"/>
      <sheetName val="Order_Status_Master10"/>
      <sheetName val="Product_Master10"/>
      <sheetName val="사무용품_신청10"/>
      <sheetName val="Net_Revenue5"/>
      <sheetName val="7)_133677345"/>
      <sheetName val="기초_데이터5"/>
      <sheetName val="Rollforward_{bpe}3"/>
      <sheetName val="Allow_-_SR&amp;D3"/>
      <sheetName val="220_(2)5"/>
      <sheetName val="표지_(2)5"/>
      <sheetName val="중요차종_(090131)5"/>
      <sheetName val="PU_FOAM_가격조정_기준3"/>
      <sheetName val="Data_Input4"/>
      <sheetName val="개선대책_양식6"/>
      <sheetName val="S_P3"/>
      <sheetName val="R_FJS_CAR_(old)3"/>
      <sheetName val="Certificate_list_3"/>
      <sheetName val="6_Parent_S__Fixed_Prod3"/>
      <sheetName val="Material_References4"/>
      <sheetName val="BOM_Cost_(R-U713MHH)3"/>
      <sheetName val="BAT1_3"/>
      <sheetName val="3_학점이수(사내_사외교육)3"/>
      <sheetName val="FRT_재료비3"/>
      <sheetName val="Danh_sach3"/>
      <sheetName val="Bang_KL3"/>
      <sheetName val="Lcau_-_Lxuc3"/>
      <sheetName val="U268_4x4_AT(walk)Mitsu3"/>
      <sheetName val="2_Underbody_DT3"/>
      <sheetName val="입력_List6"/>
      <sheetName val="DO_NOT_DELETE5"/>
      <sheetName val="기종별_합계3"/>
      <sheetName val="Export_Data3"/>
      <sheetName val="BOX_ASSY3"/>
      <sheetName val="실사LIST-중간가공품(05_12_27현재)_(2)3"/>
      <sheetName val="4_Financial3"/>
      <sheetName val="3_4)__FR_종합3"/>
      <sheetName val="3_4)__RR_종합3"/>
      <sheetName val="RFQ_Cover_Sheeet3"/>
      <sheetName val="8_공정능력평가(5)3"/>
      <sheetName val="FRN_020003"/>
      <sheetName val="Diaph1_values3"/>
      <sheetName val="Diaph2_values3"/>
      <sheetName val="Diaph_values3"/>
      <sheetName val="Cushion_datas3"/>
      <sheetName val="P_O_(LOCAL)3"/>
      <sheetName val="UPPER_도면3"/>
      <sheetName val="Kautex_4WD_St_IV_P&amp;D3"/>
      <sheetName val="Sachs_FL_WHL3"/>
      <sheetName val="11403-06163_เก่า9"/>
      <sheetName val="FM-HD_(New)9"/>
      <sheetName val="FM-HD_(HKMC)_9"/>
      <sheetName val="FM-HD_(11254-06201)__9"/>
      <sheetName val="FM-HD_(11251-06163)9"/>
      <sheetName val="FM-HD_(11514053)9"/>
      <sheetName val="FM-HD_(11611807)9"/>
      <sheetName val="FM-HD_(94502003)9"/>
      <sheetName val="FM-HD_(94501839)9"/>
      <sheetName val="FM-HD_(PT-GDENG0911-4)9"/>
      <sheetName val="FM-HD_(94520439)9"/>
      <sheetName val="FM-HD_(94500396)9"/>
      <sheetName val="FM-HD_(94500407)9"/>
      <sheetName val="FM-HD_(94500414)9"/>
      <sheetName val="FM-HD_(94500073)9"/>
      <sheetName val="FM-HD_(11588683)9"/>
      <sheetName val="FM-HD_(94500952)9"/>
      <sheetName val="FM-HD_(11569995)9"/>
      <sheetName val="FM-HD_(11254-06201)9"/>
      <sheetName val="FM-HD_(11588685)9"/>
      <sheetName val="FM-HD_(94500793)_9"/>
      <sheetName val="FM-HD_(11588717)9"/>
      <sheetName val="FM-HD_(HD-25198904)9"/>
      <sheetName val="FM-HD_(HD-11570514)_9"/>
      <sheetName val="FM-HD_(11097441)9"/>
      <sheetName val="FM-HD_(11588662)_9"/>
      <sheetName val="FM-HD_(11519387)9"/>
      <sheetName val="FM-HD_(11561969)9"/>
      <sheetName val="FM-HD_(11516580)9"/>
      <sheetName val="FM-HD_(11588712)___9"/>
      <sheetName val="FM-HD_(11519375)9"/>
      <sheetName val="FM-HD_(FAA32071001)__9"/>
      <sheetName val="FM-HD_(11519382)_9"/>
      <sheetName val="FM-HD_(11519383)_9"/>
      <sheetName val="FM-HD_(11561763)__9"/>
      <sheetName val="FM-HD_(11588316)__9"/>
      <sheetName val="repeatative_rejection3"/>
      <sheetName val="Personnaliser___3"/>
      <sheetName val="Takt_Time3"/>
      <sheetName val="4_경비_5_영업외수지3"/>
      <sheetName val="Sch1_-_P&amp;L_Summary3"/>
      <sheetName val="Sch2_-_BalSht_Summary3"/>
      <sheetName val="Sch3_-_CFlow_Summary3"/>
      <sheetName val="Model_Synthesis_Report3"/>
      <sheetName val="2019년_생산수량3"/>
      <sheetName val="19년_종합_CT3"/>
      <sheetName val="SUST_DEV_&amp;_OTHER3"/>
      <sheetName val="OEM_3"/>
      <sheetName val="August_20033"/>
      <sheetName val="OE_UMC3"/>
      <sheetName val="Analysis-Others_Pg_43"/>
      <sheetName val="Fx_Rates3"/>
      <sheetName val="FY_12_Interiors_Volume4"/>
      <sheetName val="INT_Price_FY12_MFC4"/>
      <sheetName val="II__CF3"/>
      <sheetName val="I__Assumptions3"/>
      <sheetName val="CONN_조립3"/>
      <sheetName val="04_03월소일정계획3"/>
      <sheetName val="_관리계획서_Rev_01_xlsx3"/>
      <sheetName val="Costed_BOM_2ndR_40%3"/>
      <sheetName val="seat-sdn_only3"/>
      <sheetName val="10-2_ED&amp;D_EQU3"/>
      <sheetName val="Business_Plan3"/>
      <sheetName val="Organization_chart201910023"/>
      <sheetName val="RESPONSIBILITY_MATRIX3"/>
      <sheetName val="DS-Thuong_6T_dau3"/>
      <sheetName val="CHI_TIẾT3"/>
      <sheetName val="거래선_생산계획3"/>
      <sheetName val="9_초기공정능력조사(을)3"/>
      <sheetName val="0_주광원_LED_ASSY3"/>
      <sheetName val="Corp_acronym3"/>
      <sheetName val="Output_1_(2)3"/>
      <sheetName val="4_销售计划3"/>
      <sheetName val="실DATA_2"/>
      <sheetName val="23_보증금(전신전화가입권)3"/>
      <sheetName val="3__트림별_내수3"/>
      <sheetName val="3__트림별_북미3"/>
      <sheetName val="3__트림별_유럽3"/>
      <sheetName val="해외)_MASTER_DATA2"/>
      <sheetName val="국내)_마스터_데이터2"/>
      <sheetName val="Group_Consolidated2"/>
      <sheetName val="2_´ë?Ü°o1®2"/>
      <sheetName val="Questions_for_Wuhan_Lear1"/>
      <sheetName val="첨#3__PCB1"/>
      <sheetName val="Detail_report1"/>
      <sheetName val="Request_template2"/>
      <sheetName val="Gauge_R&amp;R2"/>
      <sheetName val="Bia_TQT2"/>
      <sheetName val="_FURNACE현설1"/>
      <sheetName val="프로필렌_이송라인1"/>
      <sheetName val="EO_이력관리대장1"/>
      <sheetName val="개조_요청서2"/>
      <sheetName val="_쿠첸_CIR-301_제원현황(170317)_xlsx2"/>
      <sheetName val="BOM_CODE2"/>
      <sheetName val="96_하반기_전시회_경비2"/>
      <sheetName val="Summary_Capex_Info-Cal_(master2"/>
      <sheetName val="Grille_Q3P_Organe4"/>
      <sheetName val="Table(APG_MF)2"/>
      <sheetName val="Pt_Rates2"/>
      <sheetName val="2_(1설원_첨)2"/>
      <sheetName val="Component_List2"/>
      <sheetName val="Text_Control2"/>
      <sheetName val="text_contl2"/>
      <sheetName val="XD_담력저감2"/>
      <sheetName val="원가검토가_(현양산품)2"/>
      <sheetName val="원가검토가_(최초견적가)2"/>
      <sheetName val="원가검토가_(최초양산품)2"/>
      <sheetName val="RT_Table2"/>
      <sheetName val="입력_데이타2"/>
      <sheetName val="TLc_개조차(목표원가)2"/>
      <sheetName val="Sheet1_(3)2"/>
      <sheetName val="의장2반_2"/>
      <sheetName val="Detail_Defect_COMBO_KAISER2"/>
      <sheetName val="28_8부2"/>
      <sheetName val="KQ_12"/>
      <sheetName val="3rd_DESIGN_APRD1"/>
      <sheetName val="Tien_Thuong1"/>
      <sheetName val="NC_XL_6T_cuoi_01_CTy1"/>
      <sheetName val="Data_-6T_dau1"/>
      <sheetName val="Cong_6T1"/>
      <sheetName val="BEND_LOSS1"/>
      <sheetName val="plan&amp;section_of_foundation1"/>
      <sheetName val="4__가격구조1"/>
      <sheetName val="1_사고건수"/>
      <sheetName val="3_사고_요인별"/>
      <sheetName val="1_page2"/>
      <sheetName val="Special_rack_(Packaging_Input)1"/>
      <sheetName val="판매_계획_대_실적1"/>
      <sheetName val="경영비율_1"/>
      <sheetName val="LWR(TND특근_협의x)_덕_알"/>
      <sheetName val="I__Balance_Sheet"/>
      <sheetName val="MAIN_4"/>
      <sheetName val="ESTI_1"/>
      <sheetName val="CP_khau_hao1"/>
      <sheetName val="ns_chung1"/>
      <sheetName val="dongia_(2)1"/>
      <sheetName val="THĐH_E41"/>
      <sheetName val="THĐH_E31"/>
      <sheetName val="Customer_Grouping"/>
      <sheetName val="2020년도_교육_참석_현황_Raw_Data"/>
      <sheetName val="유형_List"/>
      <sheetName val="SOP_표지"/>
      <sheetName val="CASTING_CONDITION"/>
      <sheetName val="copy_of_control_valve"/>
      <sheetName val="EXP_P1(PART)"/>
      <sheetName val="Prob__Res__Index"/>
      <sheetName val="0_견적보고"/>
      <sheetName val="XM개조차_연동제(12_3분기)"/>
      <sheetName val="SPOT_조건"/>
      <sheetName val="co2_조건"/>
      <sheetName val="DG_285"/>
      <sheetName val="DG__286"/>
      <sheetName val="DG_85"/>
      <sheetName val="DG_89"/>
      <sheetName val="DG_THIET_BI"/>
      <sheetName val="DGVCTC_285"/>
      <sheetName val="DG_vat_lieu"/>
      <sheetName val="Cước_VC_+_ĐM_CP_Tư_vấn"/>
      <sheetName val="Page_14-A"/>
      <sheetName val="목록_모음"/>
      <sheetName val="1__회의록(190218)"/>
      <sheetName val="1__회의록(190225)"/>
      <sheetName val="1__회의록(190730)"/>
      <sheetName val="2__생산관리팀"/>
      <sheetName val="3__생산팀"/>
      <sheetName val="4__품질개발팀_품질"/>
      <sheetName val="5__품질개발팀_개발"/>
      <sheetName val="6__경영지원팀"/>
      <sheetName val="Data_(c)1"/>
      <sheetName val="일_년"/>
      <sheetName val="Internal_cost_reference_table"/>
      <sheetName val="급여_예상_(2017)인상후"/>
      <sheetName val="SURVEY_TVD"/>
      <sheetName val="Investment_Management_Master"/>
      <sheetName val="Prices_P11_and_P12_(PAG)_(2)"/>
      <sheetName val="일일자금_"/>
      <sheetName val="Active_1,4_MT"/>
      <sheetName val="Valid_Options"/>
      <sheetName val="2015_2018_Veh_Vol"/>
      <sheetName val="주간_진행_현황"/>
      <sheetName val="prov_locales"/>
      <sheetName val="0_Cover"/>
      <sheetName val="1_Change_History"/>
      <sheetName val="2_Criteria"/>
      <sheetName val="5_Safety_Mechanism"/>
      <sheetName val="alc_code"/>
      <sheetName val="Invoice Header"/>
      <sheetName val="△수익성"/>
      <sheetName val="组装工艺排位表"/>
      <sheetName val="FA 0509"/>
      <sheetName val="Account Group"/>
      <sheetName val="Q1 pricing"/>
      <sheetName val="Instructions"/>
      <sheetName val="MTL1"/>
      <sheetName val="626BOM"/>
      <sheetName val="General Inputs"/>
      <sheetName val="Panels"/>
      <sheetName val="DELL_Schedule"/>
      <sheetName val="時期入力ｼｰﾄ"/>
      <sheetName val="FA_LISTING"/>
      <sheetName val="LABOR COST"/>
      <sheetName val="Materials Quarterly"/>
      <sheetName val="Time_Scale"/>
      <sheetName val="Consumables"/>
      <sheetName val="Fab Summary"/>
      <sheetName val="TACT"/>
      <sheetName val="Molded Part Cost"/>
      <sheetName val="2006MPS"/>
      <sheetName val="Hourly Rate"/>
      <sheetName val="factoꗝ"/>
      <sheetName val="XLR_NoRangeSheet"/>
      <sheetName val="S300V-MBOM"/>
      <sheetName val="부서C刀_x0010__x0000_"/>
      <sheetName val="유림총괄"/>
      <sheetName val="학생내역"/>
      <sheetName val="이력관리"/>
      <sheetName val=" 갑지"/>
      <sheetName val="적용환율"/>
      <sheetName val="광양 3기 유입수"/>
      <sheetName val="부서C⣵吏휂"/>
      <sheetName val="ﾊﾟｲﾌﾟ|_x0013_?_x0013_?"/>
      <sheetName val="冷延鋼板 EAT_0410"/>
      <sheetName val="4) 핵심일 heat map (참고sheet)"/>
      <sheetName val="Cost Rate"/>
      <sheetName val="Process Rate"/>
      <sheetName val="R(BS-PL-RE)"/>
      <sheetName val="주요측점"/>
      <sheetName val="부재예실"/>
      <sheetName val="전기단가조사서"/>
      <sheetName val="부서C젦ꁆ騃"/>
      <sheetName val="Work Effort"/>
      <sheetName val="4.ﾒｰｶｰ別ｱﾅﾛｸﾞ､ﾃﾞｼﾞﾀﾙ"/>
      <sheetName val="sf"/>
      <sheetName val="Dept Exp"/>
      <sheetName val="85871-39000"/>
      <sheetName val="출고코드"/>
      <sheetName val="Datos Comparables"/>
      <sheetName val="CRP"/>
      <sheetName val="int_C"/>
      <sheetName val="Input commodity fallout"/>
      <sheetName val="Reporting"/>
      <sheetName val="중기"/>
      <sheetName val="공정"/>
      <sheetName val="FRT STRUT"/>
      <sheetName val="99선급비용"/>
      <sheetName val="5월 Svr"/>
      <sheetName val="이자수익보조부"/>
      <sheetName val="4. PHIẾU PHÂN TÍCH NHẬP XUẤT"/>
      <sheetName val="List order keo T1-2019"/>
      <sheetName val="Bảng TD rác thải T1-2019"/>
      <sheetName val="List order keo T2-2019"/>
      <sheetName val="Bảng TD rác thải T2-2019"/>
      <sheetName val="Bảng TD rác thải T3-2019 "/>
      <sheetName val="List order keo T3-2019 "/>
      <sheetName val="Bảng TD rác thải T4-2019"/>
      <sheetName val="list order keo T4-2019"/>
      <sheetName val="Bảng TD rác thải T5-2019"/>
      <sheetName val="list order keo T 5- 2019"/>
      <sheetName val="bảng TD rác thải T6-2019"/>
      <sheetName val="list order keo T6 -2019"/>
      <sheetName val="bảng TD rác thải T7-2019"/>
      <sheetName val="list order keo T7 -2019"/>
      <sheetName val="SALE&amp;COST"/>
      <sheetName val="5차-폭"/>
      <sheetName val="월"/>
      <sheetName val="DICTIONARY"/>
      <sheetName val="설비사양서B(L,O)"/>
      <sheetName val="2. 트림별_중국"/>
      <sheetName val="비품"/>
      <sheetName val="Org Level_221001"/>
      <sheetName val="도장DATA"/>
      <sheetName val="손익합산"/>
      <sheetName val="일반물자(한국통신)"/>
      <sheetName val="Look up"/>
      <sheetName val="요약PL"/>
      <sheetName val="TABLE(한국)"/>
      <sheetName val="HW 종합"/>
      <sheetName val="표면적"/>
      <sheetName val="Sheet56"/>
      <sheetName val="ME BOM for scheme two"/>
      <sheetName val="41922000"/>
      <sheetName val="X-R CHART"/>
      <sheetName val="Tri-mode BOM"/>
      <sheetName val="Country List"/>
      <sheetName val="country"/>
      <sheetName val="PP1142-2"/>
      <sheetName val="철판가,장비임율기준"/>
      <sheetName val="A-Presale Payment Schedule"/>
      <sheetName val="Ellesmere Port (08)"/>
      <sheetName val="경도"/>
      <sheetName val="ITEM별"/>
      <sheetName val="실사"/>
      <sheetName val="성보6"/>
      <sheetName val="6MONTHS"/>
      <sheetName val="MTO REV.2(ARMOR)"/>
      <sheetName val="2_´ë_Ü°o1®1"/>
      <sheetName val="2_´ë_Ü°o1®"/>
      <sheetName val="2차 OI_x0010__࠱"/>
      <sheetName val="노임단가"/>
      <sheetName val="Pareto Top RPN"/>
      <sheetName val="Market Rates 2-26-03"/>
      <sheetName val="YF17&quot;"/>
      <sheetName val="정의_지우지말것"/>
      <sheetName val="Evaluation_objec_x0000_钌"/>
      <sheetName val="일반재 단가"/>
      <sheetName val="1.1"/>
      <sheetName val="Sheet317"/>
      <sheetName val="GBL"/>
      <sheetName val="BH,CA,CH용"/>
      <sheetName val="정비업무분석-최신"/>
      <sheetName val="TASK별 공구"/>
      <sheetName val="TASK별 물자-최종작업"/>
      <sheetName val="공구목록"/>
      <sheetName val="CAGE"/>
      <sheetName val="업무별 소요시간"/>
      <sheetName val="본 정비업무"/>
      <sheetName val="명칭통일안"/>
      <sheetName val="수리부속 목록"/>
      <sheetName val="Intercompany_Detail2"/>
      <sheetName val="0_LED_ASSY1"/>
      <sheetName val="0_주광원_LDM1"/>
      <sheetName val="TECHNICAL_DATA1"/>
      <sheetName val="EX_rate1"/>
      <sheetName val="3~4_》在库计划SABC样式1"/>
      <sheetName val="Executive_Summary1"/>
      <sheetName val="13_Inv_1"/>
      <sheetName val="1차_시산표"/>
      <sheetName val="6__FTA특혜관세적용달성율"/>
      <sheetName val="자재_입고(K1E1)"/>
      <sheetName val="1(A급)_(2)2"/>
      <sheetName val="RULE_SA05-09"/>
      <sheetName val="BOM_LIST_정리"/>
      <sheetName val="Product_Mix"/>
      <sheetName val="QS02-计划_"/>
      <sheetName val="SCM_AV_data"/>
      <sheetName val="97년_재료예산坜³垤"/>
      <sheetName val="REV_Idle(19)_Output(74_중심거리확정)"/>
      <sheetName val="20년_생산확대방안"/>
      <sheetName val="Roadmap_Target_0627"/>
      <sheetName val="Roadmap_Target_(2)"/>
      <sheetName val="NX4e_CAC_INLET"/>
      <sheetName val="NX4e_CAC_OUTLET"/>
      <sheetName val="Theta3_FF_(기존)"/>
      <sheetName val="Theta3_FF"/>
      <sheetName val="HZG_D-Full_Coolant_Hose_"/>
      <sheetName val="9BQX_CAC"/>
      <sheetName val="9BQX_CAC_INLET_OUTLET(구매)"/>
      <sheetName val="NQ5_RADIATOR_HOSE"/>
      <sheetName val="NX4_OIL_COOLER_HOSE"/>
      <sheetName val="SG2_RADIATOR_HOSE(Current반영)"/>
      <sheetName val="NX4_BRAKE_HOSE_(구매)"/>
      <sheetName val="NX4_Brake_Hose(개발)"/>
      <sheetName val="US4_OIL_COOLER_HOSE"/>
      <sheetName val="KA4_OIL_COOLER_HOSE"/>
      <sheetName val="Roadmap_Target"/>
      <sheetName val="Volume_Sensitivity"/>
      <sheetName val="(6)_CBA_Exec_Summary"/>
      <sheetName val="GPIO_Configuration"/>
      <sheetName val="3__트림별_HMMA"/>
      <sheetName val="3__트림별_일반"/>
      <sheetName val="22_투자유가증권_"/>
      <sheetName val="NX4e_차종_부품가_견적_집계현황"/>
      <sheetName val="mc_cap_"/>
      <sheetName val="Page_2"/>
      <sheetName val="p_1_sub_lead"/>
      <sheetName val="붙임2-1__지급조서명세서(2001년분)"/>
      <sheetName val="이익계획_요약1"/>
      <sheetName val="IO_LIST"/>
      <sheetName val="Plant_&amp;__Machinery"/>
      <sheetName val="COAST間欠見積_"/>
      <sheetName val="Overhead_calculations"/>
      <sheetName val="700-001304-05-HF_"/>
      <sheetName val="Debug_check_list"/>
      <sheetName val="DVX_CDMA"/>
      <sheetName val="DVX_UMTS"/>
      <sheetName val="Scorpian_Mini"/>
      <sheetName val="Xfon_WE"/>
      <sheetName val="Ultra_Maxx"/>
      <sheetName val="Ultra_M_Razor_Mini"/>
      <sheetName val="Xfon_UMTS"/>
      <sheetName val="Xfon_UMTS_AF"/>
      <sheetName val="Xfon_WE_AF"/>
      <sheetName val="$$_Document_ID"/>
      <sheetName val="Down_list"/>
      <sheetName val="設備マスタ__(2)"/>
      <sheetName val="Mg_frame_Summary"/>
      <sheetName val="參考--PDA_2003_Defect_Rate"/>
      <sheetName val="Pivot_Table"/>
      <sheetName val="B_2"/>
      <sheetName val="E_2"/>
      <sheetName val="C_3"/>
      <sheetName val="DVT_Gap_Data"/>
      <sheetName val="Summary_definition1"/>
      <sheetName val="Profile_300-500"/>
      <sheetName val="월별_실적_및_분석"/>
      <sheetName val="RPN_Summary"/>
      <sheetName val="1_세부비교원가(내"/>
      <sheetName val="Sales_Plan"/>
      <sheetName val="Vol_&amp;_Assumpt"/>
      <sheetName val="24-45_Data"/>
      <sheetName val="3-20-07_data_from_HMMA"/>
      <sheetName val="1_세부비교_x005f_x001b_"/>
      <sheetName val="2차_OI_x005f_x0010_"/>
      <sheetName val="1_세부비교_x005f_x001b__x005f_x0000__x005f_x0000_㣪洁ᚦ"/>
      <sheetName val="2차_OI_x005f_x0010__x005f_x0000__x005f_xda10_࠱"/>
      <sheetName val="2차_OI_x005f_x0000__x005f_x0000_젘_x005f_x0000_"/>
      <sheetName val="_x005f_x0000_PRDW30_XL"/>
      <sheetName val="TASK별_공구"/>
      <sheetName val="TASK별_물자-최종작업"/>
      <sheetName val="업무별_소요시간"/>
      <sheetName val="본_정비업무"/>
      <sheetName val="수리부속_목록"/>
      <sheetName val="ktp06_URS_순_정렬"/>
      <sheetName val="자동차_모델별_상세"/>
      <sheetName val="Typfrei-Non_Dedicated"/>
      <sheetName val="Input_Data"/>
      <sheetName val="공刀"/>
      <sheetName val="인쇄"/>
      <sheetName val="E-F"/>
      <sheetName val="G"/>
      <sheetName val="용접코킹"/>
      <sheetName val="심팩"/>
      <sheetName val="PRO"/>
      <sheetName val="元データ"/>
      <sheetName val="ilencer"/>
      <sheetName val="ile"/>
      <sheetName val="2차 OI䑲⿀"/>
      <sheetName val="PRDW30.XL"/>
      <sheetName val="설비LIS"/>
      <sheetName val="07주洁겦"/>
      <sheetName val="07주洁ᾦ"/>
      <sheetName val="07주洂䢦_x0001_"/>
      <sheetName val="07주洂亦_x0001_"/>
      <sheetName val="생j"/>
      <sheetName val="2차 OI_x0005_"/>
      <sheetName val="2차 OI_x0010_?࠱"/>
      <sheetName val="2차 OI׃⼪"/>
      <sheetName val=";"/>
      <sheetName val="13-1"/>
      <sheetName val="공"/>
      <sheetName val="facto_x0000_"/>
      <sheetName val="TEMԯ"/>
      <sheetName val="1.세부비교원가(내"/>
      <sheetName val="05021"/>
      <sheetName val="_x005"/>
      <sheetName val="부서C刀_x0010_"/>
    </sheetNames>
    <sheetDataSet>
      <sheetData sheetId="0">
        <row r="5">
          <cell r="D5" t="str">
            <v>PROCESS PERFORMANCE STUDY</v>
          </cell>
        </row>
      </sheetData>
      <sheetData sheetId="1">
        <row r="5">
          <cell r="D5" t="str">
            <v>PROCESS PERFORMANCE STUDY</v>
          </cell>
        </row>
      </sheetData>
      <sheetData sheetId="2">
        <row r="5">
          <cell r="D5" t="str">
            <v>PROCESS PERFORMANCE STUDY</v>
          </cell>
        </row>
      </sheetData>
      <sheetData sheetId="3">
        <row r="5">
          <cell r="D5" t="str">
            <v>PROCESS PERFORMANCE STUDY</v>
          </cell>
        </row>
      </sheetData>
      <sheetData sheetId="4">
        <row r="5">
          <cell r="D5" t="str">
            <v>PROCESS PERFORMANCE STUDY</v>
          </cell>
        </row>
      </sheetData>
      <sheetData sheetId="5">
        <row r="5">
          <cell r="D5" t="str">
            <v>PROCESS PERFORMANCE STUDY</v>
          </cell>
        </row>
      </sheetData>
      <sheetData sheetId="6">
        <row r="5">
          <cell r="D5" t="str">
            <v>PROCESS PERFORMANCE STUDY</v>
          </cell>
        </row>
      </sheetData>
      <sheetData sheetId="7">
        <row r="5">
          <cell r="D5" t="str">
            <v>PROCESS PERFORMANCE STUDY</v>
          </cell>
        </row>
      </sheetData>
      <sheetData sheetId="8">
        <row r="5">
          <cell r="D5" t="str">
            <v>PROCESS PERFORMANCE STUDY</v>
          </cell>
        </row>
      </sheetData>
      <sheetData sheetId="9">
        <row r="5">
          <cell r="D5" t="str">
            <v>PROCESS PERFORMANCE STUDY</v>
          </cell>
        </row>
      </sheetData>
      <sheetData sheetId="10">
        <row r="5">
          <cell r="D5" t="str">
            <v>PROCESS PERFORMANCE STUDY</v>
          </cell>
        </row>
      </sheetData>
      <sheetData sheetId="11">
        <row r="5">
          <cell r="D5" t="str">
            <v>PROCESS PERFORMANCE STUDY</v>
          </cell>
        </row>
      </sheetData>
      <sheetData sheetId="12">
        <row r="5">
          <cell r="D5" t="str">
            <v>PROCESS PERFORMANCE STUDY</v>
          </cell>
        </row>
      </sheetData>
      <sheetData sheetId="13">
        <row r="5">
          <cell r="D5" t="str">
            <v>PROCESS PERFORMANCE STUDY</v>
          </cell>
        </row>
      </sheetData>
      <sheetData sheetId="14">
        <row r="5">
          <cell r="D5" t="str">
            <v>PROCESS PERFORMANCE STUDY</v>
          </cell>
        </row>
      </sheetData>
      <sheetData sheetId="15">
        <row r="5">
          <cell r="D5" t="str">
            <v>PROCESS PERFORMANCE STUDY</v>
          </cell>
        </row>
      </sheetData>
      <sheetData sheetId="16">
        <row r="5">
          <cell r="D5" t="str">
            <v>PROCESS PERFORMANCE STUDY</v>
          </cell>
        </row>
      </sheetData>
      <sheetData sheetId="17">
        <row r="5">
          <cell r="D5" t="str">
            <v>PROCESS PERFORMANCE STUDY</v>
          </cell>
        </row>
      </sheetData>
      <sheetData sheetId="18">
        <row r="5">
          <cell r="D5" t="str">
            <v>PROCESS PERFORMANCE STUDY</v>
          </cell>
        </row>
      </sheetData>
      <sheetData sheetId="19">
        <row r="5">
          <cell r="D5" t="str">
            <v>PROCESS PERFORMANCE STUDY</v>
          </cell>
        </row>
      </sheetData>
      <sheetData sheetId="20">
        <row r="6">
          <cell r="A6">
            <v>1</v>
          </cell>
        </row>
      </sheetData>
      <sheetData sheetId="21">
        <row r="6">
          <cell r="A6">
            <v>1</v>
          </cell>
        </row>
      </sheetData>
      <sheetData sheetId="22">
        <row r="6">
          <cell r="A6">
            <v>1</v>
          </cell>
        </row>
      </sheetData>
      <sheetData sheetId="23">
        <row r="6">
          <cell r="A6">
            <v>1</v>
          </cell>
        </row>
      </sheetData>
      <sheetData sheetId="24">
        <row r="6">
          <cell r="A6">
            <v>1</v>
          </cell>
        </row>
      </sheetData>
      <sheetData sheetId="25">
        <row r="6">
          <cell r="A6">
            <v>1</v>
          </cell>
        </row>
      </sheetData>
      <sheetData sheetId="26">
        <row r="6">
          <cell r="A6">
            <v>1</v>
          </cell>
        </row>
      </sheetData>
      <sheetData sheetId="27"/>
      <sheetData sheetId="28">
        <row r="6">
          <cell r="A6">
            <v>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>
        <row r="1">
          <cell r="A1" t="str">
            <v>1월 생산실적</v>
          </cell>
        </row>
      </sheetData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>
        <row r="6">
          <cell r="A6">
            <v>1</v>
          </cell>
        </row>
      </sheetData>
      <sheetData sheetId="800"/>
      <sheetData sheetId="801"/>
      <sheetData sheetId="802"/>
      <sheetData sheetId="803"/>
      <sheetData sheetId="804"/>
      <sheetData sheetId="805">
        <row r="6">
          <cell r="A6">
            <v>1</v>
          </cell>
        </row>
      </sheetData>
      <sheetData sheetId="806"/>
      <sheetData sheetId="807">
        <row r="6">
          <cell r="A6">
            <v>1</v>
          </cell>
        </row>
      </sheetData>
      <sheetData sheetId="808">
        <row r="73">
          <cell r="E73">
            <v>-1978066.1999669024</v>
          </cell>
        </row>
      </sheetData>
      <sheetData sheetId="809">
        <row r="6">
          <cell r="A6">
            <v>1</v>
          </cell>
        </row>
      </sheetData>
      <sheetData sheetId="810">
        <row r="6">
          <cell r="A6">
            <v>1</v>
          </cell>
        </row>
      </sheetData>
      <sheetData sheetId="811"/>
      <sheetData sheetId="812">
        <row r="6">
          <cell r="A6">
            <v>1</v>
          </cell>
        </row>
      </sheetData>
      <sheetData sheetId="813">
        <row r="6">
          <cell r="A6">
            <v>1</v>
          </cell>
        </row>
      </sheetData>
      <sheetData sheetId="814">
        <row r="6">
          <cell r="A6">
            <v>1</v>
          </cell>
        </row>
      </sheetData>
      <sheetData sheetId="815">
        <row r="6">
          <cell r="A6">
            <v>1</v>
          </cell>
        </row>
      </sheetData>
      <sheetData sheetId="816">
        <row r="6">
          <cell r="A6">
            <v>1</v>
          </cell>
        </row>
      </sheetData>
      <sheetData sheetId="817">
        <row r="1">
          <cell r="A1" t="str">
            <v>1월 생산실적</v>
          </cell>
        </row>
      </sheetData>
      <sheetData sheetId="818">
        <row r="1">
          <cell r="A1" t="str">
            <v>1월 생산실적</v>
          </cell>
        </row>
      </sheetData>
      <sheetData sheetId="819">
        <row r="1">
          <cell r="A1" t="str">
            <v>1월 생산실적</v>
          </cell>
        </row>
      </sheetData>
      <sheetData sheetId="820">
        <row r="1">
          <cell r="A1" t="str">
            <v>1월 생산실적</v>
          </cell>
        </row>
      </sheetData>
      <sheetData sheetId="821">
        <row r="1">
          <cell r="A1" t="str">
            <v>1월 생산실적</v>
          </cell>
        </row>
      </sheetData>
      <sheetData sheetId="822">
        <row r="1">
          <cell r="A1" t="str">
            <v>1월 생산실적</v>
          </cell>
        </row>
      </sheetData>
      <sheetData sheetId="823">
        <row r="1">
          <cell r="A1" t="str">
            <v>1월 생산실적</v>
          </cell>
        </row>
      </sheetData>
      <sheetData sheetId="824">
        <row r="1">
          <cell r="A1" t="str">
            <v>1월 생산실적</v>
          </cell>
        </row>
      </sheetData>
      <sheetData sheetId="825">
        <row r="1">
          <cell r="A1" t="str">
            <v>1월 생산실적</v>
          </cell>
        </row>
      </sheetData>
      <sheetData sheetId="826">
        <row r="1">
          <cell r="A1" t="str">
            <v>1월 생산실적</v>
          </cell>
        </row>
      </sheetData>
      <sheetData sheetId="827">
        <row r="1">
          <cell r="A1" t="str">
            <v>1월 생산실적</v>
          </cell>
        </row>
      </sheetData>
      <sheetData sheetId="828">
        <row r="1">
          <cell r="A1" t="str">
            <v>1월 생산실적</v>
          </cell>
        </row>
      </sheetData>
      <sheetData sheetId="829">
        <row r="1">
          <cell r="A1" t="str">
            <v>1월 생산실적</v>
          </cell>
        </row>
      </sheetData>
      <sheetData sheetId="830">
        <row r="1">
          <cell r="A1" t="str">
            <v>1월 생산실적</v>
          </cell>
        </row>
      </sheetData>
      <sheetData sheetId="831">
        <row r="1">
          <cell r="A1" t="str">
            <v>1월 생산실적</v>
          </cell>
        </row>
      </sheetData>
      <sheetData sheetId="832">
        <row r="1">
          <cell r="A1" t="str">
            <v>1월 생산실적</v>
          </cell>
        </row>
      </sheetData>
      <sheetData sheetId="833">
        <row r="1">
          <cell r="A1" t="str">
            <v>1월 생산실적</v>
          </cell>
        </row>
      </sheetData>
      <sheetData sheetId="834">
        <row r="1">
          <cell r="A1" t="str">
            <v>1월 생산실적</v>
          </cell>
        </row>
      </sheetData>
      <sheetData sheetId="835">
        <row r="1">
          <cell r="A1" t="str">
            <v>1월 생산실적</v>
          </cell>
        </row>
      </sheetData>
      <sheetData sheetId="836">
        <row r="1">
          <cell r="A1" t="str">
            <v>1월 생산실적</v>
          </cell>
        </row>
      </sheetData>
      <sheetData sheetId="837">
        <row r="1">
          <cell r="A1" t="str">
            <v>1월 생산실적</v>
          </cell>
        </row>
      </sheetData>
      <sheetData sheetId="838">
        <row r="1">
          <cell r="A1" t="str">
            <v>1월 생산실적</v>
          </cell>
        </row>
      </sheetData>
      <sheetData sheetId="839">
        <row r="1">
          <cell r="A1" t="str">
            <v>1월 생산실적</v>
          </cell>
        </row>
      </sheetData>
      <sheetData sheetId="840">
        <row r="1">
          <cell r="A1" t="str">
            <v>1월 생산실적</v>
          </cell>
        </row>
      </sheetData>
      <sheetData sheetId="841">
        <row r="1">
          <cell r="A1" t="str">
            <v>1월 생산실적</v>
          </cell>
        </row>
      </sheetData>
      <sheetData sheetId="842">
        <row r="1">
          <cell r="A1" t="str">
            <v>1월 생산실적</v>
          </cell>
        </row>
      </sheetData>
      <sheetData sheetId="843">
        <row r="1">
          <cell r="A1" t="str">
            <v>1월 생산실적</v>
          </cell>
        </row>
      </sheetData>
      <sheetData sheetId="844">
        <row r="1">
          <cell r="A1" t="str">
            <v>1월 생산실적</v>
          </cell>
        </row>
      </sheetData>
      <sheetData sheetId="845">
        <row r="1">
          <cell r="A1" t="str">
            <v>1월 생산실적</v>
          </cell>
        </row>
      </sheetData>
      <sheetData sheetId="846">
        <row r="1">
          <cell r="A1" t="str">
            <v>1월 생산실적</v>
          </cell>
        </row>
      </sheetData>
      <sheetData sheetId="847">
        <row r="1">
          <cell r="A1" t="str">
            <v>1월 생산실적</v>
          </cell>
        </row>
      </sheetData>
      <sheetData sheetId="848">
        <row r="1">
          <cell r="A1" t="str">
            <v>1월 생산실적</v>
          </cell>
        </row>
      </sheetData>
      <sheetData sheetId="849">
        <row r="1">
          <cell r="A1" t="str">
            <v>1월 생산실적</v>
          </cell>
        </row>
      </sheetData>
      <sheetData sheetId="850">
        <row r="1">
          <cell r="A1" t="str">
            <v>1월 생산실적</v>
          </cell>
        </row>
      </sheetData>
      <sheetData sheetId="851">
        <row r="1">
          <cell r="A1" t="str">
            <v>1월 생산실적</v>
          </cell>
        </row>
      </sheetData>
      <sheetData sheetId="852">
        <row r="1">
          <cell r="A1" t="str">
            <v>1월 생산실적</v>
          </cell>
        </row>
      </sheetData>
      <sheetData sheetId="853">
        <row r="1">
          <cell r="A1" t="str">
            <v>1월 생산실적</v>
          </cell>
        </row>
      </sheetData>
      <sheetData sheetId="854">
        <row r="1">
          <cell r="A1" t="str">
            <v>1월 생산실적</v>
          </cell>
        </row>
      </sheetData>
      <sheetData sheetId="855">
        <row r="1">
          <cell r="A1" t="str">
            <v>1월 생산실적</v>
          </cell>
        </row>
      </sheetData>
      <sheetData sheetId="856">
        <row r="1">
          <cell r="A1" t="str">
            <v>1월 생산실적</v>
          </cell>
        </row>
      </sheetData>
      <sheetData sheetId="857">
        <row r="1">
          <cell r="A1" t="str">
            <v>1월 생산실적</v>
          </cell>
        </row>
      </sheetData>
      <sheetData sheetId="858">
        <row r="1">
          <cell r="A1" t="str">
            <v>1월 생산실적</v>
          </cell>
        </row>
      </sheetData>
      <sheetData sheetId="859">
        <row r="1">
          <cell r="A1" t="str">
            <v>1월 생산실적</v>
          </cell>
        </row>
      </sheetData>
      <sheetData sheetId="860">
        <row r="1">
          <cell r="A1" t="str">
            <v>1월 생산실적</v>
          </cell>
        </row>
      </sheetData>
      <sheetData sheetId="861">
        <row r="1">
          <cell r="A1" t="str">
            <v>1월 생산실적</v>
          </cell>
        </row>
      </sheetData>
      <sheetData sheetId="862">
        <row r="1">
          <cell r="A1" t="str">
            <v>1월 생산실적</v>
          </cell>
        </row>
      </sheetData>
      <sheetData sheetId="863">
        <row r="1">
          <cell r="A1" t="str">
            <v>1월 생산실적</v>
          </cell>
        </row>
      </sheetData>
      <sheetData sheetId="864">
        <row r="1">
          <cell r="A1" t="str">
            <v>1월 생산실적</v>
          </cell>
        </row>
      </sheetData>
      <sheetData sheetId="865">
        <row r="1">
          <cell r="A1" t="str">
            <v>1월 생산실적</v>
          </cell>
        </row>
      </sheetData>
      <sheetData sheetId="866">
        <row r="1">
          <cell r="A1" t="str">
            <v>1월 생산실적</v>
          </cell>
        </row>
      </sheetData>
      <sheetData sheetId="867">
        <row r="1">
          <cell r="A1" t="str">
            <v>1월 생산실적</v>
          </cell>
        </row>
      </sheetData>
      <sheetData sheetId="868">
        <row r="1">
          <cell r="A1" t="str">
            <v>1월 생산실적</v>
          </cell>
        </row>
      </sheetData>
      <sheetData sheetId="869">
        <row r="1">
          <cell r="A1" t="str">
            <v>1월 생산실적</v>
          </cell>
        </row>
      </sheetData>
      <sheetData sheetId="870">
        <row r="1">
          <cell r="A1" t="str">
            <v>1월 생산실적</v>
          </cell>
        </row>
      </sheetData>
      <sheetData sheetId="871">
        <row r="1">
          <cell r="A1" t="str">
            <v>1월 생산실적</v>
          </cell>
        </row>
      </sheetData>
      <sheetData sheetId="872">
        <row r="1">
          <cell r="A1" t="str">
            <v>1월 생산실적</v>
          </cell>
        </row>
      </sheetData>
      <sheetData sheetId="873">
        <row r="1">
          <cell r="A1" t="str">
            <v>1월 생산실적</v>
          </cell>
        </row>
      </sheetData>
      <sheetData sheetId="874">
        <row r="1">
          <cell r="A1" t="str">
            <v>1월 생산실적</v>
          </cell>
        </row>
      </sheetData>
      <sheetData sheetId="875">
        <row r="1">
          <cell r="A1" t="str">
            <v>1월 생산실적</v>
          </cell>
        </row>
      </sheetData>
      <sheetData sheetId="876">
        <row r="1">
          <cell r="A1" t="str">
            <v>1월 생산실적</v>
          </cell>
        </row>
      </sheetData>
      <sheetData sheetId="877">
        <row r="1">
          <cell r="A1" t="str">
            <v>1월 생산실적</v>
          </cell>
        </row>
      </sheetData>
      <sheetData sheetId="878">
        <row r="1">
          <cell r="A1" t="str">
            <v>1월 생산실적</v>
          </cell>
        </row>
      </sheetData>
      <sheetData sheetId="879">
        <row r="1">
          <cell r="A1" t="str">
            <v>1월 생산실적</v>
          </cell>
        </row>
      </sheetData>
      <sheetData sheetId="880">
        <row r="6">
          <cell r="A6">
            <v>1</v>
          </cell>
        </row>
      </sheetData>
      <sheetData sheetId="881">
        <row r="1">
          <cell r="A1" t="str">
            <v>1월 생산실적</v>
          </cell>
        </row>
      </sheetData>
      <sheetData sheetId="882">
        <row r="1">
          <cell r="A1" t="str">
            <v>1월 생산실적</v>
          </cell>
        </row>
      </sheetData>
      <sheetData sheetId="883">
        <row r="1">
          <cell r="A1" t="str">
            <v>1월 생산실적</v>
          </cell>
        </row>
      </sheetData>
      <sheetData sheetId="884">
        <row r="1">
          <cell r="A1" t="str">
            <v>1월 생산실적</v>
          </cell>
        </row>
      </sheetData>
      <sheetData sheetId="885">
        <row r="1">
          <cell r="A1" t="str">
            <v>1월 생산실적</v>
          </cell>
        </row>
      </sheetData>
      <sheetData sheetId="886">
        <row r="1">
          <cell r="A1" t="str">
            <v>1월 생산실적</v>
          </cell>
        </row>
      </sheetData>
      <sheetData sheetId="887">
        <row r="1">
          <cell r="A1" t="str">
            <v>1월 생산실적</v>
          </cell>
        </row>
      </sheetData>
      <sheetData sheetId="888">
        <row r="1">
          <cell r="A1" t="str">
            <v>1월 생산실적</v>
          </cell>
        </row>
      </sheetData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>
        <row r="1">
          <cell r="A1" t="str">
            <v>1월 생산실적</v>
          </cell>
        </row>
      </sheetData>
      <sheetData sheetId="902">
        <row r="1">
          <cell r="A1" t="str">
            <v>1월 생산실적</v>
          </cell>
        </row>
      </sheetData>
      <sheetData sheetId="903">
        <row r="1">
          <cell r="A1" t="str">
            <v>1월 생산실적</v>
          </cell>
        </row>
      </sheetData>
      <sheetData sheetId="904">
        <row r="1">
          <cell r="A1" t="str">
            <v>1월 생산실적</v>
          </cell>
        </row>
      </sheetData>
      <sheetData sheetId="905">
        <row r="1">
          <cell r="A1" t="str">
            <v>1월 생산실적</v>
          </cell>
        </row>
      </sheetData>
      <sheetData sheetId="906">
        <row r="1">
          <cell r="A1" t="str">
            <v>1월 생산실적</v>
          </cell>
        </row>
      </sheetData>
      <sheetData sheetId="907">
        <row r="1">
          <cell r="A1" t="str">
            <v>1월 생산실적</v>
          </cell>
        </row>
      </sheetData>
      <sheetData sheetId="908">
        <row r="1">
          <cell r="A1" t="str">
            <v>1월 생산실적</v>
          </cell>
        </row>
      </sheetData>
      <sheetData sheetId="909">
        <row r="1">
          <cell r="A1" t="str">
            <v>1월 생산실적</v>
          </cell>
        </row>
      </sheetData>
      <sheetData sheetId="910">
        <row r="1">
          <cell r="A1" t="str">
            <v>1월 생산실적</v>
          </cell>
        </row>
      </sheetData>
      <sheetData sheetId="911">
        <row r="1">
          <cell r="A1" t="str">
            <v>1월 생산실적</v>
          </cell>
        </row>
      </sheetData>
      <sheetData sheetId="912">
        <row r="1">
          <cell r="A1" t="str">
            <v>1월 생산실적</v>
          </cell>
        </row>
      </sheetData>
      <sheetData sheetId="913">
        <row r="1">
          <cell r="A1" t="str">
            <v>1월 생산실적</v>
          </cell>
        </row>
      </sheetData>
      <sheetData sheetId="914">
        <row r="1">
          <cell r="A1" t="str">
            <v>1월 생산실적</v>
          </cell>
        </row>
      </sheetData>
      <sheetData sheetId="915">
        <row r="1">
          <cell r="A1" t="str">
            <v>1월 생산실적</v>
          </cell>
        </row>
      </sheetData>
      <sheetData sheetId="916">
        <row r="1">
          <cell r="A1" t="str">
            <v>1월 생산실적</v>
          </cell>
        </row>
      </sheetData>
      <sheetData sheetId="917">
        <row r="1">
          <cell r="A1" t="str">
            <v>1월 생산실적</v>
          </cell>
        </row>
      </sheetData>
      <sheetData sheetId="918">
        <row r="1">
          <cell r="A1" t="str">
            <v>1월 생산실적</v>
          </cell>
        </row>
      </sheetData>
      <sheetData sheetId="919">
        <row r="1">
          <cell r="A1" t="str">
            <v>1월 생산실적</v>
          </cell>
        </row>
      </sheetData>
      <sheetData sheetId="920">
        <row r="1">
          <cell r="A1" t="str">
            <v>1월 생산실적</v>
          </cell>
        </row>
      </sheetData>
      <sheetData sheetId="921">
        <row r="1">
          <cell r="A1" t="str">
            <v>1월 생산실적</v>
          </cell>
        </row>
      </sheetData>
      <sheetData sheetId="922">
        <row r="1">
          <cell r="A1" t="str">
            <v>1월 생산실적</v>
          </cell>
        </row>
      </sheetData>
      <sheetData sheetId="923">
        <row r="1">
          <cell r="A1" t="str">
            <v>1월 생산실적</v>
          </cell>
        </row>
      </sheetData>
      <sheetData sheetId="924">
        <row r="1">
          <cell r="A1" t="str">
            <v>1월 생산실적</v>
          </cell>
        </row>
      </sheetData>
      <sheetData sheetId="925">
        <row r="1">
          <cell r="A1" t="str">
            <v>1월 생산실적</v>
          </cell>
        </row>
      </sheetData>
      <sheetData sheetId="926">
        <row r="1">
          <cell r="A1" t="str">
            <v>1월 생산실적</v>
          </cell>
        </row>
      </sheetData>
      <sheetData sheetId="927">
        <row r="1">
          <cell r="A1" t="str">
            <v>1월 생산실적</v>
          </cell>
        </row>
      </sheetData>
      <sheetData sheetId="928">
        <row r="1">
          <cell r="A1" t="str">
            <v>1월 생산실적</v>
          </cell>
        </row>
      </sheetData>
      <sheetData sheetId="929">
        <row r="1">
          <cell r="A1" t="str">
            <v>1월 생산실적</v>
          </cell>
        </row>
      </sheetData>
      <sheetData sheetId="930">
        <row r="1">
          <cell r="A1" t="str">
            <v>1월 생산실적</v>
          </cell>
        </row>
      </sheetData>
      <sheetData sheetId="931">
        <row r="1">
          <cell r="A1" t="str">
            <v>1월 생산실적</v>
          </cell>
        </row>
      </sheetData>
      <sheetData sheetId="932">
        <row r="1">
          <cell r="A1" t="str">
            <v>1월 생산실적</v>
          </cell>
        </row>
      </sheetData>
      <sheetData sheetId="933">
        <row r="1">
          <cell r="A1" t="str">
            <v>1월 생산실적</v>
          </cell>
        </row>
      </sheetData>
      <sheetData sheetId="934">
        <row r="1">
          <cell r="A1" t="str">
            <v>1월 생산실적</v>
          </cell>
        </row>
      </sheetData>
      <sheetData sheetId="935">
        <row r="1">
          <cell r="A1" t="str">
            <v>1월 생산실적</v>
          </cell>
        </row>
      </sheetData>
      <sheetData sheetId="936">
        <row r="1">
          <cell r="A1" t="str">
            <v>1월 생산실적</v>
          </cell>
        </row>
      </sheetData>
      <sheetData sheetId="937">
        <row r="1">
          <cell r="A1" t="str">
            <v>1월 생산실적</v>
          </cell>
        </row>
      </sheetData>
      <sheetData sheetId="938">
        <row r="1">
          <cell r="A1" t="str">
            <v>1월 생산실적</v>
          </cell>
        </row>
      </sheetData>
      <sheetData sheetId="939">
        <row r="1">
          <cell r="A1" t="str">
            <v>1월 생산실적</v>
          </cell>
        </row>
      </sheetData>
      <sheetData sheetId="940">
        <row r="1">
          <cell r="A1" t="str">
            <v>1월 생산실적</v>
          </cell>
        </row>
      </sheetData>
      <sheetData sheetId="941">
        <row r="1">
          <cell r="A1" t="str">
            <v>1월 생산실적</v>
          </cell>
        </row>
      </sheetData>
      <sheetData sheetId="942">
        <row r="1">
          <cell r="A1" t="str">
            <v>1월 생산실적</v>
          </cell>
        </row>
      </sheetData>
      <sheetData sheetId="943">
        <row r="1">
          <cell r="A1" t="str">
            <v>1월 생산실적</v>
          </cell>
        </row>
      </sheetData>
      <sheetData sheetId="944">
        <row r="1">
          <cell r="A1" t="str">
            <v>1월 생산실적</v>
          </cell>
        </row>
      </sheetData>
      <sheetData sheetId="945">
        <row r="1">
          <cell r="A1" t="str">
            <v>1월 생산실적</v>
          </cell>
        </row>
      </sheetData>
      <sheetData sheetId="946">
        <row r="1">
          <cell r="A1" t="str">
            <v>1월 생산실적</v>
          </cell>
        </row>
      </sheetData>
      <sheetData sheetId="947">
        <row r="1">
          <cell r="A1" t="str">
            <v>1월 생산실적</v>
          </cell>
        </row>
      </sheetData>
      <sheetData sheetId="948">
        <row r="1">
          <cell r="A1" t="str">
            <v>1월 생산실적</v>
          </cell>
        </row>
      </sheetData>
      <sheetData sheetId="949">
        <row r="1">
          <cell r="A1" t="str">
            <v>1월 생산실적</v>
          </cell>
        </row>
      </sheetData>
      <sheetData sheetId="950">
        <row r="1">
          <cell r="A1" t="str">
            <v>1월 생산실적</v>
          </cell>
        </row>
      </sheetData>
      <sheetData sheetId="951">
        <row r="1">
          <cell r="A1" t="str">
            <v>1월 생산실적</v>
          </cell>
        </row>
      </sheetData>
      <sheetData sheetId="952">
        <row r="1">
          <cell r="A1" t="str">
            <v>1월 생산실적</v>
          </cell>
        </row>
      </sheetData>
      <sheetData sheetId="953">
        <row r="1">
          <cell r="A1" t="str">
            <v>1월 생산실적</v>
          </cell>
        </row>
      </sheetData>
      <sheetData sheetId="954">
        <row r="1">
          <cell r="A1" t="str">
            <v>1월 생산실적</v>
          </cell>
        </row>
      </sheetData>
      <sheetData sheetId="955">
        <row r="1">
          <cell r="A1" t="str">
            <v>1월 생산실적</v>
          </cell>
        </row>
      </sheetData>
      <sheetData sheetId="956">
        <row r="1">
          <cell r="A1" t="str">
            <v>1월 생산실적</v>
          </cell>
        </row>
      </sheetData>
      <sheetData sheetId="957">
        <row r="1">
          <cell r="A1" t="str">
            <v>1월 생산실적</v>
          </cell>
        </row>
      </sheetData>
      <sheetData sheetId="958">
        <row r="1">
          <cell r="A1" t="str">
            <v>1월 생산실적</v>
          </cell>
        </row>
      </sheetData>
      <sheetData sheetId="959">
        <row r="1">
          <cell r="A1" t="str">
            <v>1월 생산실적</v>
          </cell>
        </row>
      </sheetData>
      <sheetData sheetId="960">
        <row r="1">
          <cell r="A1" t="str">
            <v>1월 생산실적</v>
          </cell>
        </row>
      </sheetData>
      <sheetData sheetId="961">
        <row r="1">
          <cell r="A1" t="str">
            <v>1월 생산실적</v>
          </cell>
        </row>
      </sheetData>
      <sheetData sheetId="962">
        <row r="1">
          <cell r="A1" t="str">
            <v>1월 생산실적</v>
          </cell>
        </row>
      </sheetData>
      <sheetData sheetId="963">
        <row r="1">
          <cell r="A1" t="str">
            <v>1월 생산실적</v>
          </cell>
        </row>
      </sheetData>
      <sheetData sheetId="964">
        <row r="1">
          <cell r="A1" t="str">
            <v>1월 생산실적</v>
          </cell>
        </row>
      </sheetData>
      <sheetData sheetId="965">
        <row r="1">
          <cell r="A1" t="str">
            <v>1월 생산실적</v>
          </cell>
        </row>
      </sheetData>
      <sheetData sheetId="966">
        <row r="1">
          <cell r="A1" t="str">
            <v>1월 생산실적</v>
          </cell>
        </row>
      </sheetData>
      <sheetData sheetId="967">
        <row r="1">
          <cell r="A1" t="str">
            <v>1월 생산실적</v>
          </cell>
        </row>
      </sheetData>
      <sheetData sheetId="968">
        <row r="1">
          <cell r="A1" t="str">
            <v>1월 생산실적</v>
          </cell>
        </row>
      </sheetData>
      <sheetData sheetId="969">
        <row r="1">
          <cell r="A1" t="str">
            <v>1월 생산실적</v>
          </cell>
        </row>
      </sheetData>
      <sheetData sheetId="970">
        <row r="1">
          <cell r="A1" t="str">
            <v>1월 생산실적</v>
          </cell>
        </row>
      </sheetData>
      <sheetData sheetId="971">
        <row r="1">
          <cell r="A1" t="str">
            <v>1월 생산실적</v>
          </cell>
        </row>
      </sheetData>
      <sheetData sheetId="972">
        <row r="1">
          <cell r="A1" t="str">
            <v>1월 생산실적</v>
          </cell>
        </row>
      </sheetData>
      <sheetData sheetId="973">
        <row r="1">
          <cell r="A1" t="str">
            <v>1월 생산실적</v>
          </cell>
        </row>
      </sheetData>
      <sheetData sheetId="974">
        <row r="1">
          <cell r="A1" t="str">
            <v>1월 생산실적</v>
          </cell>
        </row>
      </sheetData>
      <sheetData sheetId="975">
        <row r="1">
          <cell r="A1" t="str">
            <v>1월 생산실적</v>
          </cell>
        </row>
      </sheetData>
      <sheetData sheetId="976">
        <row r="1">
          <cell r="A1" t="str">
            <v>1월 생산실적</v>
          </cell>
        </row>
      </sheetData>
      <sheetData sheetId="977">
        <row r="1">
          <cell r="A1" t="str">
            <v>1월 생산실적</v>
          </cell>
        </row>
      </sheetData>
      <sheetData sheetId="978">
        <row r="1">
          <cell r="A1" t="str">
            <v>1월 생산실적</v>
          </cell>
        </row>
      </sheetData>
      <sheetData sheetId="979">
        <row r="1">
          <cell r="A1" t="str">
            <v>1월 생산실적</v>
          </cell>
        </row>
      </sheetData>
      <sheetData sheetId="980">
        <row r="1">
          <cell r="A1" t="str">
            <v>1월 생산실적</v>
          </cell>
        </row>
      </sheetData>
      <sheetData sheetId="981">
        <row r="1">
          <cell r="A1" t="str">
            <v>1월 생산실적</v>
          </cell>
        </row>
      </sheetData>
      <sheetData sheetId="982">
        <row r="1">
          <cell r="A1" t="str">
            <v>1월 생산실적</v>
          </cell>
        </row>
      </sheetData>
      <sheetData sheetId="983">
        <row r="1">
          <cell r="A1" t="str">
            <v>1월 생산실적</v>
          </cell>
        </row>
      </sheetData>
      <sheetData sheetId="984">
        <row r="1">
          <cell r="A1" t="str">
            <v>1월 생산실적</v>
          </cell>
        </row>
      </sheetData>
      <sheetData sheetId="985">
        <row r="1">
          <cell r="A1" t="str">
            <v>1월 생산실적</v>
          </cell>
        </row>
      </sheetData>
      <sheetData sheetId="986">
        <row r="1">
          <cell r="A1" t="str">
            <v>1월 생산실적</v>
          </cell>
        </row>
      </sheetData>
      <sheetData sheetId="987">
        <row r="1">
          <cell r="A1" t="str">
            <v>1월 생산실적</v>
          </cell>
        </row>
      </sheetData>
      <sheetData sheetId="988">
        <row r="1">
          <cell r="A1" t="str">
            <v>1월 생산실적</v>
          </cell>
        </row>
      </sheetData>
      <sheetData sheetId="989">
        <row r="1">
          <cell r="A1" t="str">
            <v>1월 생산실적</v>
          </cell>
        </row>
      </sheetData>
      <sheetData sheetId="990">
        <row r="1">
          <cell r="A1" t="str">
            <v>1월 생산실적</v>
          </cell>
        </row>
      </sheetData>
      <sheetData sheetId="991">
        <row r="1">
          <cell r="A1" t="str">
            <v>1월 생산실적</v>
          </cell>
        </row>
      </sheetData>
      <sheetData sheetId="992">
        <row r="1">
          <cell r="A1" t="str">
            <v>1월 생산실적</v>
          </cell>
        </row>
      </sheetData>
      <sheetData sheetId="993">
        <row r="1">
          <cell r="A1" t="str">
            <v>1월 생산실적</v>
          </cell>
        </row>
      </sheetData>
      <sheetData sheetId="994">
        <row r="1">
          <cell r="A1" t="str">
            <v>1월 생산실적</v>
          </cell>
        </row>
      </sheetData>
      <sheetData sheetId="995">
        <row r="1">
          <cell r="A1" t="str">
            <v>1월 생산실적</v>
          </cell>
        </row>
      </sheetData>
      <sheetData sheetId="996">
        <row r="1">
          <cell r="A1" t="str">
            <v>1월 생산실적</v>
          </cell>
        </row>
      </sheetData>
      <sheetData sheetId="997">
        <row r="1">
          <cell r="A1" t="str">
            <v>1월 생산실적</v>
          </cell>
        </row>
      </sheetData>
      <sheetData sheetId="998">
        <row r="1">
          <cell r="A1" t="str">
            <v>1월 생산실적</v>
          </cell>
        </row>
      </sheetData>
      <sheetData sheetId="999">
        <row r="1">
          <cell r="A1" t="str">
            <v>1월 생산실적</v>
          </cell>
        </row>
      </sheetData>
      <sheetData sheetId="1000">
        <row r="1">
          <cell r="A1" t="str">
            <v>1월 생산실적</v>
          </cell>
        </row>
      </sheetData>
      <sheetData sheetId="1001">
        <row r="1">
          <cell r="A1" t="str">
            <v>1월 생산실적</v>
          </cell>
        </row>
      </sheetData>
      <sheetData sheetId="1002">
        <row r="1">
          <cell r="A1" t="str">
            <v>1월 생산실적</v>
          </cell>
        </row>
      </sheetData>
      <sheetData sheetId="1003">
        <row r="6">
          <cell r="A6">
            <v>1</v>
          </cell>
        </row>
      </sheetData>
      <sheetData sheetId="1004">
        <row r="1">
          <cell r="A1" t="str">
            <v>1월 생산실적</v>
          </cell>
        </row>
      </sheetData>
      <sheetData sheetId="1005">
        <row r="6">
          <cell r="A6">
            <v>1</v>
          </cell>
        </row>
      </sheetData>
      <sheetData sheetId="1006">
        <row r="6">
          <cell r="A6">
            <v>1</v>
          </cell>
        </row>
      </sheetData>
      <sheetData sheetId="1007" refreshError="1"/>
      <sheetData sheetId="1008">
        <row r="1">
          <cell r="A1" t="str">
            <v>1월 생산실적</v>
          </cell>
        </row>
      </sheetData>
      <sheetData sheetId="1009">
        <row r="1">
          <cell r="A1" t="str">
            <v>1월 생산실적</v>
          </cell>
        </row>
      </sheetData>
      <sheetData sheetId="1010">
        <row r="1">
          <cell r="A1" t="str">
            <v>1월 생산실적</v>
          </cell>
        </row>
      </sheetData>
      <sheetData sheetId="1011">
        <row r="1">
          <cell r="A1" t="str">
            <v>1월 생산실적</v>
          </cell>
        </row>
      </sheetData>
      <sheetData sheetId="1012">
        <row r="1">
          <cell r="A1" t="str">
            <v>1월 생산실적</v>
          </cell>
        </row>
      </sheetData>
      <sheetData sheetId="1013">
        <row r="1">
          <cell r="A1" t="str">
            <v>1월 생산실적</v>
          </cell>
        </row>
      </sheetData>
      <sheetData sheetId="1014">
        <row r="1">
          <cell r="A1" t="str">
            <v>1월 생산실적</v>
          </cell>
        </row>
      </sheetData>
      <sheetData sheetId="1015">
        <row r="1">
          <cell r="A1" t="str">
            <v>1월 생산실적</v>
          </cell>
        </row>
      </sheetData>
      <sheetData sheetId="1016">
        <row r="1">
          <cell r="A1" t="str">
            <v>1월 생산실적</v>
          </cell>
        </row>
      </sheetData>
      <sheetData sheetId="1017">
        <row r="1">
          <cell r="A1" t="str">
            <v>1월 생산실적</v>
          </cell>
        </row>
      </sheetData>
      <sheetData sheetId="1018">
        <row r="1">
          <cell r="A1" t="str">
            <v>1월 생산실적</v>
          </cell>
        </row>
      </sheetData>
      <sheetData sheetId="1019">
        <row r="1">
          <cell r="A1" t="str">
            <v>1월 생산실적</v>
          </cell>
        </row>
      </sheetData>
      <sheetData sheetId="1020">
        <row r="1">
          <cell r="A1" t="str">
            <v>1월 생산실적</v>
          </cell>
        </row>
      </sheetData>
      <sheetData sheetId="1021">
        <row r="1">
          <cell r="A1" t="str">
            <v>1월 생산실적</v>
          </cell>
        </row>
      </sheetData>
      <sheetData sheetId="1022">
        <row r="1">
          <cell r="A1" t="str">
            <v>1월 생산실적</v>
          </cell>
        </row>
      </sheetData>
      <sheetData sheetId="1023">
        <row r="1">
          <cell r="A1" t="str">
            <v>1월 생산실적</v>
          </cell>
        </row>
      </sheetData>
      <sheetData sheetId="1024">
        <row r="1">
          <cell r="A1" t="str">
            <v>1월 생산실적</v>
          </cell>
        </row>
      </sheetData>
      <sheetData sheetId="1025">
        <row r="1">
          <cell r="A1" t="str">
            <v>1월 생산실적</v>
          </cell>
        </row>
      </sheetData>
      <sheetData sheetId="1026">
        <row r="1">
          <cell r="A1" t="str">
            <v>1월 생산실적</v>
          </cell>
        </row>
      </sheetData>
      <sheetData sheetId="1027">
        <row r="1">
          <cell r="A1" t="str">
            <v>1월 생산실적</v>
          </cell>
        </row>
      </sheetData>
      <sheetData sheetId="1028">
        <row r="1">
          <cell r="A1" t="str">
            <v>1월 생산실적</v>
          </cell>
        </row>
      </sheetData>
      <sheetData sheetId="1029">
        <row r="1">
          <cell r="A1" t="str">
            <v>1월 생산실적</v>
          </cell>
        </row>
      </sheetData>
      <sheetData sheetId="1030">
        <row r="1">
          <cell r="A1" t="str">
            <v>1월 생산실적</v>
          </cell>
        </row>
      </sheetData>
      <sheetData sheetId="1031">
        <row r="1">
          <cell r="A1" t="str">
            <v>1월 생산실적</v>
          </cell>
        </row>
      </sheetData>
      <sheetData sheetId="1032">
        <row r="1">
          <cell r="A1" t="str">
            <v>1월 생산실적</v>
          </cell>
        </row>
      </sheetData>
      <sheetData sheetId="1033">
        <row r="1">
          <cell r="A1" t="str">
            <v>1월 생산실적</v>
          </cell>
        </row>
      </sheetData>
      <sheetData sheetId="1034">
        <row r="1">
          <cell r="A1" t="str">
            <v>1월 생산실적</v>
          </cell>
        </row>
      </sheetData>
      <sheetData sheetId="1035">
        <row r="1">
          <cell r="A1" t="str">
            <v>1월 생산실적</v>
          </cell>
        </row>
      </sheetData>
      <sheetData sheetId="1036">
        <row r="1">
          <cell r="A1" t="str">
            <v>1월 생산실적</v>
          </cell>
        </row>
      </sheetData>
      <sheetData sheetId="1037">
        <row r="1">
          <cell r="A1" t="str">
            <v>1월 생산실적</v>
          </cell>
        </row>
      </sheetData>
      <sheetData sheetId="1038">
        <row r="1">
          <cell r="A1" t="str">
            <v>1월 생산실적</v>
          </cell>
        </row>
      </sheetData>
      <sheetData sheetId="1039">
        <row r="1">
          <cell r="A1" t="str">
            <v>1월 생산실적</v>
          </cell>
        </row>
      </sheetData>
      <sheetData sheetId="1040">
        <row r="1">
          <cell r="A1" t="str">
            <v>1월 생산실적</v>
          </cell>
        </row>
      </sheetData>
      <sheetData sheetId="1041">
        <row r="1">
          <cell r="A1" t="str">
            <v>1월 생산실적</v>
          </cell>
        </row>
      </sheetData>
      <sheetData sheetId="1042">
        <row r="1">
          <cell r="A1" t="str">
            <v>1월 생산실적</v>
          </cell>
        </row>
      </sheetData>
      <sheetData sheetId="1043">
        <row r="1">
          <cell r="A1" t="str">
            <v>1월 생산실적</v>
          </cell>
        </row>
      </sheetData>
      <sheetData sheetId="1044">
        <row r="1">
          <cell r="A1" t="str">
            <v>1월 생산실적</v>
          </cell>
        </row>
      </sheetData>
      <sheetData sheetId="1045">
        <row r="1">
          <cell r="A1" t="str">
            <v>1월 생산실적</v>
          </cell>
        </row>
      </sheetData>
      <sheetData sheetId="1046">
        <row r="1">
          <cell r="A1" t="str">
            <v>1월 생산실적</v>
          </cell>
        </row>
      </sheetData>
      <sheetData sheetId="1047">
        <row r="1">
          <cell r="A1" t="str">
            <v>1월 생산실적</v>
          </cell>
        </row>
      </sheetData>
      <sheetData sheetId="1048">
        <row r="1">
          <cell r="A1" t="str">
            <v>1월 생산실적</v>
          </cell>
        </row>
      </sheetData>
      <sheetData sheetId="1049">
        <row r="1">
          <cell r="A1" t="str">
            <v>1월 생산실적</v>
          </cell>
        </row>
      </sheetData>
      <sheetData sheetId="1050">
        <row r="1">
          <cell r="A1" t="str">
            <v>1월 생산실적</v>
          </cell>
        </row>
      </sheetData>
      <sheetData sheetId="1051">
        <row r="1">
          <cell r="A1" t="str">
            <v>1월 생산실적</v>
          </cell>
        </row>
      </sheetData>
      <sheetData sheetId="1052">
        <row r="1">
          <cell r="A1" t="str">
            <v>1월 생산실적</v>
          </cell>
        </row>
      </sheetData>
      <sheetData sheetId="1053">
        <row r="1">
          <cell r="A1" t="str">
            <v>1월 생산실적</v>
          </cell>
        </row>
      </sheetData>
      <sheetData sheetId="1054">
        <row r="1">
          <cell r="A1" t="str">
            <v>1월 생산실적</v>
          </cell>
        </row>
      </sheetData>
      <sheetData sheetId="1055">
        <row r="1">
          <cell r="A1" t="str">
            <v>1월 생산실적</v>
          </cell>
        </row>
      </sheetData>
      <sheetData sheetId="1056">
        <row r="1">
          <cell r="A1" t="str">
            <v>1월 생산실적</v>
          </cell>
        </row>
      </sheetData>
      <sheetData sheetId="1057">
        <row r="1">
          <cell r="A1" t="str">
            <v>1월 생산실적</v>
          </cell>
        </row>
      </sheetData>
      <sheetData sheetId="1058">
        <row r="1">
          <cell r="A1" t="str">
            <v>1월 생산실적</v>
          </cell>
        </row>
      </sheetData>
      <sheetData sheetId="1059">
        <row r="1">
          <cell r="A1" t="str">
            <v>1월 생산실적</v>
          </cell>
        </row>
      </sheetData>
      <sheetData sheetId="1060">
        <row r="1">
          <cell r="A1" t="str">
            <v>1월 생산실적</v>
          </cell>
        </row>
      </sheetData>
      <sheetData sheetId="1061">
        <row r="6">
          <cell r="A6">
            <v>1</v>
          </cell>
        </row>
      </sheetData>
      <sheetData sheetId="1062">
        <row r="1">
          <cell r="A1" t="str">
            <v>1월 생산실적</v>
          </cell>
        </row>
      </sheetData>
      <sheetData sheetId="1063">
        <row r="1">
          <cell r="A1" t="str">
            <v>1월 생산실적</v>
          </cell>
        </row>
      </sheetData>
      <sheetData sheetId="1064">
        <row r="1">
          <cell r="A1" t="str">
            <v>1월 생산실적</v>
          </cell>
        </row>
      </sheetData>
      <sheetData sheetId="1065">
        <row r="1">
          <cell r="A1" t="str">
            <v>1월 생산실적</v>
          </cell>
        </row>
      </sheetData>
      <sheetData sheetId="1066">
        <row r="1">
          <cell r="A1" t="str">
            <v>1월 생산실적</v>
          </cell>
        </row>
      </sheetData>
      <sheetData sheetId="1067">
        <row r="1">
          <cell r="A1" t="str">
            <v>1월 생산실적</v>
          </cell>
        </row>
      </sheetData>
      <sheetData sheetId="1068">
        <row r="1">
          <cell r="A1" t="str">
            <v>1월 생산실적</v>
          </cell>
        </row>
      </sheetData>
      <sheetData sheetId="1069">
        <row r="1">
          <cell r="A1" t="str">
            <v>1월 생산실적</v>
          </cell>
        </row>
      </sheetData>
      <sheetData sheetId="1070">
        <row r="1">
          <cell r="A1" t="str">
            <v>1월 생산실적</v>
          </cell>
        </row>
      </sheetData>
      <sheetData sheetId="1071">
        <row r="1">
          <cell r="A1" t="str">
            <v>1월 생산실적</v>
          </cell>
        </row>
      </sheetData>
      <sheetData sheetId="1072">
        <row r="1">
          <cell r="A1" t="str">
            <v>1월 생산실적</v>
          </cell>
        </row>
      </sheetData>
      <sheetData sheetId="1073">
        <row r="1">
          <cell r="A1" t="str">
            <v>1월 생산실적</v>
          </cell>
        </row>
      </sheetData>
      <sheetData sheetId="1074">
        <row r="1">
          <cell r="A1" t="str">
            <v>1월 생산실적</v>
          </cell>
        </row>
      </sheetData>
      <sheetData sheetId="1075">
        <row r="1">
          <cell r="A1" t="str">
            <v>1월 생산실적</v>
          </cell>
        </row>
      </sheetData>
      <sheetData sheetId="1076">
        <row r="1">
          <cell r="A1" t="str">
            <v>1월 생산실적</v>
          </cell>
        </row>
      </sheetData>
      <sheetData sheetId="1077">
        <row r="1">
          <cell r="A1" t="str">
            <v>1월 생산실적</v>
          </cell>
        </row>
      </sheetData>
      <sheetData sheetId="1078">
        <row r="1">
          <cell r="A1" t="str">
            <v>1월 생산실적</v>
          </cell>
        </row>
      </sheetData>
      <sheetData sheetId="1079">
        <row r="1">
          <cell r="A1" t="str">
            <v>1월 생산실적</v>
          </cell>
        </row>
      </sheetData>
      <sheetData sheetId="1080">
        <row r="1">
          <cell r="A1" t="str">
            <v>1월 생산실적</v>
          </cell>
        </row>
      </sheetData>
      <sheetData sheetId="1081">
        <row r="1">
          <cell r="A1" t="str">
            <v>1월 생산실적</v>
          </cell>
        </row>
      </sheetData>
      <sheetData sheetId="1082">
        <row r="1">
          <cell r="A1" t="str">
            <v>1월 생산실적</v>
          </cell>
        </row>
      </sheetData>
      <sheetData sheetId="1083">
        <row r="1">
          <cell r="A1" t="str">
            <v>1월 생산실적</v>
          </cell>
        </row>
      </sheetData>
      <sheetData sheetId="1084">
        <row r="1">
          <cell r="A1" t="str">
            <v>1월 생산실적</v>
          </cell>
        </row>
      </sheetData>
      <sheetData sheetId="1085">
        <row r="1">
          <cell r="A1" t="str">
            <v>1월 생산실적</v>
          </cell>
        </row>
      </sheetData>
      <sheetData sheetId="1086">
        <row r="1">
          <cell r="A1" t="str">
            <v>1월 생산실적</v>
          </cell>
        </row>
      </sheetData>
      <sheetData sheetId="1087">
        <row r="1">
          <cell r="A1" t="str">
            <v>1월 생산실적</v>
          </cell>
        </row>
      </sheetData>
      <sheetData sheetId="1088">
        <row r="1">
          <cell r="A1" t="str">
            <v>1월 생산실적</v>
          </cell>
        </row>
      </sheetData>
      <sheetData sheetId="1089">
        <row r="1">
          <cell r="A1" t="str">
            <v>1월 생산실적</v>
          </cell>
        </row>
      </sheetData>
      <sheetData sheetId="1090">
        <row r="1">
          <cell r="A1" t="str">
            <v>1월 생산실적</v>
          </cell>
        </row>
      </sheetData>
      <sheetData sheetId="1091">
        <row r="1">
          <cell r="A1" t="str">
            <v>1월 생산실적</v>
          </cell>
        </row>
      </sheetData>
      <sheetData sheetId="1092">
        <row r="1">
          <cell r="A1" t="str">
            <v>1월 생산실적</v>
          </cell>
        </row>
      </sheetData>
      <sheetData sheetId="1093">
        <row r="1">
          <cell r="A1" t="str">
            <v>1월 생산실적</v>
          </cell>
        </row>
      </sheetData>
      <sheetData sheetId="1094">
        <row r="1">
          <cell r="A1" t="str">
            <v>1월 생산실적</v>
          </cell>
        </row>
      </sheetData>
      <sheetData sheetId="1095">
        <row r="1">
          <cell r="A1" t="str">
            <v>1월 생산실적</v>
          </cell>
        </row>
      </sheetData>
      <sheetData sheetId="1096">
        <row r="1">
          <cell r="A1" t="str">
            <v>1월 생산실적</v>
          </cell>
        </row>
      </sheetData>
      <sheetData sheetId="1097">
        <row r="1">
          <cell r="A1" t="str">
            <v>1월 생산실적</v>
          </cell>
        </row>
      </sheetData>
      <sheetData sheetId="1098">
        <row r="6">
          <cell r="A6">
            <v>1</v>
          </cell>
        </row>
      </sheetData>
      <sheetData sheetId="1099">
        <row r="6">
          <cell r="A6">
            <v>1</v>
          </cell>
        </row>
      </sheetData>
      <sheetData sheetId="1100">
        <row r="6">
          <cell r="A6">
            <v>1</v>
          </cell>
        </row>
      </sheetData>
      <sheetData sheetId="1101">
        <row r="6">
          <cell r="A6">
            <v>1</v>
          </cell>
        </row>
      </sheetData>
      <sheetData sheetId="1102">
        <row r="1">
          <cell r="A1" t="str">
            <v>1월 생산실적</v>
          </cell>
        </row>
      </sheetData>
      <sheetData sheetId="1103">
        <row r="1">
          <cell r="A1" t="str">
            <v>1월 생산실적</v>
          </cell>
        </row>
      </sheetData>
      <sheetData sheetId="1104">
        <row r="1">
          <cell r="A1" t="str">
            <v>1월 생산실적</v>
          </cell>
        </row>
      </sheetData>
      <sheetData sheetId="1105">
        <row r="1">
          <cell r="A1" t="str">
            <v>1월 생산실적</v>
          </cell>
        </row>
      </sheetData>
      <sheetData sheetId="1106">
        <row r="1">
          <cell r="A1" t="str">
            <v>1월 생산실적</v>
          </cell>
        </row>
      </sheetData>
      <sheetData sheetId="1107">
        <row r="6">
          <cell r="A6">
            <v>1</v>
          </cell>
        </row>
      </sheetData>
      <sheetData sheetId="1108">
        <row r="1">
          <cell r="A1" t="str">
            <v>1월 생산실적</v>
          </cell>
        </row>
      </sheetData>
      <sheetData sheetId="1109">
        <row r="1">
          <cell r="A1" t="str">
            <v>1월 생산실적</v>
          </cell>
        </row>
      </sheetData>
      <sheetData sheetId="1110">
        <row r="1">
          <cell r="A1" t="str">
            <v>1월 생산실적</v>
          </cell>
        </row>
      </sheetData>
      <sheetData sheetId="1111">
        <row r="1">
          <cell r="A1" t="str">
            <v>1월 생산실적</v>
          </cell>
        </row>
      </sheetData>
      <sheetData sheetId="1112">
        <row r="1">
          <cell r="A1" t="str">
            <v>1월 생산실적</v>
          </cell>
        </row>
      </sheetData>
      <sheetData sheetId="1113" refreshError="1"/>
      <sheetData sheetId="1114" refreshError="1"/>
      <sheetData sheetId="1115"/>
      <sheetData sheetId="1116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>
        <row r="6">
          <cell r="A6">
            <v>1</v>
          </cell>
        </row>
      </sheetData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/>
      <sheetData sheetId="1483" refreshError="1"/>
      <sheetData sheetId="1484"/>
      <sheetData sheetId="1485">
        <row r="1">
          <cell r="A1" t="str">
            <v>1월 생산실적</v>
          </cell>
        </row>
      </sheetData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>
        <row r="6">
          <cell r="A6">
            <v>1</v>
          </cell>
        </row>
      </sheetData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/>
      <sheetData sheetId="1657"/>
      <sheetData sheetId="1658">
        <row r="1">
          <cell r="A1" t="str">
            <v>1월 생산실적</v>
          </cell>
        </row>
      </sheetData>
      <sheetData sheetId="1659"/>
      <sheetData sheetId="1660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/>
      <sheetData sheetId="1700">
        <row r="6">
          <cell r="A6">
            <v>1</v>
          </cell>
        </row>
      </sheetData>
      <sheetData sheetId="1701"/>
      <sheetData sheetId="1702"/>
      <sheetData sheetId="1703"/>
      <sheetData sheetId="1704">
        <row r="1">
          <cell r="A1" t="str">
            <v>1월 생산실적</v>
          </cell>
        </row>
      </sheetData>
      <sheetData sheetId="1705">
        <row r="1">
          <cell r="A1" t="str">
            <v>1월 생산실적</v>
          </cell>
        </row>
      </sheetData>
      <sheetData sheetId="1706">
        <row r="1">
          <cell r="A1" t="str">
            <v>1월 생산실적</v>
          </cell>
        </row>
      </sheetData>
      <sheetData sheetId="1707">
        <row r="1">
          <cell r="A1" t="str">
            <v>1월 생산실적</v>
          </cell>
        </row>
      </sheetData>
      <sheetData sheetId="1708">
        <row r="1">
          <cell r="A1" t="str">
            <v>1월 생산실적</v>
          </cell>
        </row>
      </sheetData>
      <sheetData sheetId="1709">
        <row r="6">
          <cell r="A6">
            <v>1</v>
          </cell>
        </row>
      </sheetData>
      <sheetData sheetId="1710">
        <row r="6">
          <cell r="A6">
            <v>1</v>
          </cell>
        </row>
      </sheetData>
      <sheetData sheetId="1711"/>
      <sheetData sheetId="1712"/>
      <sheetData sheetId="1713"/>
      <sheetData sheetId="1714">
        <row r="6">
          <cell r="A6">
            <v>1</v>
          </cell>
        </row>
      </sheetData>
      <sheetData sheetId="1715">
        <row r="1">
          <cell r="A1" t="str">
            <v>1월 생산실적</v>
          </cell>
        </row>
      </sheetData>
      <sheetData sheetId="1716">
        <row r="6">
          <cell r="A6">
            <v>1</v>
          </cell>
        </row>
      </sheetData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>
        <row r="1">
          <cell r="A1" t="str">
            <v>1월 생산실적</v>
          </cell>
        </row>
      </sheetData>
      <sheetData sheetId="1829">
        <row r="1">
          <cell r="A1" t="str">
            <v>1월 생산실적</v>
          </cell>
        </row>
      </sheetData>
      <sheetData sheetId="1830">
        <row r="1">
          <cell r="A1" t="str">
            <v>1월 생산실적</v>
          </cell>
        </row>
      </sheetData>
      <sheetData sheetId="1831">
        <row r="1">
          <cell r="A1" t="str">
            <v>1월 생산실적</v>
          </cell>
        </row>
      </sheetData>
      <sheetData sheetId="1832">
        <row r="1">
          <cell r="A1" t="str">
            <v>1월 생산실적</v>
          </cell>
        </row>
      </sheetData>
      <sheetData sheetId="1833">
        <row r="1">
          <cell r="A1" t="str">
            <v>1월 생산실적</v>
          </cell>
        </row>
      </sheetData>
      <sheetData sheetId="1834">
        <row r="1">
          <cell r="A1" t="str">
            <v>1월 생산실적</v>
          </cell>
        </row>
      </sheetData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>
        <row r="1">
          <cell r="A1" t="str">
            <v>1월 생산실적</v>
          </cell>
        </row>
      </sheetData>
      <sheetData sheetId="1932">
        <row r="1">
          <cell r="A1" t="str">
            <v>1월 생산실적</v>
          </cell>
        </row>
      </sheetData>
      <sheetData sheetId="1933">
        <row r="1">
          <cell r="A1" t="str">
            <v>1월 생산실적</v>
          </cell>
        </row>
      </sheetData>
      <sheetData sheetId="1934">
        <row r="1">
          <cell r="A1" t="str">
            <v>1월 생산실적</v>
          </cell>
        </row>
      </sheetData>
      <sheetData sheetId="1935">
        <row r="1">
          <cell r="A1" t="str">
            <v>1월 생산실적</v>
          </cell>
        </row>
      </sheetData>
      <sheetData sheetId="1936">
        <row r="1">
          <cell r="A1" t="str">
            <v>1월 생산실적</v>
          </cell>
        </row>
      </sheetData>
      <sheetData sheetId="1937">
        <row r="1">
          <cell r="A1" t="str">
            <v>1월 생산실적</v>
          </cell>
        </row>
      </sheetData>
      <sheetData sheetId="1938">
        <row r="1">
          <cell r="A1" t="str">
            <v>1월 생산실적</v>
          </cell>
        </row>
      </sheetData>
      <sheetData sheetId="1939">
        <row r="1">
          <cell r="A1" t="str">
            <v>1월 생산실적</v>
          </cell>
        </row>
      </sheetData>
      <sheetData sheetId="1940">
        <row r="1">
          <cell r="A1" t="str">
            <v>1월 생산실적</v>
          </cell>
        </row>
      </sheetData>
      <sheetData sheetId="1941">
        <row r="1">
          <cell r="A1" t="str">
            <v>1월 생산실적</v>
          </cell>
        </row>
      </sheetData>
      <sheetData sheetId="1942">
        <row r="1">
          <cell r="A1" t="str">
            <v>1월 생산실적</v>
          </cell>
        </row>
      </sheetData>
      <sheetData sheetId="1943">
        <row r="1">
          <cell r="A1" t="str">
            <v>1월 생산실적</v>
          </cell>
        </row>
      </sheetData>
      <sheetData sheetId="1944">
        <row r="1">
          <cell r="A1" t="str">
            <v>1월 생산실적</v>
          </cell>
        </row>
      </sheetData>
      <sheetData sheetId="1945">
        <row r="1">
          <cell r="A1" t="str">
            <v>1월 생산실적</v>
          </cell>
        </row>
      </sheetData>
      <sheetData sheetId="1946">
        <row r="1">
          <cell r="A1" t="str">
            <v>1월 생산실적</v>
          </cell>
        </row>
      </sheetData>
      <sheetData sheetId="1947">
        <row r="1">
          <cell r="A1" t="str">
            <v>1월 생산실적</v>
          </cell>
        </row>
      </sheetData>
      <sheetData sheetId="1948">
        <row r="1">
          <cell r="A1" t="str">
            <v>1월 생산실적</v>
          </cell>
        </row>
      </sheetData>
      <sheetData sheetId="1949">
        <row r="1">
          <cell r="A1" t="str">
            <v>1월 생산실적</v>
          </cell>
        </row>
      </sheetData>
      <sheetData sheetId="1950">
        <row r="1">
          <cell r="A1" t="str">
            <v>1월 생산실적</v>
          </cell>
        </row>
      </sheetData>
      <sheetData sheetId="1951">
        <row r="1">
          <cell r="A1" t="str">
            <v>1월 생산실적</v>
          </cell>
        </row>
      </sheetData>
      <sheetData sheetId="1952">
        <row r="1">
          <cell r="A1" t="str">
            <v>1월 생산실적</v>
          </cell>
        </row>
      </sheetData>
      <sheetData sheetId="1953">
        <row r="1">
          <cell r="A1" t="str">
            <v>1월 생산실적</v>
          </cell>
        </row>
      </sheetData>
      <sheetData sheetId="1954">
        <row r="1">
          <cell r="A1" t="str">
            <v>1월 생산실적</v>
          </cell>
        </row>
      </sheetData>
      <sheetData sheetId="1955">
        <row r="1">
          <cell r="A1" t="str">
            <v>1월 생산실적</v>
          </cell>
        </row>
      </sheetData>
      <sheetData sheetId="1956">
        <row r="1">
          <cell r="A1" t="str">
            <v>1월 생산실적</v>
          </cell>
        </row>
      </sheetData>
      <sheetData sheetId="1957">
        <row r="1">
          <cell r="A1" t="str">
            <v>1월 생산실적</v>
          </cell>
        </row>
      </sheetData>
      <sheetData sheetId="1958">
        <row r="1">
          <cell r="A1" t="str">
            <v>1월 생산실적</v>
          </cell>
        </row>
      </sheetData>
      <sheetData sheetId="1959" refreshError="1"/>
      <sheetData sheetId="1960" refreshError="1"/>
      <sheetData sheetId="1961" refreshError="1"/>
      <sheetData sheetId="1962" refreshError="1"/>
      <sheetData sheetId="1963">
        <row r="1">
          <cell r="A1" t="str">
            <v>1월 생산실적</v>
          </cell>
        </row>
      </sheetData>
      <sheetData sheetId="1964">
        <row r="1">
          <cell r="A1" t="str">
            <v>1월 생산실적</v>
          </cell>
        </row>
      </sheetData>
      <sheetData sheetId="1965">
        <row r="1">
          <cell r="A1" t="str">
            <v>1월 생산실적</v>
          </cell>
        </row>
      </sheetData>
      <sheetData sheetId="1966">
        <row r="1">
          <cell r="A1" t="str">
            <v>1월 생산실적</v>
          </cell>
        </row>
      </sheetData>
      <sheetData sheetId="1967">
        <row r="1">
          <cell r="A1" t="str">
            <v>1월 생산실적</v>
          </cell>
        </row>
      </sheetData>
      <sheetData sheetId="1968">
        <row r="1">
          <cell r="A1" t="str">
            <v>1월 생산실적</v>
          </cell>
        </row>
      </sheetData>
      <sheetData sheetId="1969">
        <row r="1">
          <cell r="A1" t="str">
            <v>1월 생산실적</v>
          </cell>
        </row>
      </sheetData>
      <sheetData sheetId="1970" refreshError="1"/>
      <sheetData sheetId="1971" refreshError="1"/>
      <sheetData sheetId="1972">
        <row r="1">
          <cell r="A1" t="str">
            <v>1월 생산실적</v>
          </cell>
        </row>
      </sheetData>
      <sheetData sheetId="1973">
        <row r="1">
          <cell r="A1" t="str">
            <v>1월 생산실적</v>
          </cell>
        </row>
      </sheetData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>
        <row r="1">
          <cell r="A1" t="str">
            <v>1월 생산실적</v>
          </cell>
        </row>
      </sheetData>
      <sheetData sheetId="1988">
        <row r="1">
          <cell r="A1" t="str">
            <v>1월 생산실적</v>
          </cell>
        </row>
      </sheetData>
      <sheetData sheetId="1989">
        <row r="1">
          <cell r="A1" t="str">
            <v>1월 생산실적</v>
          </cell>
        </row>
      </sheetData>
      <sheetData sheetId="1990">
        <row r="1">
          <cell r="A1" t="str">
            <v>1월 생산실적</v>
          </cell>
        </row>
      </sheetData>
      <sheetData sheetId="1991">
        <row r="1">
          <cell r="A1" t="str">
            <v>1월 생산실적</v>
          </cell>
        </row>
      </sheetData>
      <sheetData sheetId="1992">
        <row r="1">
          <cell r="A1" t="str">
            <v>1월 생산실적</v>
          </cell>
        </row>
      </sheetData>
      <sheetData sheetId="1993">
        <row r="1">
          <cell r="A1" t="str">
            <v>1월 생산실적</v>
          </cell>
        </row>
      </sheetData>
      <sheetData sheetId="1994">
        <row r="1">
          <cell r="A1" t="str">
            <v>1월 생산실적</v>
          </cell>
        </row>
      </sheetData>
      <sheetData sheetId="1995">
        <row r="1">
          <cell r="A1" t="str">
            <v>1월 생산실적</v>
          </cell>
        </row>
      </sheetData>
      <sheetData sheetId="1996">
        <row r="1">
          <cell r="A1" t="str">
            <v>1월 생산실적</v>
          </cell>
        </row>
      </sheetData>
      <sheetData sheetId="1997">
        <row r="1">
          <cell r="A1" t="str">
            <v>1월 생산실적</v>
          </cell>
        </row>
      </sheetData>
      <sheetData sheetId="1998">
        <row r="1">
          <cell r="A1" t="str">
            <v>1월 생산실적</v>
          </cell>
        </row>
      </sheetData>
      <sheetData sheetId="1999">
        <row r="1">
          <cell r="A1" t="str">
            <v>1월 생산실적</v>
          </cell>
        </row>
      </sheetData>
      <sheetData sheetId="2000">
        <row r="1">
          <cell r="A1" t="str">
            <v>1월 생산실적</v>
          </cell>
        </row>
      </sheetData>
      <sheetData sheetId="2001">
        <row r="1">
          <cell r="A1" t="str">
            <v>1월 생산실적</v>
          </cell>
        </row>
      </sheetData>
      <sheetData sheetId="2002">
        <row r="1">
          <cell r="A1" t="str">
            <v>1월 생산실적</v>
          </cell>
        </row>
      </sheetData>
      <sheetData sheetId="2003">
        <row r="1">
          <cell r="A1" t="str">
            <v>1월 생산실적</v>
          </cell>
        </row>
      </sheetData>
      <sheetData sheetId="2004">
        <row r="1">
          <cell r="A1" t="str">
            <v>1월 생산실적</v>
          </cell>
        </row>
      </sheetData>
      <sheetData sheetId="2005">
        <row r="1">
          <cell r="A1" t="str">
            <v>1월 생산실적</v>
          </cell>
        </row>
      </sheetData>
      <sheetData sheetId="2006">
        <row r="1">
          <cell r="A1" t="str">
            <v>1월 생산실적</v>
          </cell>
        </row>
      </sheetData>
      <sheetData sheetId="2007">
        <row r="6">
          <cell r="A6">
            <v>1</v>
          </cell>
        </row>
      </sheetData>
      <sheetData sheetId="2008">
        <row r="6">
          <cell r="A6">
            <v>1</v>
          </cell>
        </row>
      </sheetData>
      <sheetData sheetId="2009">
        <row r="6">
          <cell r="A6">
            <v>1</v>
          </cell>
        </row>
      </sheetData>
      <sheetData sheetId="2010">
        <row r="6">
          <cell r="A6">
            <v>1</v>
          </cell>
        </row>
      </sheetData>
      <sheetData sheetId="2011">
        <row r="6">
          <cell r="A6">
            <v>1</v>
          </cell>
        </row>
      </sheetData>
      <sheetData sheetId="2012">
        <row r="1">
          <cell r="A1" t="str">
            <v>1월 생산실적</v>
          </cell>
        </row>
      </sheetData>
      <sheetData sheetId="2013">
        <row r="6">
          <cell r="A6">
            <v>1</v>
          </cell>
        </row>
      </sheetData>
      <sheetData sheetId="2014">
        <row r="6">
          <cell r="A6">
            <v>1</v>
          </cell>
        </row>
      </sheetData>
      <sheetData sheetId="2015">
        <row r="6">
          <cell r="A6">
            <v>1</v>
          </cell>
        </row>
      </sheetData>
      <sheetData sheetId="2016">
        <row r="6">
          <cell r="A6">
            <v>1</v>
          </cell>
        </row>
      </sheetData>
      <sheetData sheetId="2017">
        <row r="6">
          <cell r="A6">
            <v>1</v>
          </cell>
        </row>
      </sheetData>
      <sheetData sheetId="2018">
        <row r="6">
          <cell r="A6">
            <v>1</v>
          </cell>
        </row>
      </sheetData>
      <sheetData sheetId="2019">
        <row r="6">
          <cell r="A6">
            <v>1</v>
          </cell>
        </row>
      </sheetData>
      <sheetData sheetId="2020">
        <row r="6">
          <cell r="A6">
            <v>1</v>
          </cell>
        </row>
      </sheetData>
      <sheetData sheetId="2021">
        <row r="6">
          <cell r="A6">
            <v>1</v>
          </cell>
        </row>
      </sheetData>
      <sheetData sheetId="2022">
        <row r="6">
          <cell r="A6">
            <v>1</v>
          </cell>
        </row>
      </sheetData>
      <sheetData sheetId="2023">
        <row r="1">
          <cell r="A1" t="str">
            <v>1월 생산실적</v>
          </cell>
        </row>
      </sheetData>
      <sheetData sheetId="2024">
        <row r="1">
          <cell r="A1" t="str">
            <v>1월 생산실적</v>
          </cell>
        </row>
      </sheetData>
      <sheetData sheetId="2025">
        <row r="1">
          <cell r="A1" t="str">
            <v>1월 생산실적</v>
          </cell>
        </row>
      </sheetData>
      <sheetData sheetId="2026">
        <row r="1">
          <cell r="A1" t="str">
            <v>1월 생산실적</v>
          </cell>
        </row>
      </sheetData>
      <sheetData sheetId="2027">
        <row r="1">
          <cell r="A1" t="str">
            <v>1월 생산실적</v>
          </cell>
        </row>
      </sheetData>
      <sheetData sheetId="2028">
        <row r="1">
          <cell r="A1" t="str">
            <v>1월 생산실적</v>
          </cell>
        </row>
      </sheetData>
      <sheetData sheetId="2029">
        <row r="1">
          <cell r="A1" t="str">
            <v>1월 생산실적</v>
          </cell>
        </row>
      </sheetData>
      <sheetData sheetId="2030">
        <row r="1">
          <cell r="A1" t="str">
            <v>1월 생산실적</v>
          </cell>
        </row>
      </sheetData>
      <sheetData sheetId="2031">
        <row r="1">
          <cell r="A1" t="str">
            <v>1월 생산실적</v>
          </cell>
        </row>
      </sheetData>
      <sheetData sheetId="2032">
        <row r="6">
          <cell r="A6">
            <v>1</v>
          </cell>
        </row>
      </sheetData>
      <sheetData sheetId="2033">
        <row r="1">
          <cell r="A1" t="str">
            <v>1월 생산실적</v>
          </cell>
        </row>
      </sheetData>
      <sheetData sheetId="2034">
        <row r="1">
          <cell r="A1" t="str">
            <v>1월 생산실적</v>
          </cell>
        </row>
      </sheetData>
      <sheetData sheetId="2035">
        <row r="1">
          <cell r="A1" t="str">
            <v>1월 생산실적</v>
          </cell>
        </row>
      </sheetData>
      <sheetData sheetId="2036">
        <row r="1">
          <cell r="A1" t="str">
            <v>1월 생산실적</v>
          </cell>
        </row>
      </sheetData>
      <sheetData sheetId="2037">
        <row r="1">
          <cell r="A1" t="str">
            <v>1월 생산실적</v>
          </cell>
        </row>
      </sheetData>
      <sheetData sheetId="2038">
        <row r="1">
          <cell r="A1" t="str">
            <v>1월 생산실적</v>
          </cell>
        </row>
      </sheetData>
      <sheetData sheetId="2039">
        <row r="1">
          <cell r="A1" t="str">
            <v>1월 생산실적</v>
          </cell>
        </row>
      </sheetData>
      <sheetData sheetId="2040">
        <row r="1">
          <cell r="A1" t="str">
            <v>1월 생산실적</v>
          </cell>
        </row>
      </sheetData>
      <sheetData sheetId="2041">
        <row r="1">
          <cell r="A1" t="str">
            <v>1월 생산실적</v>
          </cell>
        </row>
      </sheetData>
      <sheetData sheetId="2042">
        <row r="1">
          <cell r="A1" t="str">
            <v>1월 생산실적</v>
          </cell>
        </row>
      </sheetData>
      <sheetData sheetId="2043">
        <row r="1">
          <cell r="A1" t="str">
            <v>1월 생산실적</v>
          </cell>
        </row>
      </sheetData>
      <sheetData sheetId="2044">
        <row r="1">
          <cell r="A1" t="str">
            <v>1월 생산실적</v>
          </cell>
        </row>
      </sheetData>
      <sheetData sheetId="2045">
        <row r="1">
          <cell r="A1" t="str">
            <v>1월 생산실적</v>
          </cell>
        </row>
      </sheetData>
      <sheetData sheetId="2046">
        <row r="1">
          <cell r="A1" t="str">
            <v>1월 생산실적</v>
          </cell>
        </row>
      </sheetData>
      <sheetData sheetId="2047">
        <row r="1">
          <cell r="A1" t="str">
            <v>1월 생산실적</v>
          </cell>
        </row>
      </sheetData>
      <sheetData sheetId="2048">
        <row r="1">
          <cell r="A1" t="str">
            <v>1월 생산실적</v>
          </cell>
        </row>
      </sheetData>
      <sheetData sheetId="2049">
        <row r="1">
          <cell r="A1" t="str">
            <v>1월 생산실적</v>
          </cell>
        </row>
      </sheetData>
      <sheetData sheetId="2050">
        <row r="1">
          <cell r="A1" t="str">
            <v>1월 생산실적</v>
          </cell>
        </row>
      </sheetData>
      <sheetData sheetId="2051">
        <row r="1">
          <cell r="A1" t="str">
            <v>1월 생산실적</v>
          </cell>
        </row>
      </sheetData>
      <sheetData sheetId="2052">
        <row r="1">
          <cell r="A1" t="str">
            <v>1월 생산실적</v>
          </cell>
        </row>
      </sheetData>
      <sheetData sheetId="2053">
        <row r="1">
          <cell r="A1" t="str">
            <v>1월 생산실적</v>
          </cell>
        </row>
      </sheetData>
      <sheetData sheetId="2054">
        <row r="1">
          <cell r="A1" t="str">
            <v>1월 생산실적</v>
          </cell>
        </row>
      </sheetData>
      <sheetData sheetId="2055">
        <row r="1">
          <cell r="A1" t="str">
            <v>1월 생산실적</v>
          </cell>
        </row>
      </sheetData>
      <sheetData sheetId="2056">
        <row r="1">
          <cell r="A1" t="str">
            <v>1월 생산실적</v>
          </cell>
        </row>
      </sheetData>
      <sheetData sheetId="2057">
        <row r="1">
          <cell r="A1" t="str">
            <v>1월 생산실적</v>
          </cell>
        </row>
      </sheetData>
      <sheetData sheetId="2058">
        <row r="1">
          <cell r="A1" t="str">
            <v>1월 생산실적</v>
          </cell>
        </row>
      </sheetData>
      <sheetData sheetId="2059">
        <row r="1">
          <cell r="A1" t="str">
            <v>1월 생산실적</v>
          </cell>
        </row>
      </sheetData>
      <sheetData sheetId="2060">
        <row r="1">
          <cell r="A1" t="str">
            <v>1월 생산실적</v>
          </cell>
        </row>
      </sheetData>
      <sheetData sheetId="2061">
        <row r="1">
          <cell r="A1" t="str">
            <v>1월 생산실적</v>
          </cell>
        </row>
      </sheetData>
      <sheetData sheetId="2062">
        <row r="1">
          <cell r="A1" t="str">
            <v>1월 생산실적</v>
          </cell>
        </row>
      </sheetData>
      <sheetData sheetId="2063">
        <row r="1">
          <cell r="A1" t="str">
            <v>1월 생산실적</v>
          </cell>
        </row>
      </sheetData>
      <sheetData sheetId="2064">
        <row r="1">
          <cell r="A1" t="str">
            <v>1월 생산실적</v>
          </cell>
        </row>
      </sheetData>
      <sheetData sheetId="2065">
        <row r="1">
          <cell r="A1" t="str">
            <v>1월 생산실적</v>
          </cell>
        </row>
      </sheetData>
      <sheetData sheetId="2066">
        <row r="1">
          <cell r="A1" t="str">
            <v>1월 생산실적</v>
          </cell>
        </row>
      </sheetData>
      <sheetData sheetId="2067">
        <row r="1">
          <cell r="A1" t="str">
            <v>1월 생산실적</v>
          </cell>
        </row>
      </sheetData>
      <sheetData sheetId="2068">
        <row r="1">
          <cell r="A1" t="str">
            <v>1월 생산실적</v>
          </cell>
        </row>
      </sheetData>
      <sheetData sheetId="2069">
        <row r="1">
          <cell r="A1" t="str">
            <v>1월 생산실적</v>
          </cell>
        </row>
      </sheetData>
      <sheetData sheetId="2070">
        <row r="1">
          <cell r="A1" t="str">
            <v>1월 생산실적</v>
          </cell>
        </row>
      </sheetData>
      <sheetData sheetId="2071">
        <row r="1">
          <cell r="A1" t="str">
            <v>1월 생산실적</v>
          </cell>
        </row>
      </sheetData>
      <sheetData sheetId="2072">
        <row r="1">
          <cell r="A1" t="str">
            <v>1월 생산실적</v>
          </cell>
        </row>
      </sheetData>
      <sheetData sheetId="2073">
        <row r="1">
          <cell r="A1" t="str">
            <v>1월 생산실적</v>
          </cell>
        </row>
      </sheetData>
      <sheetData sheetId="2074">
        <row r="1">
          <cell r="A1" t="str">
            <v>1월 생산실적</v>
          </cell>
        </row>
      </sheetData>
      <sheetData sheetId="2075">
        <row r="1">
          <cell r="A1" t="str">
            <v>1월 생산실적</v>
          </cell>
        </row>
      </sheetData>
      <sheetData sheetId="2076">
        <row r="1">
          <cell r="A1" t="str">
            <v>1월 생산실적</v>
          </cell>
        </row>
      </sheetData>
      <sheetData sheetId="2077">
        <row r="1">
          <cell r="A1" t="str">
            <v>1월 생산실적</v>
          </cell>
        </row>
      </sheetData>
      <sheetData sheetId="2078">
        <row r="1">
          <cell r="A1" t="str">
            <v>1월 생산실적</v>
          </cell>
        </row>
      </sheetData>
      <sheetData sheetId="2079">
        <row r="1">
          <cell r="A1" t="str">
            <v>1월 생산실적</v>
          </cell>
        </row>
      </sheetData>
      <sheetData sheetId="2080">
        <row r="1">
          <cell r="A1" t="str">
            <v>1월 생산실적</v>
          </cell>
        </row>
      </sheetData>
      <sheetData sheetId="2081">
        <row r="1">
          <cell r="A1" t="str">
            <v>1월 생산실적</v>
          </cell>
        </row>
      </sheetData>
      <sheetData sheetId="2082">
        <row r="1">
          <cell r="A1" t="str">
            <v>1월 생산실적</v>
          </cell>
        </row>
      </sheetData>
      <sheetData sheetId="2083">
        <row r="1">
          <cell r="A1" t="str">
            <v>1월 생산실적</v>
          </cell>
        </row>
      </sheetData>
      <sheetData sheetId="2084">
        <row r="1">
          <cell r="A1" t="str">
            <v>1월 생산실적</v>
          </cell>
        </row>
      </sheetData>
      <sheetData sheetId="2085">
        <row r="1">
          <cell r="A1" t="str">
            <v>1월 생산실적</v>
          </cell>
        </row>
      </sheetData>
      <sheetData sheetId="2086">
        <row r="1">
          <cell r="A1" t="str">
            <v>1월 생산실적</v>
          </cell>
        </row>
      </sheetData>
      <sheetData sheetId="2087">
        <row r="1">
          <cell r="A1" t="str">
            <v>1월 생산실적</v>
          </cell>
        </row>
      </sheetData>
      <sheetData sheetId="2088">
        <row r="1">
          <cell r="A1" t="str">
            <v>1월 생산실적</v>
          </cell>
        </row>
      </sheetData>
      <sheetData sheetId="2089">
        <row r="1">
          <cell r="A1" t="str">
            <v>1월 생산실적</v>
          </cell>
        </row>
      </sheetData>
      <sheetData sheetId="2090">
        <row r="1">
          <cell r="A1" t="str">
            <v>1월 생산실적</v>
          </cell>
        </row>
      </sheetData>
      <sheetData sheetId="2091">
        <row r="1">
          <cell r="A1" t="str">
            <v>1월 생산실적</v>
          </cell>
        </row>
      </sheetData>
      <sheetData sheetId="2092">
        <row r="1">
          <cell r="A1" t="str">
            <v>1월 생산실적</v>
          </cell>
        </row>
      </sheetData>
      <sheetData sheetId="2093">
        <row r="1">
          <cell r="A1" t="str">
            <v>1월 생산실적</v>
          </cell>
        </row>
      </sheetData>
      <sheetData sheetId="2094">
        <row r="1">
          <cell r="A1" t="str">
            <v>1월 생산실적</v>
          </cell>
        </row>
      </sheetData>
      <sheetData sheetId="2095">
        <row r="1">
          <cell r="A1" t="str">
            <v>1월 생산실적</v>
          </cell>
        </row>
      </sheetData>
      <sheetData sheetId="2096">
        <row r="1">
          <cell r="A1" t="str">
            <v>1월 생산실적</v>
          </cell>
        </row>
      </sheetData>
      <sheetData sheetId="2097">
        <row r="1">
          <cell r="A1" t="str">
            <v>1월 생산실적</v>
          </cell>
        </row>
      </sheetData>
      <sheetData sheetId="2098">
        <row r="1">
          <cell r="A1" t="str">
            <v>1월 생산실적</v>
          </cell>
        </row>
      </sheetData>
      <sheetData sheetId="2099">
        <row r="1">
          <cell r="A1" t="str">
            <v>1월 생산실적</v>
          </cell>
        </row>
      </sheetData>
      <sheetData sheetId="2100">
        <row r="1">
          <cell r="A1" t="str">
            <v>1월 생산실적</v>
          </cell>
        </row>
      </sheetData>
      <sheetData sheetId="2101">
        <row r="1">
          <cell r="A1" t="str">
            <v>1월 생산실적</v>
          </cell>
        </row>
      </sheetData>
      <sheetData sheetId="2102">
        <row r="1">
          <cell r="A1" t="str">
            <v>1월 생산실적</v>
          </cell>
        </row>
      </sheetData>
      <sheetData sheetId="2103">
        <row r="1">
          <cell r="A1" t="str">
            <v>1월 생산실적</v>
          </cell>
        </row>
      </sheetData>
      <sheetData sheetId="2104">
        <row r="1">
          <cell r="A1" t="str">
            <v>1월 생산실적</v>
          </cell>
        </row>
      </sheetData>
      <sheetData sheetId="2105">
        <row r="1">
          <cell r="A1" t="str">
            <v>1월 생산실적</v>
          </cell>
        </row>
      </sheetData>
      <sheetData sheetId="2106">
        <row r="1">
          <cell r="A1" t="str">
            <v>1월 생산실적</v>
          </cell>
        </row>
      </sheetData>
      <sheetData sheetId="2107">
        <row r="1">
          <cell r="A1" t="str">
            <v>1월 생산실적</v>
          </cell>
        </row>
      </sheetData>
      <sheetData sheetId="2108">
        <row r="1">
          <cell r="A1" t="str">
            <v>1월 생산실적</v>
          </cell>
        </row>
      </sheetData>
      <sheetData sheetId="2109">
        <row r="1">
          <cell r="A1" t="str">
            <v>1월 생산실적</v>
          </cell>
        </row>
      </sheetData>
      <sheetData sheetId="2110">
        <row r="1">
          <cell r="A1" t="str">
            <v>1월 생산실적</v>
          </cell>
        </row>
      </sheetData>
      <sheetData sheetId="2111">
        <row r="1">
          <cell r="A1" t="str">
            <v>1월 생산실적</v>
          </cell>
        </row>
      </sheetData>
      <sheetData sheetId="2112">
        <row r="1">
          <cell r="A1" t="str">
            <v>1월 생산실적</v>
          </cell>
        </row>
      </sheetData>
      <sheetData sheetId="2113">
        <row r="1">
          <cell r="A1" t="str">
            <v>1월 생산실적</v>
          </cell>
        </row>
      </sheetData>
      <sheetData sheetId="2114">
        <row r="1">
          <cell r="A1" t="str">
            <v>1월 생산실적</v>
          </cell>
        </row>
      </sheetData>
      <sheetData sheetId="2115">
        <row r="1">
          <cell r="A1" t="str">
            <v>1월 생산실적</v>
          </cell>
        </row>
      </sheetData>
      <sheetData sheetId="2116">
        <row r="1">
          <cell r="A1" t="str">
            <v>1월 생산실적</v>
          </cell>
        </row>
      </sheetData>
      <sheetData sheetId="2117">
        <row r="1">
          <cell r="A1" t="str">
            <v>1월 생산실적</v>
          </cell>
        </row>
      </sheetData>
      <sheetData sheetId="2118">
        <row r="1">
          <cell r="A1" t="str">
            <v>1월 생산실적</v>
          </cell>
        </row>
      </sheetData>
      <sheetData sheetId="2119">
        <row r="1">
          <cell r="A1" t="str">
            <v>1월 생산실적</v>
          </cell>
        </row>
      </sheetData>
      <sheetData sheetId="2120">
        <row r="1">
          <cell r="A1" t="str">
            <v>1월 생산실적</v>
          </cell>
        </row>
      </sheetData>
      <sheetData sheetId="2121">
        <row r="1">
          <cell r="A1" t="str">
            <v>1월 생산실적</v>
          </cell>
        </row>
      </sheetData>
      <sheetData sheetId="2122">
        <row r="1">
          <cell r="A1" t="str">
            <v>1월 생산실적</v>
          </cell>
        </row>
      </sheetData>
      <sheetData sheetId="2123">
        <row r="1">
          <cell r="A1" t="str">
            <v>1월 생산실적</v>
          </cell>
        </row>
      </sheetData>
      <sheetData sheetId="2124">
        <row r="1">
          <cell r="A1" t="str">
            <v>1월 생산실적</v>
          </cell>
        </row>
      </sheetData>
      <sheetData sheetId="2125">
        <row r="1">
          <cell r="A1" t="str">
            <v>1월 생산실적</v>
          </cell>
        </row>
      </sheetData>
      <sheetData sheetId="2126">
        <row r="1">
          <cell r="A1" t="str">
            <v>1월 생산실적</v>
          </cell>
        </row>
      </sheetData>
      <sheetData sheetId="2127">
        <row r="1">
          <cell r="A1" t="str">
            <v>1월 생산실적</v>
          </cell>
        </row>
      </sheetData>
      <sheetData sheetId="2128">
        <row r="1">
          <cell r="A1" t="str">
            <v>1월 생산실적</v>
          </cell>
        </row>
      </sheetData>
      <sheetData sheetId="2129">
        <row r="1">
          <cell r="A1" t="str">
            <v>1월 생산실적</v>
          </cell>
        </row>
      </sheetData>
      <sheetData sheetId="2130">
        <row r="1">
          <cell r="A1" t="str">
            <v>1월 생산실적</v>
          </cell>
        </row>
      </sheetData>
      <sheetData sheetId="2131">
        <row r="1">
          <cell r="A1" t="str">
            <v>1월 생산실적</v>
          </cell>
        </row>
      </sheetData>
      <sheetData sheetId="2132">
        <row r="1">
          <cell r="A1" t="str">
            <v>1월 생산실적</v>
          </cell>
        </row>
      </sheetData>
      <sheetData sheetId="2133">
        <row r="1">
          <cell r="A1" t="str">
            <v>1월 생산실적</v>
          </cell>
        </row>
      </sheetData>
      <sheetData sheetId="2134">
        <row r="1">
          <cell r="A1" t="str">
            <v>1월 생산실적</v>
          </cell>
        </row>
      </sheetData>
      <sheetData sheetId="2135">
        <row r="1">
          <cell r="A1" t="str">
            <v>1월 생산실적</v>
          </cell>
        </row>
      </sheetData>
      <sheetData sheetId="2136">
        <row r="1">
          <cell r="A1" t="str">
            <v>1월 생산실적</v>
          </cell>
        </row>
      </sheetData>
      <sheetData sheetId="2137">
        <row r="1">
          <cell r="A1" t="str">
            <v>1월 생산실적</v>
          </cell>
        </row>
      </sheetData>
      <sheetData sheetId="2138">
        <row r="1">
          <cell r="A1" t="str">
            <v>1월 생산실적</v>
          </cell>
        </row>
      </sheetData>
      <sheetData sheetId="2139">
        <row r="1">
          <cell r="A1" t="str">
            <v>1월 생산실적</v>
          </cell>
        </row>
      </sheetData>
      <sheetData sheetId="2140">
        <row r="1">
          <cell r="A1" t="str">
            <v>1월 생산실적</v>
          </cell>
        </row>
      </sheetData>
      <sheetData sheetId="2141">
        <row r="1">
          <cell r="A1" t="str">
            <v>1월 생산실적</v>
          </cell>
        </row>
      </sheetData>
      <sheetData sheetId="2142">
        <row r="1">
          <cell r="A1" t="str">
            <v>1월 생산실적</v>
          </cell>
        </row>
      </sheetData>
      <sheetData sheetId="2143">
        <row r="1">
          <cell r="A1" t="str">
            <v>1월 생산실적</v>
          </cell>
        </row>
      </sheetData>
      <sheetData sheetId="2144">
        <row r="1">
          <cell r="A1" t="str">
            <v>1월 생산실적</v>
          </cell>
        </row>
      </sheetData>
      <sheetData sheetId="2145">
        <row r="1">
          <cell r="A1" t="str">
            <v>1월 생산실적</v>
          </cell>
        </row>
      </sheetData>
      <sheetData sheetId="2146">
        <row r="1">
          <cell r="A1" t="str">
            <v>1월 생산실적</v>
          </cell>
        </row>
      </sheetData>
      <sheetData sheetId="2147">
        <row r="1">
          <cell r="A1" t="str">
            <v>1월 생산실적</v>
          </cell>
        </row>
      </sheetData>
      <sheetData sheetId="2148">
        <row r="1">
          <cell r="A1" t="str">
            <v>1월 생산실적</v>
          </cell>
        </row>
      </sheetData>
      <sheetData sheetId="2149">
        <row r="1">
          <cell r="A1" t="str">
            <v>1월 생산실적</v>
          </cell>
        </row>
      </sheetData>
      <sheetData sheetId="2150">
        <row r="1">
          <cell r="A1" t="str">
            <v>1월 생산실적</v>
          </cell>
        </row>
      </sheetData>
      <sheetData sheetId="2151">
        <row r="1">
          <cell r="A1" t="str">
            <v>1월 생산실적</v>
          </cell>
        </row>
      </sheetData>
      <sheetData sheetId="2152">
        <row r="1">
          <cell r="A1" t="str">
            <v>1월 생산실적</v>
          </cell>
        </row>
      </sheetData>
      <sheetData sheetId="2153">
        <row r="1">
          <cell r="A1" t="str">
            <v>1월 생산실적</v>
          </cell>
        </row>
      </sheetData>
      <sheetData sheetId="2154">
        <row r="1">
          <cell r="A1" t="str">
            <v>1월 생산실적</v>
          </cell>
        </row>
      </sheetData>
      <sheetData sheetId="2155">
        <row r="1">
          <cell r="A1" t="str">
            <v>1월 생산실적</v>
          </cell>
        </row>
      </sheetData>
      <sheetData sheetId="2156">
        <row r="1">
          <cell r="A1" t="str">
            <v>1월 생산실적</v>
          </cell>
        </row>
      </sheetData>
      <sheetData sheetId="2157">
        <row r="1">
          <cell r="A1" t="str">
            <v>1월 생산실적</v>
          </cell>
        </row>
      </sheetData>
      <sheetData sheetId="2158">
        <row r="1">
          <cell r="A1" t="str">
            <v>1월 생산실적</v>
          </cell>
        </row>
      </sheetData>
      <sheetData sheetId="2159">
        <row r="1">
          <cell r="A1" t="str">
            <v>1월 생산실적</v>
          </cell>
        </row>
      </sheetData>
      <sheetData sheetId="2160">
        <row r="1">
          <cell r="A1" t="str">
            <v>1월 생산실적</v>
          </cell>
        </row>
      </sheetData>
      <sheetData sheetId="2161">
        <row r="1">
          <cell r="A1" t="str">
            <v>1월 생산실적</v>
          </cell>
        </row>
      </sheetData>
      <sheetData sheetId="2162">
        <row r="1">
          <cell r="A1" t="str">
            <v>1월 생산실적</v>
          </cell>
        </row>
      </sheetData>
      <sheetData sheetId="2163">
        <row r="1">
          <cell r="A1" t="str">
            <v>1월 생산실적</v>
          </cell>
        </row>
      </sheetData>
      <sheetData sheetId="2164">
        <row r="1">
          <cell r="A1" t="str">
            <v>1월 생산실적</v>
          </cell>
        </row>
      </sheetData>
      <sheetData sheetId="2165">
        <row r="1">
          <cell r="A1" t="str">
            <v>1월 생산실적</v>
          </cell>
        </row>
      </sheetData>
      <sheetData sheetId="2166">
        <row r="1">
          <cell r="A1" t="str">
            <v>1월 생산실적</v>
          </cell>
        </row>
      </sheetData>
      <sheetData sheetId="2167">
        <row r="1">
          <cell r="A1" t="str">
            <v>1월 생산실적</v>
          </cell>
        </row>
      </sheetData>
      <sheetData sheetId="2168">
        <row r="1">
          <cell r="A1" t="str">
            <v>1월 생산실적</v>
          </cell>
        </row>
      </sheetData>
      <sheetData sheetId="2169">
        <row r="1">
          <cell r="A1" t="str">
            <v>1월 생산실적</v>
          </cell>
        </row>
      </sheetData>
      <sheetData sheetId="2170">
        <row r="1">
          <cell r="A1" t="str">
            <v>1월 생산실적</v>
          </cell>
        </row>
      </sheetData>
      <sheetData sheetId="2171">
        <row r="6">
          <cell r="A6">
            <v>1</v>
          </cell>
        </row>
      </sheetData>
      <sheetData sheetId="2172">
        <row r="1">
          <cell r="A1" t="str">
            <v>1월 생산실적</v>
          </cell>
        </row>
      </sheetData>
      <sheetData sheetId="2173">
        <row r="1">
          <cell r="A1" t="str">
            <v>1월 생산실적</v>
          </cell>
        </row>
      </sheetData>
      <sheetData sheetId="2174">
        <row r="1">
          <cell r="A1" t="str">
            <v>1월 생산실적</v>
          </cell>
        </row>
      </sheetData>
      <sheetData sheetId="2175">
        <row r="1">
          <cell r="A1" t="str">
            <v>1월 생산실적</v>
          </cell>
        </row>
      </sheetData>
      <sheetData sheetId="2176">
        <row r="1">
          <cell r="A1" t="str">
            <v>1월 생산실적</v>
          </cell>
        </row>
      </sheetData>
      <sheetData sheetId="2177">
        <row r="1">
          <cell r="A1" t="str">
            <v>1월 생산실적</v>
          </cell>
        </row>
      </sheetData>
      <sheetData sheetId="2178">
        <row r="1">
          <cell r="A1" t="str">
            <v>1월 생산실적</v>
          </cell>
        </row>
      </sheetData>
      <sheetData sheetId="2179">
        <row r="1">
          <cell r="A1" t="str">
            <v>1월 생산실적</v>
          </cell>
        </row>
      </sheetData>
      <sheetData sheetId="2180">
        <row r="1">
          <cell r="A1" t="str">
            <v>1월 생산실적</v>
          </cell>
        </row>
      </sheetData>
      <sheetData sheetId="2181">
        <row r="1">
          <cell r="A1" t="str">
            <v>1월 생산실적</v>
          </cell>
        </row>
      </sheetData>
      <sheetData sheetId="2182">
        <row r="1">
          <cell r="A1" t="str">
            <v>1월 생산실적</v>
          </cell>
        </row>
      </sheetData>
      <sheetData sheetId="2183">
        <row r="1">
          <cell r="A1" t="str">
            <v>1월 생산실적</v>
          </cell>
        </row>
      </sheetData>
      <sheetData sheetId="2184">
        <row r="1">
          <cell r="A1" t="str">
            <v>1월 생산실적</v>
          </cell>
        </row>
      </sheetData>
      <sheetData sheetId="2185">
        <row r="1">
          <cell r="A1" t="str">
            <v>1월 생산실적</v>
          </cell>
        </row>
      </sheetData>
      <sheetData sheetId="2186">
        <row r="1">
          <cell r="A1" t="str">
            <v>1월 생산실적</v>
          </cell>
        </row>
      </sheetData>
      <sheetData sheetId="2187">
        <row r="1">
          <cell r="A1" t="str">
            <v>1월 생산실적</v>
          </cell>
        </row>
      </sheetData>
      <sheetData sheetId="2188">
        <row r="1">
          <cell r="A1" t="str">
            <v>1월 생산실적</v>
          </cell>
        </row>
      </sheetData>
      <sheetData sheetId="2189">
        <row r="1">
          <cell r="A1" t="str">
            <v>1월 생산실적</v>
          </cell>
        </row>
      </sheetData>
      <sheetData sheetId="2190">
        <row r="1">
          <cell r="A1" t="str">
            <v>1월 생산실적</v>
          </cell>
        </row>
      </sheetData>
      <sheetData sheetId="2191">
        <row r="1">
          <cell r="A1" t="str">
            <v>1월 생산실적</v>
          </cell>
        </row>
      </sheetData>
      <sheetData sheetId="2192">
        <row r="1">
          <cell r="A1" t="str">
            <v>1월 생산실적</v>
          </cell>
        </row>
      </sheetData>
      <sheetData sheetId="2193">
        <row r="1">
          <cell r="A1" t="str">
            <v>1월 생산실적</v>
          </cell>
        </row>
      </sheetData>
      <sheetData sheetId="2194">
        <row r="1">
          <cell r="A1" t="str">
            <v>1월 생산실적</v>
          </cell>
        </row>
      </sheetData>
      <sheetData sheetId="2195">
        <row r="1">
          <cell r="A1" t="str">
            <v>1월 생산실적</v>
          </cell>
        </row>
      </sheetData>
      <sheetData sheetId="2196">
        <row r="1">
          <cell r="A1" t="str">
            <v>1월 생산실적</v>
          </cell>
        </row>
      </sheetData>
      <sheetData sheetId="2197">
        <row r="1">
          <cell r="A1" t="str">
            <v>1월 생산실적</v>
          </cell>
        </row>
      </sheetData>
      <sheetData sheetId="2198">
        <row r="1">
          <cell r="A1" t="str">
            <v>1월 생산실적</v>
          </cell>
        </row>
      </sheetData>
      <sheetData sheetId="2199">
        <row r="1">
          <cell r="A1" t="str">
            <v>1월 생산실적</v>
          </cell>
        </row>
      </sheetData>
      <sheetData sheetId="2200">
        <row r="1">
          <cell r="A1" t="str">
            <v>1월 생산실적</v>
          </cell>
        </row>
      </sheetData>
      <sheetData sheetId="2201">
        <row r="1">
          <cell r="A1" t="str">
            <v>1월 생산실적</v>
          </cell>
        </row>
      </sheetData>
      <sheetData sheetId="2202">
        <row r="1">
          <cell r="A1" t="str">
            <v>1월 생산실적</v>
          </cell>
        </row>
      </sheetData>
      <sheetData sheetId="2203">
        <row r="1">
          <cell r="A1" t="str">
            <v>1월 생산실적</v>
          </cell>
        </row>
      </sheetData>
      <sheetData sheetId="2204">
        <row r="1">
          <cell r="A1" t="str">
            <v>1월 생산실적</v>
          </cell>
        </row>
      </sheetData>
      <sheetData sheetId="2205">
        <row r="1">
          <cell r="A1" t="str">
            <v>1월 생산실적</v>
          </cell>
        </row>
      </sheetData>
      <sheetData sheetId="2206">
        <row r="1">
          <cell r="A1" t="str">
            <v>1월 생산실적</v>
          </cell>
        </row>
      </sheetData>
      <sheetData sheetId="2207">
        <row r="1">
          <cell r="A1" t="str">
            <v>1월 생산실적</v>
          </cell>
        </row>
      </sheetData>
      <sheetData sheetId="2208">
        <row r="1">
          <cell r="A1" t="str">
            <v>1월 생산실적</v>
          </cell>
        </row>
      </sheetData>
      <sheetData sheetId="2209">
        <row r="1">
          <cell r="A1" t="str">
            <v>1월 생산실적</v>
          </cell>
        </row>
      </sheetData>
      <sheetData sheetId="2210">
        <row r="1">
          <cell r="A1" t="str">
            <v>1월 생산실적</v>
          </cell>
        </row>
      </sheetData>
      <sheetData sheetId="2211">
        <row r="1">
          <cell r="A1" t="str">
            <v>1월 생산실적</v>
          </cell>
        </row>
      </sheetData>
      <sheetData sheetId="2212">
        <row r="1">
          <cell r="A1" t="str">
            <v>1월 생산실적</v>
          </cell>
        </row>
      </sheetData>
      <sheetData sheetId="2213">
        <row r="1">
          <cell r="A1" t="str">
            <v>1월 생산실적</v>
          </cell>
        </row>
      </sheetData>
      <sheetData sheetId="2214">
        <row r="1">
          <cell r="A1" t="str">
            <v>1월 생산실적</v>
          </cell>
        </row>
      </sheetData>
      <sheetData sheetId="2215">
        <row r="1">
          <cell r="A1" t="str">
            <v>1월 생산실적</v>
          </cell>
        </row>
      </sheetData>
      <sheetData sheetId="2216">
        <row r="1">
          <cell r="A1" t="str">
            <v>1월 생산실적</v>
          </cell>
        </row>
      </sheetData>
      <sheetData sheetId="2217">
        <row r="1">
          <cell r="A1" t="str">
            <v>1월 생산실적</v>
          </cell>
        </row>
      </sheetData>
      <sheetData sheetId="2218">
        <row r="1">
          <cell r="A1" t="str">
            <v>1월 생산실적</v>
          </cell>
        </row>
      </sheetData>
      <sheetData sheetId="2219">
        <row r="1">
          <cell r="A1" t="str">
            <v>1월 생산실적</v>
          </cell>
        </row>
      </sheetData>
      <sheetData sheetId="2220">
        <row r="1">
          <cell r="A1" t="str">
            <v>1월 생산실적</v>
          </cell>
        </row>
      </sheetData>
      <sheetData sheetId="2221">
        <row r="1">
          <cell r="A1" t="str">
            <v>1월 생산실적</v>
          </cell>
        </row>
      </sheetData>
      <sheetData sheetId="2222">
        <row r="1">
          <cell r="A1" t="str">
            <v>1월 생산실적</v>
          </cell>
        </row>
      </sheetData>
      <sheetData sheetId="2223">
        <row r="1">
          <cell r="A1" t="str">
            <v>1월 생산실적</v>
          </cell>
        </row>
      </sheetData>
      <sheetData sheetId="2224">
        <row r="1">
          <cell r="A1" t="str">
            <v>1월 생산실적</v>
          </cell>
        </row>
      </sheetData>
      <sheetData sheetId="2225">
        <row r="1">
          <cell r="A1" t="str">
            <v>1월 생산실적</v>
          </cell>
        </row>
      </sheetData>
      <sheetData sheetId="2226">
        <row r="1">
          <cell r="A1" t="str">
            <v>1월 생산실적</v>
          </cell>
        </row>
      </sheetData>
      <sheetData sheetId="2227">
        <row r="1">
          <cell r="A1" t="str">
            <v>1월 생산실적</v>
          </cell>
        </row>
      </sheetData>
      <sheetData sheetId="2228">
        <row r="1">
          <cell r="A1" t="str">
            <v>1월 생산실적</v>
          </cell>
        </row>
      </sheetData>
      <sheetData sheetId="2229">
        <row r="1">
          <cell r="A1" t="str">
            <v>1월 생산실적</v>
          </cell>
        </row>
      </sheetData>
      <sheetData sheetId="2230">
        <row r="1">
          <cell r="A1" t="str">
            <v>1월 생산실적</v>
          </cell>
        </row>
      </sheetData>
      <sheetData sheetId="2231">
        <row r="1">
          <cell r="A1" t="str">
            <v>1월 생산실적</v>
          </cell>
        </row>
      </sheetData>
      <sheetData sheetId="2232">
        <row r="1">
          <cell r="A1" t="str">
            <v>1월 생산실적</v>
          </cell>
        </row>
      </sheetData>
      <sheetData sheetId="2233">
        <row r="1">
          <cell r="A1" t="str">
            <v>1월 생산실적</v>
          </cell>
        </row>
      </sheetData>
      <sheetData sheetId="2234">
        <row r="1">
          <cell r="A1" t="str">
            <v>1월 생산실적</v>
          </cell>
        </row>
      </sheetData>
      <sheetData sheetId="2235">
        <row r="1">
          <cell r="A1" t="str">
            <v>1월 생산실적</v>
          </cell>
        </row>
      </sheetData>
      <sheetData sheetId="2236">
        <row r="1">
          <cell r="A1" t="str">
            <v>1월 생산실적</v>
          </cell>
        </row>
      </sheetData>
      <sheetData sheetId="2237">
        <row r="1">
          <cell r="A1" t="str">
            <v>1월 생산실적</v>
          </cell>
        </row>
      </sheetData>
      <sheetData sheetId="2238">
        <row r="1">
          <cell r="A1" t="str">
            <v>1월 생산실적</v>
          </cell>
        </row>
      </sheetData>
      <sheetData sheetId="2239">
        <row r="1">
          <cell r="A1" t="str">
            <v>1월 생산실적</v>
          </cell>
        </row>
      </sheetData>
      <sheetData sheetId="2240">
        <row r="1">
          <cell r="A1" t="str">
            <v>1월 생산실적</v>
          </cell>
        </row>
      </sheetData>
      <sheetData sheetId="2241">
        <row r="1">
          <cell r="A1" t="str">
            <v>1월 생산실적</v>
          </cell>
        </row>
      </sheetData>
      <sheetData sheetId="2242">
        <row r="1">
          <cell r="A1" t="str">
            <v>1월 생산실적</v>
          </cell>
        </row>
      </sheetData>
      <sheetData sheetId="2243">
        <row r="1">
          <cell r="A1" t="str">
            <v>1월 생산실적</v>
          </cell>
        </row>
      </sheetData>
      <sheetData sheetId="2244">
        <row r="1">
          <cell r="A1" t="str">
            <v>1월 생산실적</v>
          </cell>
        </row>
      </sheetData>
      <sheetData sheetId="2245">
        <row r="1">
          <cell r="A1" t="str">
            <v>1월 생산실적</v>
          </cell>
        </row>
      </sheetData>
      <sheetData sheetId="2246">
        <row r="1">
          <cell r="A1" t="str">
            <v>1월 생산실적</v>
          </cell>
        </row>
      </sheetData>
      <sheetData sheetId="2247">
        <row r="1">
          <cell r="A1" t="str">
            <v>1월 생산실적</v>
          </cell>
        </row>
      </sheetData>
      <sheetData sheetId="2248">
        <row r="1">
          <cell r="A1" t="str">
            <v>1월 생산실적</v>
          </cell>
        </row>
      </sheetData>
      <sheetData sheetId="2249">
        <row r="1">
          <cell r="A1" t="str">
            <v>1월 생산실적</v>
          </cell>
        </row>
      </sheetData>
      <sheetData sheetId="2250">
        <row r="1">
          <cell r="A1" t="str">
            <v>1월 생산실적</v>
          </cell>
        </row>
      </sheetData>
      <sheetData sheetId="2251">
        <row r="1">
          <cell r="A1" t="str">
            <v>1월 생산실적</v>
          </cell>
        </row>
      </sheetData>
      <sheetData sheetId="2252">
        <row r="1">
          <cell r="A1" t="str">
            <v>1월 생산실적</v>
          </cell>
        </row>
      </sheetData>
      <sheetData sheetId="2253">
        <row r="1">
          <cell r="A1" t="str">
            <v>1월 생산실적</v>
          </cell>
        </row>
      </sheetData>
      <sheetData sheetId="2254">
        <row r="1">
          <cell r="A1" t="str">
            <v>1월 생산실적</v>
          </cell>
        </row>
      </sheetData>
      <sheetData sheetId="2255">
        <row r="1">
          <cell r="A1" t="str">
            <v>1월 생산실적</v>
          </cell>
        </row>
      </sheetData>
      <sheetData sheetId="2256">
        <row r="1">
          <cell r="A1" t="str">
            <v>1월 생산실적</v>
          </cell>
        </row>
      </sheetData>
      <sheetData sheetId="2257">
        <row r="1">
          <cell r="A1" t="str">
            <v>1월 생산실적</v>
          </cell>
        </row>
      </sheetData>
      <sheetData sheetId="2258">
        <row r="1">
          <cell r="A1" t="str">
            <v>1월 생산실적</v>
          </cell>
        </row>
      </sheetData>
      <sheetData sheetId="2259">
        <row r="1">
          <cell r="A1" t="str">
            <v>1월 생산실적</v>
          </cell>
        </row>
      </sheetData>
      <sheetData sheetId="2260">
        <row r="1">
          <cell r="A1" t="str">
            <v>1월 생산실적</v>
          </cell>
        </row>
      </sheetData>
      <sheetData sheetId="2261">
        <row r="1">
          <cell r="A1" t="str">
            <v>1월 생산실적</v>
          </cell>
        </row>
      </sheetData>
      <sheetData sheetId="2262">
        <row r="1">
          <cell r="A1" t="str">
            <v>1월 생산실적</v>
          </cell>
        </row>
      </sheetData>
      <sheetData sheetId="2263">
        <row r="1">
          <cell r="A1" t="str">
            <v>1월 생산실적</v>
          </cell>
        </row>
      </sheetData>
      <sheetData sheetId="2264">
        <row r="1">
          <cell r="A1" t="str">
            <v>1월 생산실적</v>
          </cell>
        </row>
      </sheetData>
      <sheetData sheetId="2265">
        <row r="1">
          <cell r="A1" t="str">
            <v>1월 생산실적</v>
          </cell>
        </row>
      </sheetData>
      <sheetData sheetId="2266">
        <row r="1">
          <cell r="A1" t="str">
            <v>1월 생산실적</v>
          </cell>
        </row>
      </sheetData>
      <sheetData sheetId="2267">
        <row r="1">
          <cell r="A1" t="str">
            <v>1월 생산실적</v>
          </cell>
        </row>
      </sheetData>
      <sheetData sheetId="2268">
        <row r="1">
          <cell r="A1" t="str">
            <v>1월 생산실적</v>
          </cell>
        </row>
      </sheetData>
      <sheetData sheetId="2269">
        <row r="1">
          <cell r="A1" t="str">
            <v>1월 생산실적</v>
          </cell>
        </row>
      </sheetData>
      <sheetData sheetId="2270">
        <row r="1">
          <cell r="A1" t="str">
            <v>1월 생산실적</v>
          </cell>
        </row>
      </sheetData>
      <sheetData sheetId="2271">
        <row r="1">
          <cell r="A1" t="str">
            <v>1월 생산실적</v>
          </cell>
        </row>
      </sheetData>
      <sheetData sheetId="2272">
        <row r="1">
          <cell r="A1" t="str">
            <v>1월 생산실적</v>
          </cell>
        </row>
      </sheetData>
      <sheetData sheetId="2273">
        <row r="1">
          <cell r="A1" t="str">
            <v>1월 생산실적</v>
          </cell>
        </row>
      </sheetData>
      <sheetData sheetId="2274">
        <row r="1">
          <cell r="A1" t="str">
            <v>1월 생산실적</v>
          </cell>
        </row>
      </sheetData>
      <sheetData sheetId="2275">
        <row r="1">
          <cell r="A1" t="str">
            <v>1월 생산실적</v>
          </cell>
        </row>
      </sheetData>
      <sheetData sheetId="2276">
        <row r="1">
          <cell r="A1" t="str">
            <v>1월 생산실적</v>
          </cell>
        </row>
      </sheetData>
      <sheetData sheetId="2277">
        <row r="1">
          <cell r="A1" t="str">
            <v>1월 생산실적</v>
          </cell>
        </row>
      </sheetData>
      <sheetData sheetId="2278">
        <row r="1">
          <cell r="A1" t="str">
            <v>1월 생산실적</v>
          </cell>
        </row>
      </sheetData>
      <sheetData sheetId="2279">
        <row r="1">
          <cell r="A1" t="str">
            <v>1월 생산실적</v>
          </cell>
        </row>
      </sheetData>
      <sheetData sheetId="2280">
        <row r="1">
          <cell r="A1" t="str">
            <v>1월 생산실적</v>
          </cell>
        </row>
      </sheetData>
      <sheetData sheetId="2281">
        <row r="1">
          <cell r="A1" t="str">
            <v>1월 생산실적</v>
          </cell>
        </row>
      </sheetData>
      <sheetData sheetId="2282">
        <row r="1">
          <cell r="A1" t="str">
            <v>1월 생산실적</v>
          </cell>
        </row>
      </sheetData>
      <sheetData sheetId="2283">
        <row r="1">
          <cell r="A1" t="str">
            <v>1월 생산실적</v>
          </cell>
        </row>
      </sheetData>
      <sheetData sheetId="2284">
        <row r="1">
          <cell r="A1" t="str">
            <v>1월 생산실적</v>
          </cell>
        </row>
      </sheetData>
      <sheetData sheetId="2285">
        <row r="1">
          <cell r="A1" t="str">
            <v>1월 생산실적</v>
          </cell>
        </row>
      </sheetData>
      <sheetData sheetId="2286">
        <row r="1">
          <cell r="A1" t="str">
            <v>1월 생산실적</v>
          </cell>
        </row>
      </sheetData>
      <sheetData sheetId="2287">
        <row r="1">
          <cell r="A1" t="str">
            <v>1월 생산실적</v>
          </cell>
        </row>
      </sheetData>
      <sheetData sheetId="2288">
        <row r="1">
          <cell r="A1" t="str">
            <v>1월 생산실적</v>
          </cell>
        </row>
      </sheetData>
      <sheetData sheetId="2289">
        <row r="1">
          <cell r="A1" t="str">
            <v>1월 생산실적</v>
          </cell>
        </row>
      </sheetData>
      <sheetData sheetId="2290">
        <row r="1">
          <cell r="A1" t="str">
            <v>1월 생산실적</v>
          </cell>
        </row>
      </sheetData>
      <sheetData sheetId="2291">
        <row r="1">
          <cell r="A1" t="str">
            <v>1월 생산실적</v>
          </cell>
        </row>
      </sheetData>
      <sheetData sheetId="2292">
        <row r="1">
          <cell r="A1" t="str">
            <v>1월 생산실적</v>
          </cell>
        </row>
      </sheetData>
      <sheetData sheetId="2293">
        <row r="1">
          <cell r="A1" t="str">
            <v>1월 생산실적</v>
          </cell>
        </row>
      </sheetData>
      <sheetData sheetId="2294">
        <row r="1">
          <cell r="A1" t="str">
            <v>1월 생산실적</v>
          </cell>
        </row>
      </sheetData>
      <sheetData sheetId="2295">
        <row r="1">
          <cell r="A1" t="str">
            <v>1월 생산실적</v>
          </cell>
        </row>
      </sheetData>
      <sheetData sheetId="2296">
        <row r="1">
          <cell r="A1" t="str">
            <v>1월 생산실적</v>
          </cell>
        </row>
      </sheetData>
      <sheetData sheetId="2297">
        <row r="1">
          <cell r="A1" t="str">
            <v>1월 생산실적</v>
          </cell>
        </row>
      </sheetData>
      <sheetData sheetId="2298">
        <row r="1">
          <cell r="A1" t="str">
            <v>1월 생산실적</v>
          </cell>
        </row>
      </sheetData>
      <sheetData sheetId="2299">
        <row r="1">
          <cell r="A1" t="str">
            <v>1월 생산실적</v>
          </cell>
        </row>
      </sheetData>
      <sheetData sheetId="2300">
        <row r="1">
          <cell r="A1" t="str">
            <v>1월 생산실적</v>
          </cell>
        </row>
      </sheetData>
      <sheetData sheetId="2301">
        <row r="1">
          <cell r="A1" t="str">
            <v>1월 생산실적</v>
          </cell>
        </row>
      </sheetData>
      <sheetData sheetId="2302">
        <row r="1">
          <cell r="A1" t="str">
            <v>1월 생산실적</v>
          </cell>
        </row>
      </sheetData>
      <sheetData sheetId="2303">
        <row r="1">
          <cell r="A1" t="str">
            <v>1월 생산실적</v>
          </cell>
        </row>
      </sheetData>
      <sheetData sheetId="2304">
        <row r="1">
          <cell r="A1" t="str">
            <v>1월 생산실적</v>
          </cell>
        </row>
      </sheetData>
      <sheetData sheetId="2305">
        <row r="1">
          <cell r="A1" t="str">
            <v>1월 생산실적</v>
          </cell>
        </row>
      </sheetData>
      <sheetData sheetId="2306">
        <row r="1">
          <cell r="A1" t="str">
            <v>1월 생산실적</v>
          </cell>
        </row>
      </sheetData>
      <sheetData sheetId="2307">
        <row r="1">
          <cell r="A1" t="str">
            <v>1월 생산실적</v>
          </cell>
        </row>
      </sheetData>
      <sheetData sheetId="2308">
        <row r="1">
          <cell r="A1" t="str">
            <v>1월 생산실적</v>
          </cell>
        </row>
      </sheetData>
      <sheetData sheetId="2309">
        <row r="1">
          <cell r="A1" t="str">
            <v>1월 생산실적</v>
          </cell>
        </row>
      </sheetData>
      <sheetData sheetId="2310">
        <row r="1">
          <cell r="A1" t="str">
            <v>1월 생산실적</v>
          </cell>
        </row>
      </sheetData>
      <sheetData sheetId="2311">
        <row r="1">
          <cell r="A1" t="str">
            <v>1월 생산실적</v>
          </cell>
        </row>
      </sheetData>
      <sheetData sheetId="2312">
        <row r="1">
          <cell r="A1" t="str">
            <v>1월 생산실적</v>
          </cell>
        </row>
      </sheetData>
      <sheetData sheetId="2313">
        <row r="1">
          <cell r="A1" t="str">
            <v>1월 생산실적</v>
          </cell>
        </row>
      </sheetData>
      <sheetData sheetId="2314">
        <row r="1">
          <cell r="A1" t="str">
            <v>1월 생산실적</v>
          </cell>
        </row>
      </sheetData>
      <sheetData sheetId="2315">
        <row r="1">
          <cell r="A1" t="str">
            <v>1월 생산실적</v>
          </cell>
        </row>
      </sheetData>
      <sheetData sheetId="2316">
        <row r="1">
          <cell r="A1" t="str">
            <v>1월 생산실적</v>
          </cell>
        </row>
      </sheetData>
      <sheetData sheetId="2317">
        <row r="1">
          <cell r="A1" t="str">
            <v>1월 생산실적</v>
          </cell>
        </row>
      </sheetData>
      <sheetData sheetId="2318">
        <row r="1">
          <cell r="A1" t="str">
            <v>1월 생산실적</v>
          </cell>
        </row>
      </sheetData>
      <sheetData sheetId="2319">
        <row r="1">
          <cell r="A1" t="str">
            <v>1월 생산실적</v>
          </cell>
        </row>
      </sheetData>
      <sheetData sheetId="2320">
        <row r="1">
          <cell r="A1" t="str">
            <v>1월 생산실적</v>
          </cell>
        </row>
      </sheetData>
      <sheetData sheetId="2321">
        <row r="1">
          <cell r="A1" t="str">
            <v>1월 생산실적</v>
          </cell>
        </row>
      </sheetData>
      <sheetData sheetId="2322">
        <row r="1">
          <cell r="A1" t="str">
            <v>1월 생산실적</v>
          </cell>
        </row>
      </sheetData>
      <sheetData sheetId="2323">
        <row r="1">
          <cell r="A1" t="str">
            <v>1월 생산실적</v>
          </cell>
        </row>
      </sheetData>
      <sheetData sheetId="2324">
        <row r="1">
          <cell r="A1" t="str">
            <v>1월 생산실적</v>
          </cell>
        </row>
      </sheetData>
      <sheetData sheetId="2325">
        <row r="1">
          <cell r="A1" t="str">
            <v>1월 생산실적</v>
          </cell>
        </row>
      </sheetData>
      <sheetData sheetId="2326">
        <row r="1">
          <cell r="A1" t="str">
            <v>1월 생산실적</v>
          </cell>
        </row>
      </sheetData>
      <sheetData sheetId="2327">
        <row r="1">
          <cell r="A1" t="str">
            <v>1월 생산실적</v>
          </cell>
        </row>
      </sheetData>
      <sheetData sheetId="2328">
        <row r="1">
          <cell r="A1" t="str">
            <v>1월 생산실적</v>
          </cell>
        </row>
      </sheetData>
      <sheetData sheetId="2329">
        <row r="1">
          <cell r="A1" t="str">
            <v>1월 생산실적</v>
          </cell>
        </row>
      </sheetData>
      <sheetData sheetId="2330">
        <row r="1">
          <cell r="A1" t="str">
            <v>1월 생산실적</v>
          </cell>
        </row>
      </sheetData>
      <sheetData sheetId="2331">
        <row r="1">
          <cell r="A1" t="str">
            <v>1월 생산실적</v>
          </cell>
        </row>
      </sheetData>
      <sheetData sheetId="2332">
        <row r="1">
          <cell r="A1" t="str">
            <v>1월 생산실적</v>
          </cell>
        </row>
      </sheetData>
      <sheetData sheetId="2333">
        <row r="1">
          <cell r="A1" t="str">
            <v>1월 생산실적</v>
          </cell>
        </row>
      </sheetData>
      <sheetData sheetId="2334">
        <row r="1">
          <cell r="A1" t="str">
            <v>1월 생산실적</v>
          </cell>
        </row>
      </sheetData>
      <sheetData sheetId="2335">
        <row r="1">
          <cell r="A1" t="str">
            <v>1월 생산실적</v>
          </cell>
        </row>
      </sheetData>
      <sheetData sheetId="2336">
        <row r="1">
          <cell r="A1" t="str">
            <v>1월 생산실적</v>
          </cell>
        </row>
      </sheetData>
      <sheetData sheetId="2337">
        <row r="1">
          <cell r="A1" t="str">
            <v>1월 생산실적</v>
          </cell>
        </row>
      </sheetData>
      <sheetData sheetId="2338">
        <row r="1">
          <cell r="A1" t="str">
            <v>1월 생산실적</v>
          </cell>
        </row>
      </sheetData>
      <sheetData sheetId="2339">
        <row r="1">
          <cell r="A1" t="str">
            <v>1월 생산실적</v>
          </cell>
        </row>
      </sheetData>
      <sheetData sheetId="2340">
        <row r="1">
          <cell r="A1" t="str">
            <v>1월 생산실적</v>
          </cell>
        </row>
      </sheetData>
      <sheetData sheetId="2341">
        <row r="1">
          <cell r="A1" t="str">
            <v>1월 생산실적</v>
          </cell>
        </row>
      </sheetData>
      <sheetData sheetId="2342">
        <row r="1">
          <cell r="A1" t="str">
            <v>1월 생산실적</v>
          </cell>
        </row>
      </sheetData>
      <sheetData sheetId="2343">
        <row r="1">
          <cell r="A1" t="str">
            <v>1월 생산실적</v>
          </cell>
        </row>
      </sheetData>
      <sheetData sheetId="2344">
        <row r="1">
          <cell r="A1" t="str">
            <v>1월 생산실적</v>
          </cell>
        </row>
      </sheetData>
      <sheetData sheetId="2345">
        <row r="1">
          <cell r="A1" t="str">
            <v>1월 생산실적</v>
          </cell>
        </row>
      </sheetData>
      <sheetData sheetId="2346">
        <row r="1">
          <cell r="A1" t="str">
            <v>1월 생산실적</v>
          </cell>
        </row>
      </sheetData>
      <sheetData sheetId="2347">
        <row r="1">
          <cell r="A1" t="str">
            <v>1월 생산실적</v>
          </cell>
        </row>
      </sheetData>
      <sheetData sheetId="2348">
        <row r="1">
          <cell r="A1" t="str">
            <v>1월 생산실적</v>
          </cell>
        </row>
      </sheetData>
      <sheetData sheetId="2349">
        <row r="1">
          <cell r="A1" t="str">
            <v>1월 생산실적</v>
          </cell>
        </row>
      </sheetData>
      <sheetData sheetId="2350">
        <row r="1">
          <cell r="A1" t="str">
            <v>1월 생산실적</v>
          </cell>
        </row>
      </sheetData>
      <sheetData sheetId="2351">
        <row r="1">
          <cell r="A1" t="str">
            <v>1월 생산실적</v>
          </cell>
        </row>
      </sheetData>
      <sheetData sheetId="2352">
        <row r="1">
          <cell r="A1" t="str">
            <v>1월 생산실적</v>
          </cell>
        </row>
      </sheetData>
      <sheetData sheetId="2353">
        <row r="1">
          <cell r="A1" t="str">
            <v>1월 생산실적</v>
          </cell>
        </row>
      </sheetData>
      <sheetData sheetId="2354">
        <row r="1">
          <cell r="A1" t="str">
            <v>1월 생산실적</v>
          </cell>
        </row>
      </sheetData>
      <sheetData sheetId="2355">
        <row r="1">
          <cell r="A1" t="str">
            <v>1월 생산실적</v>
          </cell>
        </row>
      </sheetData>
      <sheetData sheetId="2356">
        <row r="1">
          <cell r="A1" t="str">
            <v>1월 생산실적</v>
          </cell>
        </row>
      </sheetData>
      <sheetData sheetId="2357">
        <row r="1">
          <cell r="A1" t="str">
            <v>1월 생산실적</v>
          </cell>
        </row>
      </sheetData>
      <sheetData sheetId="2358">
        <row r="1">
          <cell r="A1" t="str">
            <v>1월 생산실적</v>
          </cell>
        </row>
      </sheetData>
      <sheetData sheetId="2359">
        <row r="1">
          <cell r="A1" t="str">
            <v>1월 생산실적</v>
          </cell>
        </row>
      </sheetData>
      <sheetData sheetId="2360">
        <row r="1">
          <cell r="A1" t="str">
            <v>1월 생산실적</v>
          </cell>
        </row>
      </sheetData>
      <sheetData sheetId="2361">
        <row r="1">
          <cell r="A1" t="str">
            <v>1월 생산실적</v>
          </cell>
        </row>
      </sheetData>
      <sheetData sheetId="2362">
        <row r="1">
          <cell r="A1" t="str">
            <v>1월 생산실적</v>
          </cell>
        </row>
      </sheetData>
      <sheetData sheetId="2363">
        <row r="1">
          <cell r="A1" t="str">
            <v>1월 생산실적</v>
          </cell>
        </row>
      </sheetData>
      <sheetData sheetId="2364">
        <row r="1">
          <cell r="A1" t="str">
            <v>1월 생산실적</v>
          </cell>
        </row>
      </sheetData>
      <sheetData sheetId="2365">
        <row r="1">
          <cell r="A1" t="str">
            <v>1월 생산실적</v>
          </cell>
        </row>
      </sheetData>
      <sheetData sheetId="2366">
        <row r="1">
          <cell r="A1" t="str">
            <v>1월 생산실적</v>
          </cell>
        </row>
      </sheetData>
      <sheetData sheetId="2367">
        <row r="1">
          <cell r="A1" t="str">
            <v>1월 생산실적</v>
          </cell>
        </row>
      </sheetData>
      <sheetData sheetId="2368">
        <row r="1">
          <cell r="A1" t="str">
            <v>1월 생산실적</v>
          </cell>
        </row>
      </sheetData>
      <sheetData sheetId="2369">
        <row r="1">
          <cell r="A1" t="str">
            <v>1월 생산실적</v>
          </cell>
        </row>
      </sheetData>
      <sheetData sheetId="2370">
        <row r="1">
          <cell r="A1" t="str">
            <v>1월 생산실적</v>
          </cell>
        </row>
      </sheetData>
      <sheetData sheetId="2371">
        <row r="1">
          <cell r="A1" t="str">
            <v>1월 생산실적</v>
          </cell>
        </row>
      </sheetData>
      <sheetData sheetId="2372">
        <row r="1">
          <cell r="A1" t="str">
            <v>1월 생산실적</v>
          </cell>
        </row>
      </sheetData>
      <sheetData sheetId="2373">
        <row r="1">
          <cell r="A1" t="str">
            <v>1월 생산실적</v>
          </cell>
        </row>
      </sheetData>
      <sheetData sheetId="2374">
        <row r="1">
          <cell r="A1" t="str">
            <v>1월 생산실적</v>
          </cell>
        </row>
      </sheetData>
      <sheetData sheetId="2375">
        <row r="1">
          <cell r="A1" t="str">
            <v>1월 생산실적</v>
          </cell>
        </row>
      </sheetData>
      <sheetData sheetId="2376">
        <row r="1">
          <cell r="A1" t="str">
            <v>1월 생산실적</v>
          </cell>
        </row>
      </sheetData>
      <sheetData sheetId="2377">
        <row r="1">
          <cell r="A1" t="str">
            <v>1월 생산실적</v>
          </cell>
        </row>
      </sheetData>
      <sheetData sheetId="2378">
        <row r="1">
          <cell r="A1" t="str">
            <v>1월 생산실적</v>
          </cell>
        </row>
      </sheetData>
      <sheetData sheetId="2379">
        <row r="1">
          <cell r="A1" t="str">
            <v>1월 생산실적</v>
          </cell>
        </row>
      </sheetData>
      <sheetData sheetId="2380">
        <row r="1">
          <cell r="A1" t="str">
            <v>1월 생산실적</v>
          </cell>
        </row>
      </sheetData>
      <sheetData sheetId="2381">
        <row r="1">
          <cell r="A1" t="str">
            <v>1월 생산실적</v>
          </cell>
        </row>
      </sheetData>
      <sheetData sheetId="2382">
        <row r="1">
          <cell r="A1" t="str">
            <v>1월 생산실적</v>
          </cell>
        </row>
      </sheetData>
      <sheetData sheetId="2383">
        <row r="1">
          <cell r="A1" t="str">
            <v>1월 생산실적</v>
          </cell>
        </row>
      </sheetData>
      <sheetData sheetId="2384">
        <row r="1">
          <cell r="A1" t="str">
            <v>1월 생산실적</v>
          </cell>
        </row>
      </sheetData>
      <sheetData sheetId="2385">
        <row r="1">
          <cell r="A1" t="str">
            <v>1월 생산실적</v>
          </cell>
        </row>
      </sheetData>
      <sheetData sheetId="2386">
        <row r="1">
          <cell r="A1" t="str">
            <v>1월 생산실적</v>
          </cell>
        </row>
      </sheetData>
      <sheetData sheetId="2387">
        <row r="1">
          <cell r="A1" t="str">
            <v>1월 생산실적</v>
          </cell>
        </row>
      </sheetData>
      <sheetData sheetId="2388">
        <row r="1">
          <cell r="A1" t="str">
            <v>1월 생산실적</v>
          </cell>
        </row>
      </sheetData>
      <sheetData sheetId="2389">
        <row r="1">
          <cell r="A1" t="str">
            <v>1월 생산실적</v>
          </cell>
        </row>
      </sheetData>
      <sheetData sheetId="2390">
        <row r="1">
          <cell r="A1" t="str">
            <v>1월 생산실적</v>
          </cell>
        </row>
      </sheetData>
      <sheetData sheetId="2391">
        <row r="1">
          <cell r="A1" t="str">
            <v>1월 생산실적</v>
          </cell>
        </row>
      </sheetData>
      <sheetData sheetId="2392">
        <row r="1">
          <cell r="A1" t="str">
            <v>1월 생산실적</v>
          </cell>
        </row>
      </sheetData>
      <sheetData sheetId="2393">
        <row r="1">
          <cell r="A1" t="str">
            <v>1월 생산실적</v>
          </cell>
        </row>
      </sheetData>
      <sheetData sheetId="2394">
        <row r="1">
          <cell r="A1" t="str">
            <v>1월 생산실적</v>
          </cell>
        </row>
      </sheetData>
      <sheetData sheetId="2395">
        <row r="1">
          <cell r="A1" t="str">
            <v>1월 생산실적</v>
          </cell>
        </row>
      </sheetData>
      <sheetData sheetId="2396">
        <row r="1">
          <cell r="A1" t="str">
            <v>1월 생산실적</v>
          </cell>
        </row>
      </sheetData>
      <sheetData sheetId="2397">
        <row r="1">
          <cell r="A1" t="str">
            <v>1월 생산실적</v>
          </cell>
        </row>
      </sheetData>
      <sheetData sheetId="2398">
        <row r="1">
          <cell r="A1" t="str">
            <v>1월 생산실적</v>
          </cell>
        </row>
      </sheetData>
      <sheetData sheetId="2399">
        <row r="1">
          <cell r="A1" t="str">
            <v>1월 생산실적</v>
          </cell>
        </row>
      </sheetData>
      <sheetData sheetId="2400">
        <row r="1">
          <cell r="A1" t="str">
            <v>1월 생산실적</v>
          </cell>
        </row>
      </sheetData>
      <sheetData sheetId="2401">
        <row r="1">
          <cell r="A1" t="str">
            <v>1월 생산실적</v>
          </cell>
        </row>
      </sheetData>
      <sheetData sheetId="2402">
        <row r="1">
          <cell r="A1" t="str">
            <v>1월 생산실적</v>
          </cell>
        </row>
      </sheetData>
      <sheetData sheetId="2403">
        <row r="1">
          <cell r="A1" t="str">
            <v>1월 생산실적</v>
          </cell>
        </row>
      </sheetData>
      <sheetData sheetId="2404">
        <row r="1">
          <cell r="A1" t="str">
            <v>1월 생산실적</v>
          </cell>
        </row>
      </sheetData>
      <sheetData sheetId="2405">
        <row r="1">
          <cell r="A1" t="str">
            <v>1월 생산실적</v>
          </cell>
        </row>
      </sheetData>
      <sheetData sheetId="2406">
        <row r="1">
          <cell r="A1" t="str">
            <v>1월 생산실적</v>
          </cell>
        </row>
      </sheetData>
      <sheetData sheetId="2407">
        <row r="1">
          <cell r="A1" t="str">
            <v>1월 생산실적</v>
          </cell>
        </row>
      </sheetData>
      <sheetData sheetId="2408">
        <row r="1">
          <cell r="A1" t="str">
            <v>1월 생산실적</v>
          </cell>
        </row>
      </sheetData>
      <sheetData sheetId="2409">
        <row r="1">
          <cell r="A1" t="str">
            <v>1월 생산실적</v>
          </cell>
        </row>
      </sheetData>
      <sheetData sheetId="2410">
        <row r="1">
          <cell r="A1" t="str">
            <v>1월 생산실적</v>
          </cell>
        </row>
      </sheetData>
      <sheetData sheetId="2411">
        <row r="1">
          <cell r="A1" t="str">
            <v>1월 생산실적</v>
          </cell>
        </row>
      </sheetData>
      <sheetData sheetId="2412">
        <row r="1">
          <cell r="A1" t="str">
            <v>1월 생산실적</v>
          </cell>
        </row>
      </sheetData>
      <sheetData sheetId="2413">
        <row r="1">
          <cell r="A1" t="str">
            <v>1월 생산실적</v>
          </cell>
        </row>
      </sheetData>
      <sheetData sheetId="2414">
        <row r="1">
          <cell r="A1" t="str">
            <v>1월 생산실적</v>
          </cell>
        </row>
      </sheetData>
      <sheetData sheetId="2415">
        <row r="1">
          <cell r="A1" t="str">
            <v>1월 생산실적</v>
          </cell>
        </row>
      </sheetData>
      <sheetData sheetId="2416">
        <row r="1">
          <cell r="A1" t="str">
            <v>1월 생산실적</v>
          </cell>
        </row>
      </sheetData>
      <sheetData sheetId="2417">
        <row r="1">
          <cell r="A1" t="str">
            <v>1월 생산실적</v>
          </cell>
        </row>
      </sheetData>
      <sheetData sheetId="2418">
        <row r="1">
          <cell r="A1" t="str">
            <v>1월 생산실적</v>
          </cell>
        </row>
      </sheetData>
      <sheetData sheetId="2419">
        <row r="1">
          <cell r="A1" t="str">
            <v>1월 생산실적</v>
          </cell>
        </row>
      </sheetData>
      <sheetData sheetId="2420">
        <row r="1">
          <cell r="A1" t="str">
            <v>1월 생산실적</v>
          </cell>
        </row>
      </sheetData>
      <sheetData sheetId="2421">
        <row r="1">
          <cell r="A1" t="str">
            <v>1월 생산실적</v>
          </cell>
        </row>
      </sheetData>
      <sheetData sheetId="2422">
        <row r="1">
          <cell r="A1" t="str">
            <v>1월 생산실적</v>
          </cell>
        </row>
      </sheetData>
      <sheetData sheetId="2423">
        <row r="1">
          <cell r="A1" t="str">
            <v>1월 생산실적</v>
          </cell>
        </row>
      </sheetData>
      <sheetData sheetId="2424">
        <row r="1">
          <cell r="A1" t="str">
            <v>1월 생산실적</v>
          </cell>
        </row>
      </sheetData>
      <sheetData sheetId="2425">
        <row r="1">
          <cell r="A1" t="str">
            <v>1월 생산실적</v>
          </cell>
        </row>
      </sheetData>
      <sheetData sheetId="2426">
        <row r="1">
          <cell r="A1" t="str">
            <v>1월 생산실적</v>
          </cell>
        </row>
      </sheetData>
      <sheetData sheetId="2427">
        <row r="1">
          <cell r="A1" t="str">
            <v>1월 생산실적</v>
          </cell>
        </row>
      </sheetData>
      <sheetData sheetId="2428">
        <row r="1">
          <cell r="A1" t="str">
            <v>1월 생산실적</v>
          </cell>
        </row>
      </sheetData>
      <sheetData sheetId="2429">
        <row r="1">
          <cell r="A1" t="str">
            <v>1월 생산실적</v>
          </cell>
        </row>
      </sheetData>
      <sheetData sheetId="2430">
        <row r="1">
          <cell r="A1" t="str">
            <v>1월 생산실적</v>
          </cell>
        </row>
      </sheetData>
      <sheetData sheetId="2431">
        <row r="1">
          <cell r="A1" t="str">
            <v>1월 생산실적</v>
          </cell>
        </row>
      </sheetData>
      <sheetData sheetId="2432">
        <row r="1">
          <cell r="A1" t="str">
            <v>1월 생산실적</v>
          </cell>
        </row>
      </sheetData>
      <sheetData sheetId="2433">
        <row r="1">
          <cell r="A1" t="str">
            <v>1월 생산실적</v>
          </cell>
        </row>
      </sheetData>
      <sheetData sheetId="2434">
        <row r="1">
          <cell r="A1" t="str">
            <v>1월 생산실적</v>
          </cell>
        </row>
      </sheetData>
      <sheetData sheetId="2435">
        <row r="1">
          <cell r="A1" t="str">
            <v>1월 생산실적</v>
          </cell>
        </row>
      </sheetData>
      <sheetData sheetId="2436">
        <row r="1">
          <cell r="A1" t="str">
            <v>1월 생산실적</v>
          </cell>
        </row>
      </sheetData>
      <sheetData sheetId="2437">
        <row r="1">
          <cell r="A1" t="str">
            <v>1월 생산실적</v>
          </cell>
        </row>
      </sheetData>
      <sheetData sheetId="2438">
        <row r="1">
          <cell r="A1" t="str">
            <v>1월 생산실적</v>
          </cell>
        </row>
      </sheetData>
      <sheetData sheetId="2439">
        <row r="1">
          <cell r="A1" t="str">
            <v>1월 생산실적</v>
          </cell>
        </row>
      </sheetData>
      <sheetData sheetId="2440">
        <row r="1">
          <cell r="A1" t="str">
            <v>1월 생산실적</v>
          </cell>
        </row>
      </sheetData>
      <sheetData sheetId="2441">
        <row r="1">
          <cell r="A1" t="str">
            <v>1월 생산실적</v>
          </cell>
        </row>
      </sheetData>
      <sheetData sheetId="2442">
        <row r="1">
          <cell r="A1" t="str">
            <v>1월 생산실적</v>
          </cell>
        </row>
      </sheetData>
      <sheetData sheetId="2443">
        <row r="1">
          <cell r="A1" t="str">
            <v>1월 생산실적</v>
          </cell>
        </row>
      </sheetData>
      <sheetData sheetId="2444">
        <row r="1">
          <cell r="A1" t="str">
            <v>1월 생산실적</v>
          </cell>
        </row>
      </sheetData>
      <sheetData sheetId="2445">
        <row r="1">
          <cell r="A1" t="str">
            <v>1월 생산실적</v>
          </cell>
        </row>
      </sheetData>
      <sheetData sheetId="2446">
        <row r="1">
          <cell r="A1" t="str">
            <v>1월 생산실적</v>
          </cell>
        </row>
      </sheetData>
      <sheetData sheetId="2447">
        <row r="1">
          <cell r="A1" t="str">
            <v>1월 생산실적</v>
          </cell>
        </row>
      </sheetData>
      <sheetData sheetId="2448">
        <row r="1">
          <cell r="A1" t="str">
            <v>1월 생산실적</v>
          </cell>
        </row>
      </sheetData>
      <sheetData sheetId="2449">
        <row r="1">
          <cell r="A1" t="str">
            <v>1월 생산실적</v>
          </cell>
        </row>
      </sheetData>
      <sheetData sheetId="2450">
        <row r="1">
          <cell r="A1" t="str">
            <v>1월 생산실적</v>
          </cell>
        </row>
      </sheetData>
      <sheetData sheetId="2451">
        <row r="1">
          <cell r="A1" t="str">
            <v>1월 생산실적</v>
          </cell>
        </row>
      </sheetData>
      <sheetData sheetId="2452">
        <row r="1">
          <cell r="A1" t="str">
            <v>1월 생산실적</v>
          </cell>
        </row>
      </sheetData>
      <sheetData sheetId="2453">
        <row r="1">
          <cell r="A1" t="str">
            <v>1월 생산실적</v>
          </cell>
        </row>
      </sheetData>
      <sheetData sheetId="2454">
        <row r="1">
          <cell r="A1" t="str">
            <v>1월 생산실적</v>
          </cell>
        </row>
      </sheetData>
      <sheetData sheetId="2455">
        <row r="1">
          <cell r="A1" t="str">
            <v>1월 생산실적</v>
          </cell>
        </row>
      </sheetData>
      <sheetData sheetId="2456">
        <row r="6">
          <cell r="A6">
            <v>1</v>
          </cell>
        </row>
      </sheetData>
      <sheetData sheetId="2457">
        <row r="1">
          <cell r="A1" t="str">
            <v>1월 생산실적</v>
          </cell>
        </row>
      </sheetData>
      <sheetData sheetId="2458">
        <row r="1">
          <cell r="A1" t="str">
            <v>1월 생산실적</v>
          </cell>
        </row>
      </sheetData>
      <sheetData sheetId="2459">
        <row r="1">
          <cell r="A1" t="str">
            <v>1월 생산실적</v>
          </cell>
        </row>
      </sheetData>
      <sheetData sheetId="2460">
        <row r="1">
          <cell r="A1" t="str">
            <v>1월 생산실적</v>
          </cell>
        </row>
      </sheetData>
      <sheetData sheetId="2461">
        <row r="1">
          <cell r="A1" t="str">
            <v>1월 생산실적</v>
          </cell>
        </row>
      </sheetData>
      <sheetData sheetId="2462">
        <row r="1">
          <cell r="A1" t="str">
            <v>1월 생산실적</v>
          </cell>
        </row>
      </sheetData>
      <sheetData sheetId="2463">
        <row r="1">
          <cell r="A1" t="str">
            <v>1월 생산실적</v>
          </cell>
        </row>
      </sheetData>
      <sheetData sheetId="2464">
        <row r="1">
          <cell r="A1" t="str">
            <v>1월 생산실적</v>
          </cell>
        </row>
      </sheetData>
      <sheetData sheetId="2465">
        <row r="1">
          <cell r="A1" t="str">
            <v>1월 생산실적</v>
          </cell>
        </row>
      </sheetData>
      <sheetData sheetId="2466">
        <row r="1">
          <cell r="A1" t="str">
            <v>1월 생산실적</v>
          </cell>
        </row>
      </sheetData>
      <sheetData sheetId="2467">
        <row r="1">
          <cell r="A1" t="str">
            <v>1월 생산실적</v>
          </cell>
        </row>
      </sheetData>
      <sheetData sheetId="2468">
        <row r="1">
          <cell r="A1" t="str">
            <v>1월 생산실적</v>
          </cell>
        </row>
      </sheetData>
      <sheetData sheetId="2469">
        <row r="1">
          <cell r="A1" t="str">
            <v>1월 생산실적</v>
          </cell>
        </row>
      </sheetData>
      <sheetData sheetId="2470">
        <row r="1">
          <cell r="A1" t="str">
            <v>1월 생산실적</v>
          </cell>
        </row>
      </sheetData>
      <sheetData sheetId="2471">
        <row r="1">
          <cell r="A1" t="str">
            <v>1월 생산실적</v>
          </cell>
        </row>
      </sheetData>
      <sheetData sheetId="2472">
        <row r="1">
          <cell r="A1" t="str">
            <v>1월 생산실적</v>
          </cell>
        </row>
      </sheetData>
      <sheetData sheetId="2473">
        <row r="1">
          <cell r="A1" t="str">
            <v>1월 생산실적</v>
          </cell>
        </row>
      </sheetData>
      <sheetData sheetId="2474">
        <row r="1">
          <cell r="A1" t="str">
            <v>1월 생산실적</v>
          </cell>
        </row>
      </sheetData>
      <sheetData sheetId="2475">
        <row r="1">
          <cell r="A1" t="str">
            <v>1월 생산실적</v>
          </cell>
        </row>
      </sheetData>
      <sheetData sheetId="2476">
        <row r="1">
          <cell r="A1" t="str">
            <v>1월 생산실적</v>
          </cell>
        </row>
      </sheetData>
      <sheetData sheetId="2477">
        <row r="1">
          <cell r="A1" t="str">
            <v>1월 생산실적</v>
          </cell>
        </row>
      </sheetData>
      <sheetData sheetId="2478">
        <row r="1">
          <cell r="A1" t="str">
            <v>1월 생산실적</v>
          </cell>
        </row>
      </sheetData>
      <sheetData sheetId="2479">
        <row r="1">
          <cell r="A1" t="str">
            <v>1월 생산실적</v>
          </cell>
        </row>
      </sheetData>
      <sheetData sheetId="2480">
        <row r="1">
          <cell r="A1" t="str">
            <v>1월 생산실적</v>
          </cell>
        </row>
      </sheetData>
      <sheetData sheetId="2481">
        <row r="1">
          <cell r="A1" t="str">
            <v>1월 생산실적</v>
          </cell>
        </row>
      </sheetData>
      <sheetData sheetId="2482">
        <row r="1">
          <cell r="A1" t="str">
            <v>1월 생산실적</v>
          </cell>
        </row>
      </sheetData>
      <sheetData sheetId="2483">
        <row r="1">
          <cell r="A1" t="str">
            <v>1월 생산실적</v>
          </cell>
        </row>
      </sheetData>
      <sheetData sheetId="2484">
        <row r="1">
          <cell r="A1" t="str">
            <v>1월 생산실적</v>
          </cell>
        </row>
      </sheetData>
      <sheetData sheetId="2485">
        <row r="1">
          <cell r="A1" t="str">
            <v>1월 생산실적</v>
          </cell>
        </row>
      </sheetData>
      <sheetData sheetId="2486">
        <row r="1">
          <cell r="A1" t="str">
            <v>1월 생산실적</v>
          </cell>
        </row>
      </sheetData>
      <sheetData sheetId="2487">
        <row r="1">
          <cell r="A1" t="str">
            <v>1월 생산실적</v>
          </cell>
        </row>
      </sheetData>
      <sheetData sheetId="2488">
        <row r="1">
          <cell r="A1" t="str">
            <v>1월 생산실적</v>
          </cell>
        </row>
      </sheetData>
      <sheetData sheetId="2489">
        <row r="1">
          <cell r="A1" t="str">
            <v>1월 생산실적</v>
          </cell>
        </row>
      </sheetData>
      <sheetData sheetId="2490">
        <row r="1">
          <cell r="A1" t="str">
            <v>1월 생산실적</v>
          </cell>
        </row>
      </sheetData>
      <sheetData sheetId="2491">
        <row r="1">
          <cell r="A1" t="str">
            <v>1월 생산실적</v>
          </cell>
        </row>
      </sheetData>
      <sheetData sheetId="2492">
        <row r="1">
          <cell r="A1" t="str">
            <v>1월 생산실적</v>
          </cell>
        </row>
      </sheetData>
      <sheetData sheetId="2493">
        <row r="1">
          <cell r="A1" t="str">
            <v>1월 생산실적</v>
          </cell>
        </row>
      </sheetData>
      <sheetData sheetId="2494">
        <row r="1">
          <cell r="A1" t="str">
            <v>1월 생산실적</v>
          </cell>
        </row>
      </sheetData>
      <sheetData sheetId="2495">
        <row r="1">
          <cell r="A1" t="str">
            <v>1월 생산실적</v>
          </cell>
        </row>
      </sheetData>
      <sheetData sheetId="2496">
        <row r="1">
          <cell r="A1" t="str">
            <v>1월 생산실적</v>
          </cell>
        </row>
      </sheetData>
      <sheetData sheetId="2497">
        <row r="1">
          <cell r="A1" t="str">
            <v>1월 생산실적</v>
          </cell>
        </row>
      </sheetData>
      <sheetData sheetId="2498">
        <row r="1">
          <cell r="A1" t="str">
            <v>1월 생산실적</v>
          </cell>
        </row>
      </sheetData>
      <sheetData sheetId="2499">
        <row r="1">
          <cell r="A1" t="str">
            <v>1월 생산실적</v>
          </cell>
        </row>
      </sheetData>
      <sheetData sheetId="2500">
        <row r="1">
          <cell r="A1" t="str">
            <v>1월 생산실적</v>
          </cell>
        </row>
      </sheetData>
      <sheetData sheetId="2501">
        <row r="1">
          <cell r="A1" t="str">
            <v>1월 생산실적</v>
          </cell>
        </row>
      </sheetData>
      <sheetData sheetId="2502">
        <row r="1">
          <cell r="A1" t="str">
            <v>1월 생산실적</v>
          </cell>
        </row>
      </sheetData>
      <sheetData sheetId="2503">
        <row r="1">
          <cell r="A1" t="str">
            <v>1월 생산실적</v>
          </cell>
        </row>
      </sheetData>
      <sheetData sheetId="2504">
        <row r="1">
          <cell r="A1" t="str">
            <v>1월 생산실적</v>
          </cell>
        </row>
      </sheetData>
      <sheetData sheetId="2505">
        <row r="1">
          <cell r="A1" t="str">
            <v>1월 생산실적</v>
          </cell>
        </row>
      </sheetData>
      <sheetData sheetId="2506">
        <row r="1">
          <cell r="A1" t="str">
            <v>1월 생산실적</v>
          </cell>
        </row>
      </sheetData>
      <sheetData sheetId="2507">
        <row r="1">
          <cell r="A1" t="str">
            <v>1월 생산실적</v>
          </cell>
        </row>
      </sheetData>
      <sheetData sheetId="2508">
        <row r="1">
          <cell r="A1" t="str">
            <v>1월 생산실적</v>
          </cell>
        </row>
      </sheetData>
      <sheetData sheetId="2509">
        <row r="1">
          <cell r="A1" t="str">
            <v>1월 생산실적</v>
          </cell>
        </row>
      </sheetData>
      <sheetData sheetId="2510">
        <row r="1">
          <cell r="A1" t="str">
            <v>1월 생산실적</v>
          </cell>
        </row>
      </sheetData>
      <sheetData sheetId="2511">
        <row r="1">
          <cell r="A1" t="str">
            <v>1월 생산실적</v>
          </cell>
        </row>
      </sheetData>
      <sheetData sheetId="2512">
        <row r="1">
          <cell r="A1" t="str">
            <v>1월 생산실적</v>
          </cell>
        </row>
      </sheetData>
      <sheetData sheetId="2513">
        <row r="1">
          <cell r="A1" t="str">
            <v>1월 생산실적</v>
          </cell>
        </row>
      </sheetData>
      <sheetData sheetId="2514">
        <row r="1">
          <cell r="A1" t="str">
            <v>1월 생산실적</v>
          </cell>
        </row>
      </sheetData>
      <sheetData sheetId="2515">
        <row r="1">
          <cell r="A1" t="str">
            <v>1월 생산실적</v>
          </cell>
        </row>
      </sheetData>
      <sheetData sheetId="2516">
        <row r="1">
          <cell r="A1" t="str">
            <v>1월 생산실적</v>
          </cell>
        </row>
      </sheetData>
      <sheetData sheetId="2517">
        <row r="1">
          <cell r="A1" t="str">
            <v>1월 생산실적</v>
          </cell>
        </row>
      </sheetData>
      <sheetData sheetId="2518">
        <row r="1">
          <cell r="A1" t="str">
            <v>1월 생산실적</v>
          </cell>
        </row>
      </sheetData>
      <sheetData sheetId="2519">
        <row r="1">
          <cell r="A1" t="str">
            <v>1월 생산실적</v>
          </cell>
        </row>
      </sheetData>
      <sheetData sheetId="2520">
        <row r="1">
          <cell r="A1" t="str">
            <v>1월 생산실적</v>
          </cell>
        </row>
      </sheetData>
      <sheetData sheetId="2521">
        <row r="1">
          <cell r="A1" t="str">
            <v>1월 생산실적</v>
          </cell>
        </row>
      </sheetData>
      <sheetData sheetId="2522">
        <row r="1">
          <cell r="A1" t="str">
            <v>1월 생산실적</v>
          </cell>
        </row>
      </sheetData>
      <sheetData sheetId="2523">
        <row r="1">
          <cell r="A1" t="str">
            <v>1월 생산실적</v>
          </cell>
        </row>
      </sheetData>
      <sheetData sheetId="2524">
        <row r="1">
          <cell r="A1" t="str">
            <v>1월 생산실적</v>
          </cell>
        </row>
      </sheetData>
      <sheetData sheetId="2525">
        <row r="1">
          <cell r="A1" t="str">
            <v>1월 생산실적</v>
          </cell>
        </row>
      </sheetData>
      <sheetData sheetId="2526">
        <row r="1">
          <cell r="A1" t="str">
            <v>1월 생산실적</v>
          </cell>
        </row>
      </sheetData>
      <sheetData sheetId="2527">
        <row r="1">
          <cell r="A1" t="str">
            <v>1월 생산실적</v>
          </cell>
        </row>
      </sheetData>
      <sheetData sheetId="2528">
        <row r="1">
          <cell r="A1" t="str">
            <v>1월 생산실적</v>
          </cell>
        </row>
      </sheetData>
      <sheetData sheetId="2529">
        <row r="1">
          <cell r="A1" t="str">
            <v>1월 생산실적</v>
          </cell>
        </row>
      </sheetData>
      <sheetData sheetId="2530">
        <row r="1">
          <cell r="A1" t="str">
            <v>1월 생산실적</v>
          </cell>
        </row>
      </sheetData>
      <sheetData sheetId="2531">
        <row r="1">
          <cell r="A1" t="str">
            <v>1월 생산실적</v>
          </cell>
        </row>
      </sheetData>
      <sheetData sheetId="2532">
        <row r="1">
          <cell r="A1" t="str">
            <v>1월 생산실적</v>
          </cell>
        </row>
      </sheetData>
      <sheetData sheetId="2533">
        <row r="1">
          <cell r="A1" t="str">
            <v>1월 생산실적</v>
          </cell>
        </row>
      </sheetData>
      <sheetData sheetId="2534">
        <row r="1">
          <cell r="A1" t="str">
            <v>1월 생산실적</v>
          </cell>
        </row>
      </sheetData>
      <sheetData sheetId="2535">
        <row r="1">
          <cell r="A1" t="str">
            <v>1월 생산실적</v>
          </cell>
        </row>
      </sheetData>
      <sheetData sheetId="2536">
        <row r="1">
          <cell r="A1" t="str">
            <v>1월 생산실적</v>
          </cell>
        </row>
      </sheetData>
      <sheetData sheetId="2537">
        <row r="1">
          <cell r="A1" t="str">
            <v>1월 생산실적</v>
          </cell>
        </row>
      </sheetData>
      <sheetData sheetId="2538">
        <row r="1">
          <cell r="A1" t="str">
            <v>1월 생산실적</v>
          </cell>
        </row>
      </sheetData>
      <sheetData sheetId="2539">
        <row r="1">
          <cell r="A1" t="str">
            <v>1월 생산실적</v>
          </cell>
        </row>
      </sheetData>
      <sheetData sheetId="2540">
        <row r="1">
          <cell r="A1" t="str">
            <v>1월 생산실적</v>
          </cell>
        </row>
      </sheetData>
      <sheetData sheetId="2541">
        <row r="1">
          <cell r="A1" t="str">
            <v>1월 생산실적</v>
          </cell>
        </row>
      </sheetData>
      <sheetData sheetId="2542">
        <row r="1">
          <cell r="A1" t="str">
            <v>1월 생산실적</v>
          </cell>
        </row>
      </sheetData>
      <sheetData sheetId="2543">
        <row r="1">
          <cell r="A1" t="str">
            <v>1월 생산실적</v>
          </cell>
        </row>
      </sheetData>
      <sheetData sheetId="2544">
        <row r="1">
          <cell r="A1" t="str">
            <v>1월 생산실적</v>
          </cell>
        </row>
      </sheetData>
      <sheetData sheetId="2545">
        <row r="1">
          <cell r="A1" t="str">
            <v>1월 생산실적</v>
          </cell>
        </row>
      </sheetData>
      <sheetData sheetId="2546">
        <row r="1">
          <cell r="A1" t="str">
            <v>1월 생산실적</v>
          </cell>
        </row>
      </sheetData>
      <sheetData sheetId="2547">
        <row r="1">
          <cell r="A1" t="str">
            <v>1월 생산실적</v>
          </cell>
        </row>
      </sheetData>
      <sheetData sheetId="2548">
        <row r="1">
          <cell r="A1" t="str">
            <v>1월 생산실적</v>
          </cell>
        </row>
      </sheetData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>
        <row r="1">
          <cell r="A1" t="str">
            <v>1월 생산실적</v>
          </cell>
        </row>
      </sheetData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>
        <row r="1">
          <cell r="A1" t="str">
            <v>1월 생산실적</v>
          </cell>
        </row>
      </sheetData>
      <sheetData sheetId="2597">
        <row r="1">
          <cell r="A1" t="str">
            <v>1월 생산실적</v>
          </cell>
        </row>
      </sheetData>
      <sheetData sheetId="2598">
        <row r="1">
          <cell r="A1" t="str">
            <v>1월 생산실적</v>
          </cell>
        </row>
      </sheetData>
      <sheetData sheetId="2599" refreshError="1"/>
      <sheetData sheetId="2600" refreshError="1"/>
      <sheetData sheetId="2601" refreshError="1"/>
      <sheetData sheetId="2602">
        <row r="1">
          <cell r="A1" t="str">
            <v>1월 생산실적</v>
          </cell>
        </row>
      </sheetData>
      <sheetData sheetId="2603">
        <row r="1">
          <cell r="A1" t="str">
            <v>1월 생산실적</v>
          </cell>
        </row>
      </sheetData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>
        <row r="1">
          <cell r="A1" t="str">
            <v>1월 생산실적</v>
          </cell>
        </row>
      </sheetData>
      <sheetData sheetId="2614">
        <row r="1">
          <cell r="A1" t="str">
            <v>1월 생산실적</v>
          </cell>
        </row>
      </sheetData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>
        <row r="1">
          <cell r="A1" t="str">
            <v>1월 생산실적</v>
          </cell>
        </row>
      </sheetData>
      <sheetData sheetId="2704">
        <row r="1">
          <cell r="A1" t="str">
            <v>1월 생산실적</v>
          </cell>
        </row>
      </sheetData>
      <sheetData sheetId="2705">
        <row r="1">
          <cell r="A1" t="str">
            <v>1월 생산실적</v>
          </cell>
        </row>
      </sheetData>
      <sheetData sheetId="2706">
        <row r="1">
          <cell r="A1" t="str">
            <v>1월 생산실적</v>
          </cell>
        </row>
      </sheetData>
      <sheetData sheetId="2707">
        <row r="1">
          <cell r="A1" t="str">
            <v>1월 생산실적</v>
          </cell>
        </row>
      </sheetData>
      <sheetData sheetId="2708">
        <row r="1">
          <cell r="A1" t="str">
            <v>1월 생산실적</v>
          </cell>
        </row>
      </sheetData>
      <sheetData sheetId="2709">
        <row r="1">
          <cell r="A1" t="str">
            <v>1월 생산실적</v>
          </cell>
        </row>
      </sheetData>
      <sheetData sheetId="2710">
        <row r="1">
          <cell r="A1" t="str">
            <v>1월 생산실적</v>
          </cell>
        </row>
      </sheetData>
      <sheetData sheetId="2711">
        <row r="1">
          <cell r="A1" t="str">
            <v>1월 생산실적</v>
          </cell>
        </row>
      </sheetData>
      <sheetData sheetId="2712">
        <row r="1">
          <cell r="A1" t="str">
            <v>1월 생산실적</v>
          </cell>
        </row>
      </sheetData>
      <sheetData sheetId="2713">
        <row r="1">
          <cell r="A1" t="str">
            <v>1월 생산실적</v>
          </cell>
        </row>
      </sheetData>
      <sheetData sheetId="2714">
        <row r="1">
          <cell r="A1" t="str">
            <v>1월 생산실적</v>
          </cell>
        </row>
      </sheetData>
      <sheetData sheetId="2715">
        <row r="1">
          <cell r="A1" t="str">
            <v>1월 생산실적</v>
          </cell>
        </row>
      </sheetData>
      <sheetData sheetId="2716">
        <row r="1">
          <cell r="A1" t="str">
            <v>1월 생산실적</v>
          </cell>
        </row>
      </sheetData>
      <sheetData sheetId="2717">
        <row r="1">
          <cell r="A1" t="str">
            <v>1월 생산실적</v>
          </cell>
        </row>
      </sheetData>
      <sheetData sheetId="2718">
        <row r="1">
          <cell r="A1" t="str">
            <v>1월 생산실적</v>
          </cell>
        </row>
      </sheetData>
      <sheetData sheetId="2719">
        <row r="1">
          <cell r="A1" t="str">
            <v>1월 생산실적</v>
          </cell>
        </row>
      </sheetData>
      <sheetData sheetId="2720">
        <row r="1">
          <cell r="A1" t="str">
            <v>1월 생산실적</v>
          </cell>
        </row>
      </sheetData>
      <sheetData sheetId="2721">
        <row r="1">
          <cell r="A1" t="str">
            <v>1월 생산실적</v>
          </cell>
        </row>
      </sheetData>
      <sheetData sheetId="2722">
        <row r="1">
          <cell r="A1" t="str">
            <v>1월 생산실적</v>
          </cell>
        </row>
      </sheetData>
      <sheetData sheetId="2723">
        <row r="1">
          <cell r="A1" t="str">
            <v>1월 생산실적</v>
          </cell>
        </row>
      </sheetData>
      <sheetData sheetId="2724">
        <row r="1">
          <cell r="A1" t="str">
            <v>1월 생산실적</v>
          </cell>
        </row>
      </sheetData>
      <sheetData sheetId="2725">
        <row r="1">
          <cell r="A1" t="str">
            <v>1월 생산실적</v>
          </cell>
        </row>
      </sheetData>
      <sheetData sheetId="2726">
        <row r="1">
          <cell r="A1" t="str">
            <v>1월 생산실적</v>
          </cell>
        </row>
      </sheetData>
      <sheetData sheetId="2727">
        <row r="1">
          <cell r="A1" t="str">
            <v>1월 생산실적</v>
          </cell>
        </row>
      </sheetData>
      <sheetData sheetId="2728">
        <row r="1">
          <cell r="A1" t="str">
            <v>1월 생산실적</v>
          </cell>
        </row>
      </sheetData>
      <sheetData sheetId="2729">
        <row r="1">
          <cell r="A1" t="str">
            <v>1월 생산실적</v>
          </cell>
        </row>
      </sheetData>
      <sheetData sheetId="2730">
        <row r="1">
          <cell r="A1" t="str">
            <v>1월 생산실적</v>
          </cell>
        </row>
      </sheetData>
      <sheetData sheetId="2731">
        <row r="1">
          <cell r="A1" t="str">
            <v>1월 생산실적</v>
          </cell>
        </row>
      </sheetData>
      <sheetData sheetId="2732">
        <row r="1">
          <cell r="A1" t="str">
            <v>1월 생산실적</v>
          </cell>
        </row>
      </sheetData>
      <sheetData sheetId="2733">
        <row r="1">
          <cell r="A1" t="str">
            <v>1월 생산실적</v>
          </cell>
        </row>
      </sheetData>
      <sheetData sheetId="2734">
        <row r="1">
          <cell r="A1" t="str">
            <v>1월 생산실적</v>
          </cell>
        </row>
      </sheetData>
      <sheetData sheetId="2735">
        <row r="1">
          <cell r="A1" t="str">
            <v>1월 생산실적</v>
          </cell>
        </row>
      </sheetData>
      <sheetData sheetId="2736">
        <row r="1">
          <cell r="A1" t="str">
            <v>1월 생산실적</v>
          </cell>
        </row>
      </sheetData>
      <sheetData sheetId="2737">
        <row r="1">
          <cell r="A1" t="str">
            <v>1월 생산실적</v>
          </cell>
        </row>
      </sheetData>
      <sheetData sheetId="2738">
        <row r="1">
          <cell r="A1" t="str">
            <v>1월 생산실적</v>
          </cell>
        </row>
      </sheetData>
      <sheetData sheetId="2739">
        <row r="1">
          <cell r="A1" t="str">
            <v>1월 생산실적</v>
          </cell>
        </row>
      </sheetData>
      <sheetData sheetId="2740">
        <row r="1">
          <cell r="A1" t="str">
            <v>1월 생산실적</v>
          </cell>
        </row>
      </sheetData>
      <sheetData sheetId="2741">
        <row r="1">
          <cell r="A1" t="str">
            <v>1월 생산실적</v>
          </cell>
        </row>
      </sheetData>
      <sheetData sheetId="2742">
        <row r="1">
          <cell r="A1" t="str">
            <v>1월 생산실적</v>
          </cell>
        </row>
      </sheetData>
      <sheetData sheetId="2743">
        <row r="1">
          <cell r="A1" t="str">
            <v>1월 생산실적</v>
          </cell>
        </row>
      </sheetData>
      <sheetData sheetId="2744">
        <row r="1">
          <cell r="A1" t="str">
            <v>1월 생산실적</v>
          </cell>
        </row>
      </sheetData>
      <sheetData sheetId="2745">
        <row r="1">
          <cell r="A1" t="str">
            <v>1월 생산실적</v>
          </cell>
        </row>
      </sheetData>
      <sheetData sheetId="2746">
        <row r="1">
          <cell r="A1" t="str">
            <v>1월 생산실적</v>
          </cell>
        </row>
      </sheetData>
      <sheetData sheetId="2747">
        <row r="1">
          <cell r="A1" t="str">
            <v>1월 생산실적</v>
          </cell>
        </row>
      </sheetData>
      <sheetData sheetId="2748">
        <row r="1">
          <cell r="A1" t="str">
            <v>1월 생산실적</v>
          </cell>
        </row>
      </sheetData>
      <sheetData sheetId="2749">
        <row r="1">
          <cell r="A1" t="str">
            <v>1월 생산실적</v>
          </cell>
        </row>
      </sheetData>
      <sheetData sheetId="2750">
        <row r="1">
          <cell r="A1" t="str">
            <v>1월 생산실적</v>
          </cell>
        </row>
      </sheetData>
      <sheetData sheetId="2751">
        <row r="1">
          <cell r="A1" t="str">
            <v>1월 생산실적</v>
          </cell>
        </row>
      </sheetData>
      <sheetData sheetId="2752">
        <row r="1">
          <cell r="A1" t="str">
            <v>1월 생산실적</v>
          </cell>
        </row>
      </sheetData>
      <sheetData sheetId="2753">
        <row r="1">
          <cell r="A1" t="str">
            <v>1월 생산실적</v>
          </cell>
        </row>
      </sheetData>
      <sheetData sheetId="2754">
        <row r="1">
          <cell r="A1" t="str">
            <v>1월 생산실적</v>
          </cell>
        </row>
      </sheetData>
      <sheetData sheetId="2755">
        <row r="1">
          <cell r="A1" t="str">
            <v>1월 생산실적</v>
          </cell>
        </row>
      </sheetData>
      <sheetData sheetId="2756">
        <row r="1">
          <cell r="A1" t="str">
            <v>1월 생산실적</v>
          </cell>
        </row>
      </sheetData>
      <sheetData sheetId="2757">
        <row r="1">
          <cell r="A1" t="str">
            <v>1월 생산실적</v>
          </cell>
        </row>
      </sheetData>
      <sheetData sheetId="2758">
        <row r="1">
          <cell r="A1" t="str">
            <v>1월 생산실적</v>
          </cell>
        </row>
      </sheetData>
      <sheetData sheetId="2759">
        <row r="1">
          <cell r="A1" t="str">
            <v>1월 생산실적</v>
          </cell>
        </row>
      </sheetData>
      <sheetData sheetId="2760">
        <row r="1">
          <cell r="A1" t="str">
            <v>1월 생산실적</v>
          </cell>
        </row>
      </sheetData>
      <sheetData sheetId="2761">
        <row r="1">
          <cell r="A1" t="str">
            <v>1월 생산실적</v>
          </cell>
        </row>
      </sheetData>
      <sheetData sheetId="2762">
        <row r="1">
          <cell r="A1" t="str">
            <v>1월 생산실적</v>
          </cell>
        </row>
      </sheetData>
      <sheetData sheetId="2763">
        <row r="1">
          <cell r="A1" t="str">
            <v>1월 생산실적</v>
          </cell>
        </row>
      </sheetData>
      <sheetData sheetId="2764">
        <row r="1">
          <cell r="A1" t="str">
            <v>1월 생산실적</v>
          </cell>
        </row>
      </sheetData>
      <sheetData sheetId="2765">
        <row r="1">
          <cell r="A1" t="str">
            <v>1월 생산실적</v>
          </cell>
        </row>
      </sheetData>
      <sheetData sheetId="2766">
        <row r="1">
          <cell r="A1" t="str">
            <v>1월 생산실적</v>
          </cell>
        </row>
      </sheetData>
      <sheetData sheetId="2767">
        <row r="1">
          <cell r="A1" t="str">
            <v>1월 생산실적</v>
          </cell>
        </row>
      </sheetData>
      <sheetData sheetId="2768">
        <row r="1">
          <cell r="A1" t="str">
            <v>1월 생산실적</v>
          </cell>
        </row>
      </sheetData>
      <sheetData sheetId="2769">
        <row r="1">
          <cell r="A1" t="str">
            <v>1월 생산실적</v>
          </cell>
        </row>
      </sheetData>
      <sheetData sheetId="2770">
        <row r="1">
          <cell r="A1" t="str">
            <v>1월 생산실적</v>
          </cell>
        </row>
      </sheetData>
      <sheetData sheetId="2771">
        <row r="1">
          <cell r="A1" t="str">
            <v>1월 생산실적</v>
          </cell>
        </row>
      </sheetData>
      <sheetData sheetId="2772">
        <row r="1">
          <cell r="A1" t="str">
            <v>1월 생산실적</v>
          </cell>
        </row>
      </sheetData>
      <sheetData sheetId="2773">
        <row r="1">
          <cell r="A1" t="str">
            <v>1월 생산실적</v>
          </cell>
        </row>
      </sheetData>
      <sheetData sheetId="2774">
        <row r="1">
          <cell r="A1" t="str">
            <v>1월 생산실적</v>
          </cell>
        </row>
      </sheetData>
      <sheetData sheetId="2775">
        <row r="1">
          <cell r="A1" t="str">
            <v>1월 생산실적</v>
          </cell>
        </row>
      </sheetData>
      <sheetData sheetId="2776">
        <row r="1">
          <cell r="A1" t="str">
            <v>1월 생산실적</v>
          </cell>
        </row>
      </sheetData>
      <sheetData sheetId="2777">
        <row r="1">
          <cell r="A1" t="str">
            <v>1월 생산실적</v>
          </cell>
        </row>
      </sheetData>
      <sheetData sheetId="2778">
        <row r="1">
          <cell r="A1" t="str">
            <v>1월 생산실적</v>
          </cell>
        </row>
      </sheetData>
      <sheetData sheetId="2779">
        <row r="1">
          <cell r="A1" t="str">
            <v>1월 생산실적</v>
          </cell>
        </row>
      </sheetData>
      <sheetData sheetId="2780">
        <row r="1">
          <cell r="A1" t="str">
            <v>1월 생산실적</v>
          </cell>
        </row>
      </sheetData>
      <sheetData sheetId="2781">
        <row r="1">
          <cell r="A1" t="str">
            <v>1월 생산실적</v>
          </cell>
        </row>
      </sheetData>
      <sheetData sheetId="2782">
        <row r="1">
          <cell r="A1" t="str">
            <v>1월 생산실적</v>
          </cell>
        </row>
      </sheetData>
      <sheetData sheetId="2783">
        <row r="1">
          <cell r="A1" t="str">
            <v>1월 생산실적</v>
          </cell>
        </row>
      </sheetData>
      <sheetData sheetId="2784">
        <row r="1">
          <cell r="A1" t="str">
            <v>1월 생산실적</v>
          </cell>
        </row>
      </sheetData>
      <sheetData sheetId="2785">
        <row r="1">
          <cell r="A1" t="str">
            <v>1월 생산실적</v>
          </cell>
        </row>
      </sheetData>
      <sheetData sheetId="2786">
        <row r="1">
          <cell r="A1" t="str">
            <v>1월 생산실적</v>
          </cell>
        </row>
      </sheetData>
      <sheetData sheetId="2787">
        <row r="1">
          <cell r="A1" t="str">
            <v>1월 생산실적</v>
          </cell>
        </row>
      </sheetData>
      <sheetData sheetId="2788">
        <row r="1">
          <cell r="A1" t="str">
            <v>1월 생산실적</v>
          </cell>
        </row>
      </sheetData>
      <sheetData sheetId="2789">
        <row r="1">
          <cell r="A1" t="str">
            <v>1월 생산실적</v>
          </cell>
        </row>
      </sheetData>
      <sheetData sheetId="2790">
        <row r="1">
          <cell r="A1" t="str">
            <v>1월 생산실적</v>
          </cell>
        </row>
      </sheetData>
      <sheetData sheetId="2791">
        <row r="1">
          <cell r="A1" t="str">
            <v>1월 생산실적</v>
          </cell>
        </row>
      </sheetData>
      <sheetData sheetId="2792">
        <row r="1">
          <cell r="A1" t="str">
            <v>1월 생산실적</v>
          </cell>
        </row>
      </sheetData>
      <sheetData sheetId="2793">
        <row r="1">
          <cell r="A1" t="str">
            <v>1월 생산실적</v>
          </cell>
        </row>
      </sheetData>
      <sheetData sheetId="2794">
        <row r="1">
          <cell r="A1" t="str">
            <v>1월 생산실적</v>
          </cell>
        </row>
      </sheetData>
      <sheetData sheetId="2795">
        <row r="1">
          <cell r="A1" t="str">
            <v>1월 생산실적</v>
          </cell>
        </row>
      </sheetData>
      <sheetData sheetId="2796">
        <row r="1">
          <cell r="A1" t="str">
            <v>1월 생산실적</v>
          </cell>
        </row>
      </sheetData>
      <sheetData sheetId="2797">
        <row r="1">
          <cell r="A1" t="str">
            <v>1월 생산실적</v>
          </cell>
        </row>
      </sheetData>
      <sheetData sheetId="2798">
        <row r="1">
          <cell r="A1" t="str">
            <v>1월 생산실적</v>
          </cell>
        </row>
      </sheetData>
      <sheetData sheetId="2799">
        <row r="1">
          <cell r="A1" t="str">
            <v>1월 생산실적</v>
          </cell>
        </row>
      </sheetData>
      <sheetData sheetId="2800">
        <row r="1">
          <cell r="A1" t="str">
            <v>1월 생산실적</v>
          </cell>
        </row>
      </sheetData>
      <sheetData sheetId="2801">
        <row r="1">
          <cell r="A1" t="str">
            <v>1월 생산실적</v>
          </cell>
        </row>
      </sheetData>
      <sheetData sheetId="2802">
        <row r="1">
          <cell r="A1" t="str">
            <v>1월 생산실적</v>
          </cell>
        </row>
      </sheetData>
      <sheetData sheetId="2803">
        <row r="1">
          <cell r="A1" t="str">
            <v>1월 생산실적</v>
          </cell>
        </row>
      </sheetData>
      <sheetData sheetId="2804">
        <row r="1">
          <cell r="A1" t="str">
            <v>1월 생산실적</v>
          </cell>
        </row>
      </sheetData>
      <sheetData sheetId="2805">
        <row r="1">
          <cell r="A1" t="str">
            <v>1월 생산실적</v>
          </cell>
        </row>
      </sheetData>
      <sheetData sheetId="2806">
        <row r="1">
          <cell r="A1" t="str">
            <v>1월 생산실적</v>
          </cell>
        </row>
      </sheetData>
      <sheetData sheetId="2807">
        <row r="1">
          <cell r="A1" t="str">
            <v>1월 생산실적</v>
          </cell>
        </row>
      </sheetData>
      <sheetData sheetId="2808">
        <row r="1">
          <cell r="A1" t="str">
            <v>1월 생산실적</v>
          </cell>
        </row>
      </sheetData>
      <sheetData sheetId="2809">
        <row r="1">
          <cell r="A1" t="str">
            <v>1월 생산실적</v>
          </cell>
        </row>
      </sheetData>
      <sheetData sheetId="2810">
        <row r="1">
          <cell r="A1" t="str">
            <v>1월 생산실적</v>
          </cell>
        </row>
      </sheetData>
      <sheetData sheetId="2811">
        <row r="1">
          <cell r="A1" t="str">
            <v>1월 생산실적</v>
          </cell>
        </row>
      </sheetData>
      <sheetData sheetId="2812">
        <row r="1">
          <cell r="A1" t="str">
            <v>1월 생산실적</v>
          </cell>
        </row>
      </sheetData>
      <sheetData sheetId="2813">
        <row r="1">
          <cell r="A1" t="str">
            <v>1월 생산실적</v>
          </cell>
        </row>
      </sheetData>
      <sheetData sheetId="2814">
        <row r="1">
          <cell r="A1" t="str">
            <v>1월 생산실적</v>
          </cell>
        </row>
      </sheetData>
      <sheetData sheetId="2815">
        <row r="1">
          <cell r="A1" t="str">
            <v>1월 생산실적</v>
          </cell>
        </row>
      </sheetData>
      <sheetData sheetId="2816">
        <row r="1">
          <cell r="A1" t="str">
            <v>1월 생산실적</v>
          </cell>
        </row>
      </sheetData>
      <sheetData sheetId="2817">
        <row r="1">
          <cell r="A1" t="str">
            <v>1월 생산실적</v>
          </cell>
        </row>
      </sheetData>
      <sheetData sheetId="2818">
        <row r="1">
          <cell r="A1" t="str">
            <v>1월 생산실적</v>
          </cell>
        </row>
      </sheetData>
      <sheetData sheetId="2819">
        <row r="1">
          <cell r="A1" t="str">
            <v>1월 생산실적</v>
          </cell>
        </row>
      </sheetData>
      <sheetData sheetId="2820">
        <row r="1">
          <cell r="A1" t="str">
            <v>1월 생산실적</v>
          </cell>
        </row>
      </sheetData>
      <sheetData sheetId="2821">
        <row r="1">
          <cell r="A1" t="str">
            <v>1월 생산실적</v>
          </cell>
        </row>
      </sheetData>
      <sheetData sheetId="2822">
        <row r="1">
          <cell r="A1" t="str">
            <v>1월 생산실적</v>
          </cell>
        </row>
      </sheetData>
      <sheetData sheetId="2823">
        <row r="1">
          <cell r="A1" t="str">
            <v>1월 생산실적</v>
          </cell>
        </row>
      </sheetData>
      <sheetData sheetId="2824">
        <row r="1">
          <cell r="A1" t="str">
            <v>1월 생산실적</v>
          </cell>
        </row>
      </sheetData>
      <sheetData sheetId="2825">
        <row r="1">
          <cell r="A1" t="str">
            <v>1월 생산실적</v>
          </cell>
        </row>
      </sheetData>
      <sheetData sheetId="2826">
        <row r="1">
          <cell r="A1" t="str">
            <v>1월 생산실적</v>
          </cell>
        </row>
      </sheetData>
      <sheetData sheetId="2827">
        <row r="1">
          <cell r="A1" t="str">
            <v>1월 생산실적</v>
          </cell>
        </row>
      </sheetData>
      <sheetData sheetId="2828">
        <row r="1">
          <cell r="A1" t="str">
            <v>1월 생산실적</v>
          </cell>
        </row>
      </sheetData>
      <sheetData sheetId="2829">
        <row r="1">
          <cell r="A1" t="str">
            <v>1월 생산실적</v>
          </cell>
        </row>
      </sheetData>
      <sheetData sheetId="2830">
        <row r="1">
          <cell r="A1" t="str">
            <v>1월 생산실적</v>
          </cell>
        </row>
      </sheetData>
      <sheetData sheetId="2831">
        <row r="1">
          <cell r="A1" t="str">
            <v>1월 생산실적</v>
          </cell>
        </row>
      </sheetData>
      <sheetData sheetId="2832">
        <row r="1">
          <cell r="A1" t="str">
            <v>1월 생산실적</v>
          </cell>
        </row>
      </sheetData>
      <sheetData sheetId="2833">
        <row r="1">
          <cell r="A1" t="str">
            <v>1월 생산실적</v>
          </cell>
        </row>
      </sheetData>
      <sheetData sheetId="2834">
        <row r="1">
          <cell r="A1" t="str">
            <v>1월 생산실적</v>
          </cell>
        </row>
      </sheetData>
      <sheetData sheetId="2835">
        <row r="1">
          <cell r="A1" t="str">
            <v>1월 생산실적</v>
          </cell>
        </row>
      </sheetData>
      <sheetData sheetId="2836">
        <row r="1">
          <cell r="A1" t="str">
            <v>1월 생산실적</v>
          </cell>
        </row>
      </sheetData>
      <sheetData sheetId="2837">
        <row r="1">
          <cell r="A1" t="str">
            <v>1월 생산실적</v>
          </cell>
        </row>
      </sheetData>
      <sheetData sheetId="2838">
        <row r="1">
          <cell r="A1" t="str">
            <v>1월 생산실적</v>
          </cell>
        </row>
      </sheetData>
      <sheetData sheetId="2839">
        <row r="1">
          <cell r="A1" t="str">
            <v>1월 생산실적</v>
          </cell>
        </row>
      </sheetData>
      <sheetData sheetId="2840">
        <row r="1">
          <cell r="A1" t="str">
            <v>1월 생산실적</v>
          </cell>
        </row>
      </sheetData>
      <sheetData sheetId="2841">
        <row r="1">
          <cell r="A1" t="str">
            <v>1월 생산실적</v>
          </cell>
        </row>
      </sheetData>
      <sheetData sheetId="2842">
        <row r="1">
          <cell r="A1" t="str">
            <v>1월 생산실적</v>
          </cell>
        </row>
      </sheetData>
      <sheetData sheetId="2843">
        <row r="1">
          <cell r="A1" t="str">
            <v>1월 생산실적</v>
          </cell>
        </row>
      </sheetData>
      <sheetData sheetId="2844">
        <row r="1">
          <cell r="A1" t="str">
            <v>1월 생산실적</v>
          </cell>
        </row>
      </sheetData>
      <sheetData sheetId="2845">
        <row r="1">
          <cell r="A1" t="str">
            <v>1월 생산실적</v>
          </cell>
        </row>
      </sheetData>
      <sheetData sheetId="2846">
        <row r="1">
          <cell r="A1" t="str">
            <v>1월 생산실적</v>
          </cell>
        </row>
      </sheetData>
      <sheetData sheetId="2847">
        <row r="1">
          <cell r="A1" t="str">
            <v>1월 생산실적</v>
          </cell>
        </row>
      </sheetData>
      <sheetData sheetId="2848">
        <row r="1">
          <cell r="A1" t="str">
            <v>1월 생산실적</v>
          </cell>
        </row>
      </sheetData>
      <sheetData sheetId="2849">
        <row r="1">
          <cell r="A1" t="str">
            <v>1월 생산실적</v>
          </cell>
        </row>
      </sheetData>
      <sheetData sheetId="2850">
        <row r="1">
          <cell r="A1" t="str">
            <v>1월 생산실적</v>
          </cell>
        </row>
      </sheetData>
      <sheetData sheetId="2851">
        <row r="1">
          <cell r="A1" t="str">
            <v>1월 생산실적</v>
          </cell>
        </row>
      </sheetData>
      <sheetData sheetId="2852">
        <row r="1">
          <cell r="A1" t="str">
            <v>1월 생산실적</v>
          </cell>
        </row>
      </sheetData>
      <sheetData sheetId="2853">
        <row r="1">
          <cell r="A1" t="str">
            <v>1월 생산실적</v>
          </cell>
        </row>
      </sheetData>
      <sheetData sheetId="2854">
        <row r="1">
          <cell r="A1" t="str">
            <v>1월 생산실적</v>
          </cell>
        </row>
      </sheetData>
      <sheetData sheetId="2855">
        <row r="1">
          <cell r="A1" t="str">
            <v>1월 생산실적</v>
          </cell>
        </row>
      </sheetData>
      <sheetData sheetId="2856">
        <row r="1">
          <cell r="A1" t="str">
            <v>1월 생산실적</v>
          </cell>
        </row>
      </sheetData>
      <sheetData sheetId="2857">
        <row r="1">
          <cell r="A1" t="str">
            <v>1월 생산실적</v>
          </cell>
        </row>
      </sheetData>
      <sheetData sheetId="2858">
        <row r="1">
          <cell r="A1" t="str">
            <v>1월 생산실적</v>
          </cell>
        </row>
      </sheetData>
      <sheetData sheetId="2859">
        <row r="1">
          <cell r="A1" t="str">
            <v>1월 생산실적</v>
          </cell>
        </row>
      </sheetData>
      <sheetData sheetId="2860">
        <row r="1">
          <cell r="A1" t="str">
            <v>1월 생산실적</v>
          </cell>
        </row>
      </sheetData>
      <sheetData sheetId="2861">
        <row r="1">
          <cell r="A1" t="str">
            <v>1월 생산실적</v>
          </cell>
        </row>
      </sheetData>
      <sheetData sheetId="2862">
        <row r="1">
          <cell r="A1" t="str">
            <v>1월 생산실적</v>
          </cell>
        </row>
      </sheetData>
      <sheetData sheetId="2863">
        <row r="1">
          <cell r="A1" t="str">
            <v>1월 생산실적</v>
          </cell>
        </row>
      </sheetData>
      <sheetData sheetId="2864">
        <row r="1">
          <cell r="A1" t="str">
            <v>1월 생산실적</v>
          </cell>
        </row>
      </sheetData>
      <sheetData sheetId="2865">
        <row r="1">
          <cell r="A1" t="str">
            <v>1월 생산실적</v>
          </cell>
        </row>
      </sheetData>
      <sheetData sheetId="2866">
        <row r="1">
          <cell r="A1" t="str">
            <v>1월 생산실적</v>
          </cell>
        </row>
      </sheetData>
      <sheetData sheetId="2867">
        <row r="1">
          <cell r="A1" t="str">
            <v>1월 생산실적</v>
          </cell>
        </row>
      </sheetData>
      <sheetData sheetId="2868">
        <row r="1">
          <cell r="A1" t="str">
            <v>1월 생산실적</v>
          </cell>
        </row>
      </sheetData>
      <sheetData sheetId="2869">
        <row r="1">
          <cell r="A1" t="str">
            <v>1월 생산실적</v>
          </cell>
        </row>
      </sheetData>
      <sheetData sheetId="2870">
        <row r="1">
          <cell r="A1" t="str">
            <v>1월 생산실적</v>
          </cell>
        </row>
      </sheetData>
      <sheetData sheetId="2871">
        <row r="1">
          <cell r="A1" t="str">
            <v>1월 생산실적</v>
          </cell>
        </row>
      </sheetData>
      <sheetData sheetId="2872">
        <row r="1">
          <cell r="A1" t="str">
            <v>1월 생산실적</v>
          </cell>
        </row>
      </sheetData>
      <sheetData sheetId="2873">
        <row r="1">
          <cell r="A1" t="str">
            <v>1월 생산실적</v>
          </cell>
        </row>
      </sheetData>
      <sheetData sheetId="2874">
        <row r="1">
          <cell r="A1" t="str">
            <v>1월 생산실적</v>
          </cell>
        </row>
      </sheetData>
      <sheetData sheetId="2875">
        <row r="1">
          <cell r="A1" t="str">
            <v>1월 생산실적</v>
          </cell>
        </row>
      </sheetData>
      <sheetData sheetId="2876">
        <row r="1">
          <cell r="A1" t="str">
            <v>1월 생산실적</v>
          </cell>
        </row>
      </sheetData>
      <sheetData sheetId="2877">
        <row r="1">
          <cell r="A1" t="str">
            <v>1월 생산실적</v>
          </cell>
        </row>
      </sheetData>
      <sheetData sheetId="2878">
        <row r="1">
          <cell r="A1" t="str">
            <v>1월 생산실적</v>
          </cell>
        </row>
      </sheetData>
      <sheetData sheetId="2879">
        <row r="1">
          <cell r="A1" t="str">
            <v>1월 생산실적</v>
          </cell>
        </row>
      </sheetData>
      <sheetData sheetId="2880">
        <row r="1">
          <cell r="A1" t="str">
            <v>1월 생산실적</v>
          </cell>
        </row>
      </sheetData>
      <sheetData sheetId="2881">
        <row r="1">
          <cell r="A1" t="str">
            <v>1월 생산실적</v>
          </cell>
        </row>
      </sheetData>
      <sheetData sheetId="2882">
        <row r="1">
          <cell r="A1" t="str">
            <v>1월 생산실적</v>
          </cell>
        </row>
      </sheetData>
      <sheetData sheetId="2883">
        <row r="1">
          <cell r="A1" t="str">
            <v>1월 생산실적</v>
          </cell>
        </row>
      </sheetData>
      <sheetData sheetId="2884">
        <row r="1">
          <cell r="A1" t="str">
            <v>1월 생산실적</v>
          </cell>
        </row>
      </sheetData>
      <sheetData sheetId="2885">
        <row r="1">
          <cell r="A1" t="str">
            <v>1월 생산실적</v>
          </cell>
        </row>
      </sheetData>
      <sheetData sheetId="2886">
        <row r="1">
          <cell r="A1" t="str">
            <v>1월 생산실적</v>
          </cell>
        </row>
      </sheetData>
      <sheetData sheetId="2887">
        <row r="1">
          <cell r="A1" t="str">
            <v>1월 생산실적</v>
          </cell>
        </row>
      </sheetData>
      <sheetData sheetId="2888">
        <row r="1">
          <cell r="A1" t="str">
            <v>1월 생산실적</v>
          </cell>
        </row>
      </sheetData>
      <sheetData sheetId="2889">
        <row r="1">
          <cell r="A1" t="str">
            <v>1월 생산실적</v>
          </cell>
        </row>
      </sheetData>
      <sheetData sheetId="2890">
        <row r="1">
          <cell r="A1" t="str">
            <v>1월 생산실적</v>
          </cell>
        </row>
      </sheetData>
      <sheetData sheetId="2891">
        <row r="1">
          <cell r="A1" t="str">
            <v>1월 생산실적</v>
          </cell>
        </row>
      </sheetData>
      <sheetData sheetId="2892">
        <row r="1">
          <cell r="A1" t="str">
            <v>1월 생산실적</v>
          </cell>
        </row>
      </sheetData>
      <sheetData sheetId="2893">
        <row r="1">
          <cell r="A1" t="str">
            <v>1월 생산실적</v>
          </cell>
        </row>
      </sheetData>
      <sheetData sheetId="2894">
        <row r="1">
          <cell r="A1" t="str">
            <v>1월 생산실적</v>
          </cell>
        </row>
      </sheetData>
      <sheetData sheetId="2895">
        <row r="1">
          <cell r="A1" t="str">
            <v>1월 생산실적</v>
          </cell>
        </row>
      </sheetData>
      <sheetData sheetId="2896">
        <row r="1">
          <cell r="A1" t="str">
            <v>1월 생산실적</v>
          </cell>
        </row>
      </sheetData>
      <sheetData sheetId="2897">
        <row r="1">
          <cell r="A1" t="str">
            <v>1월 생산실적</v>
          </cell>
        </row>
      </sheetData>
      <sheetData sheetId="2898">
        <row r="1">
          <cell r="A1" t="str">
            <v>1월 생산실적</v>
          </cell>
        </row>
      </sheetData>
      <sheetData sheetId="2899">
        <row r="1">
          <cell r="A1" t="str">
            <v>1월 생산실적</v>
          </cell>
        </row>
      </sheetData>
      <sheetData sheetId="2900">
        <row r="1">
          <cell r="A1" t="str">
            <v>1월 생산실적</v>
          </cell>
        </row>
      </sheetData>
      <sheetData sheetId="2901">
        <row r="1">
          <cell r="A1" t="str">
            <v>1월 생산실적</v>
          </cell>
        </row>
      </sheetData>
      <sheetData sheetId="2902">
        <row r="1">
          <cell r="A1" t="str">
            <v>1월 생산실적</v>
          </cell>
        </row>
      </sheetData>
      <sheetData sheetId="2903">
        <row r="1">
          <cell r="A1" t="str">
            <v>1월 생산실적</v>
          </cell>
        </row>
      </sheetData>
      <sheetData sheetId="2904">
        <row r="1">
          <cell r="A1" t="str">
            <v>1월 생산실적</v>
          </cell>
        </row>
      </sheetData>
      <sheetData sheetId="2905">
        <row r="1">
          <cell r="A1" t="str">
            <v>1월 생산실적</v>
          </cell>
        </row>
      </sheetData>
      <sheetData sheetId="2906">
        <row r="1">
          <cell r="A1" t="str">
            <v>1월 생산실적</v>
          </cell>
        </row>
      </sheetData>
      <sheetData sheetId="2907">
        <row r="1">
          <cell r="A1" t="str">
            <v>1월 생산실적</v>
          </cell>
        </row>
      </sheetData>
      <sheetData sheetId="2908">
        <row r="1">
          <cell r="A1" t="str">
            <v>1월 생산실적</v>
          </cell>
        </row>
      </sheetData>
      <sheetData sheetId="2909">
        <row r="1">
          <cell r="A1" t="str">
            <v>1월 생산실적</v>
          </cell>
        </row>
      </sheetData>
      <sheetData sheetId="2910">
        <row r="1">
          <cell r="A1" t="str">
            <v>1월 생산실적</v>
          </cell>
        </row>
      </sheetData>
      <sheetData sheetId="2911">
        <row r="1">
          <cell r="A1" t="str">
            <v>1월 생산실적</v>
          </cell>
        </row>
      </sheetData>
      <sheetData sheetId="2912">
        <row r="1">
          <cell r="A1" t="str">
            <v>1월 생산실적</v>
          </cell>
        </row>
      </sheetData>
      <sheetData sheetId="2913">
        <row r="1">
          <cell r="A1" t="str">
            <v>1월 생산실적</v>
          </cell>
        </row>
      </sheetData>
      <sheetData sheetId="2914">
        <row r="1">
          <cell r="A1" t="str">
            <v>1월 생산실적</v>
          </cell>
        </row>
      </sheetData>
      <sheetData sheetId="2915">
        <row r="1">
          <cell r="A1" t="str">
            <v>1월 생산실적</v>
          </cell>
        </row>
      </sheetData>
      <sheetData sheetId="2916">
        <row r="1">
          <cell r="A1" t="str">
            <v>1월 생산실적</v>
          </cell>
        </row>
      </sheetData>
      <sheetData sheetId="2917">
        <row r="1">
          <cell r="A1" t="str">
            <v>1월 생산실적</v>
          </cell>
        </row>
      </sheetData>
      <sheetData sheetId="2918">
        <row r="1">
          <cell r="A1" t="str">
            <v>1월 생산실적</v>
          </cell>
        </row>
      </sheetData>
      <sheetData sheetId="2919">
        <row r="1">
          <cell r="A1" t="str">
            <v>1월 생산실적</v>
          </cell>
        </row>
      </sheetData>
      <sheetData sheetId="2920">
        <row r="1">
          <cell r="A1" t="str">
            <v>1월 생산실적</v>
          </cell>
        </row>
      </sheetData>
      <sheetData sheetId="2921">
        <row r="1">
          <cell r="A1" t="str">
            <v>1월 생산실적</v>
          </cell>
        </row>
      </sheetData>
      <sheetData sheetId="2922">
        <row r="1">
          <cell r="A1" t="str">
            <v>1월 생산실적</v>
          </cell>
        </row>
      </sheetData>
      <sheetData sheetId="2923">
        <row r="1">
          <cell r="A1" t="str">
            <v>1월 생산실적</v>
          </cell>
        </row>
      </sheetData>
      <sheetData sheetId="2924">
        <row r="1">
          <cell r="A1" t="str">
            <v>1월 생산실적</v>
          </cell>
        </row>
      </sheetData>
      <sheetData sheetId="2925">
        <row r="1">
          <cell r="A1" t="str">
            <v>1월 생산실적</v>
          </cell>
        </row>
      </sheetData>
      <sheetData sheetId="2926">
        <row r="1">
          <cell r="A1" t="str">
            <v>1월 생산실적</v>
          </cell>
        </row>
      </sheetData>
      <sheetData sheetId="2927">
        <row r="1">
          <cell r="A1" t="str">
            <v>1월 생산실적</v>
          </cell>
        </row>
      </sheetData>
      <sheetData sheetId="2928">
        <row r="1">
          <cell r="A1" t="str">
            <v>1월 생산실적</v>
          </cell>
        </row>
      </sheetData>
      <sheetData sheetId="2929">
        <row r="1">
          <cell r="A1" t="str">
            <v>1월 생산실적</v>
          </cell>
        </row>
      </sheetData>
      <sheetData sheetId="2930">
        <row r="1">
          <cell r="A1" t="str">
            <v>1월 생산실적</v>
          </cell>
        </row>
      </sheetData>
      <sheetData sheetId="2931">
        <row r="1">
          <cell r="A1" t="str">
            <v>1월 생산실적</v>
          </cell>
        </row>
      </sheetData>
      <sheetData sheetId="2932">
        <row r="1">
          <cell r="A1" t="str">
            <v>1월 생산실적</v>
          </cell>
        </row>
      </sheetData>
      <sheetData sheetId="2933">
        <row r="1">
          <cell r="A1" t="str">
            <v>1월 생산실적</v>
          </cell>
        </row>
      </sheetData>
      <sheetData sheetId="2934">
        <row r="1">
          <cell r="A1" t="str">
            <v>1월 생산실적</v>
          </cell>
        </row>
      </sheetData>
      <sheetData sheetId="2935">
        <row r="1">
          <cell r="A1" t="str">
            <v>1월 생산실적</v>
          </cell>
        </row>
      </sheetData>
      <sheetData sheetId="2936">
        <row r="1">
          <cell r="A1" t="str">
            <v>1월 생산실적</v>
          </cell>
        </row>
      </sheetData>
      <sheetData sheetId="2937">
        <row r="1">
          <cell r="A1" t="str">
            <v>1월 생산실적</v>
          </cell>
        </row>
      </sheetData>
      <sheetData sheetId="2938">
        <row r="1">
          <cell r="A1" t="str">
            <v>1월 생산실적</v>
          </cell>
        </row>
      </sheetData>
      <sheetData sheetId="2939">
        <row r="1">
          <cell r="A1" t="str">
            <v>1월 생산실적</v>
          </cell>
        </row>
      </sheetData>
      <sheetData sheetId="2940">
        <row r="1">
          <cell r="A1" t="str">
            <v>1월 생산실적</v>
          </cell>
        </row>
      </sheetData>
      <sheetData sheetId="2941">
        <row r="1">
          <cell r="A1" t="str">
            <v>1월 생산실적</v>
          </cell>
        </row>
      </sheetData>
      <sheetData sheetId="2942">
        <row r="1">
          <cell r="A1" t="str">
            <v>1월 생산실적</v>
          </cell>
        </row>
      </sheetData>
      <sheetData sheetId="2943">
        <row r="1">
          <cell r="A1" t="str">
            <v>1월 생산실적</v>
          </cell>
        </row>
      </sheetData>
      <sheetData sheetId="2944">
        <row r="1">
          <cell r="A1" t="str">
            <v>1월 생산실적</v>
          </cell>
        </row>
      </sheetData>
      <sheetData sheetId="2945">
        <row r="1">
          <cell r="A1" t="str">
            <v>1월 생산실적</v>
          </cell>
        </row>
      </sheetData>
      <sheetData sheetId="2946">
        <row r="1">
          <cell r="A1" t="str">
            <v>1월 생산실적</v>
          </cell>
        </row>
      </sheetData>
      <sheetData sheetId="2947">
        <row r="1">
          <cell r="A1" t="str">
            <v>1월 생산실적</v>
          </cell>
        </row>
      </sheetData>
      <sheetData sheetId="2948">
        <row r="1">
          <cell r="A1" t="str">
            <v>1월 생산실적</v>
          </cell>
        </row>
      </sheetData>
      <sheetData sheetId="2949">
        <row r="1">
          <cell r="A1" t="str">
            <v>1월 생산실적</v>
          </cell>
        </row>
      </sheetData>
      <sheetData sheetId="2950">
        <row r="1">
          <cell r="A1" t="str">
            <v>1월 생산실적</v>
          </cell>
        </row>
      </sheetData>
      <sheetData sheetId="2951">
        <row r="1">
          <cell r="A1" t="str">
            <v>1월 생산실적</v>
          </cell>
        </row>
      </sheetData>
      <sheetData sheetId="2952">
        <row r="1">
          <cell r="A1" t="str">
            <v>1월 생산실적</v>
          </cell>
        </row>
      </sheetData>
      <sheetData sheetId="2953">
        <row r="1">
          <cell r="A1" t="str">
            <v>1월 생산실적</v>
          </cell>
        </row>
      </sheetData>
      <sheetData sheetId="2954">
        <row r="1">
          <cell r="A1" t="str">
            <v>1월 생산실적</v>
          </cell>
        </row>
      </sheetData>
      <sheetData sheetId="2955">
        <row r="1">
          <cell r="A1" t="str">
            <v>1월 생산실적</v>
          </cell>
        </row>
      </sheetData>
      <sheetData sheetId="2956">
        <row r="1">
          <cell r="A1" t="str">
            <v>1월 생산실적</v>
          </cell>
        </row>
      </sheetData>
      <sheetData sheetId="2957">
        <row r="1">
          <cell r="A1" t="str">
            <v>1월 생산실적</v>
          </cell>
        </row>
      </sheetData>
      <sheetData sheetId="2958">
        <row r="1">
          <cell r="A1" t="str">
            <v>1월 생산실적</v>
          </cell>
        </row>
      </sheetData>
      <sheetData sheetId="2959">
        <row r="1">
          <cell r="A1" t="str">
            <v>1월 생산실적</v>
          </cell>
        </row>
      </sheetData>
      <sheetData sheetId="2960">
        <row r="1">
          <cell r="A1" t="str">
            <v>1월 생산실적</v>
          </cell>
        </row>
      </sheetData>
      <sheetData sheetId="2961">
        <row r="1">
          <cell r="A1" t="str">
            <v>1월 생산실적</v>
          </cell>
        </row>
      </sheetData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>
        <row r="1">
          <cell r="A1" t="str">
            <v>1월 생산실적</v>
          </cell>
        </row>
      </sheetData>
      <sheetData sheetId="3018">
        <row r="1">
          <cell r="A1" t="str">
            <v>1월 생산실적</v>
          </cell>
        </row>
      </sheetData>
      <sheetData sheetId="3019">
        <row r="1">
          <cell r="A1" t="str">
            <v>1월 생산실적</v>
          </cell>
        </row>
      </sheetData>
      <sheetData sheetId="3020">
        <row r="1">
          <cell r="A1" t="str">
            <v>1월 생산실적</v>
          </cell>
        </row>
      </sheetData>
      <sheetData sheetId="3021">
        <row r="1">
          <cell r="A1" t="str">
            <v>1월 생산실적</v>
          </cell>
        </row>
      </sheetData>
      <sheetData sheetId="3022">
        <row r="1">
          <cell r="A1" t="str">
            <v>1월 생산실적</v>
          </cell>
        </row>
      </sheetData>
      <sheetData sheetId="3023">
        <row r="1">
          <cell r="A1" t="str">
            <v>1월 생산실적</v>
          </cell>
        </row>
      </sheetData>
      <sheetData sheetId="3024">
        <row r="1">
          <cell r="A1" t="str">
            <v>1월 생산실적</v>
          </cell>
        </row>
      </sheetData>
      <sheetData sheetId="3025">
        <row r="1">
          <cell r="A1" t="str">
            <v>1월 생산실적</v>
          </cell>
        </row>
      </sheetData>
      <sheetData sheetId="3026">
        <row r="1">
          <cell r="A1" t="str">
            <v>1월 생산실적</v>
          </cell>
        </row>
      </sheetData>
      <sheetData sheetId="3027">
        <row r="1">
          <cell r="A1" t="str">
            <v>1월 생산실적</v>
          </cell>
        </row>
      </sheetData>
      <sheetData sheetId="3028">
        <row r="1">
          <cell r="A1" t="str">
            <v>1월 생산실적</v>
          </cell>
        </row>
      </sheetData>
      <sheetData sheetId="3029">
        <row r="1">
          <cell r="A1" t="str">
            <v>1월 생산실적</v>
          </cell>
        </row>
      </sheetData>
      <sheetData sheetId="3030">
        <row r="1">
          <cell r="A1" t="str">
            <v>1월 생산실적</v>
          </cell>
        </row>
      </sheetData>
      <sheetData sheetId="3031">
        <row r="1">
          <cell r="A1" t="str">
            <v>1월 생산실적</v>
          </cell>
        </row>
      </sheetData>
      <sheetData sheetId="3032">
        <row r="1">
          <cell r="A1" t="str">
            <v>1월 생산실적</v>
          </cell>
        </row>
      </sheetData>
      <sheetData sheetId="3033">
        <row r="1">
          <cell r="A1" t="str">
            <v>1월 생산실적</v>
          </cell>
        </row>
      </sheetData>
      <sheetData sheetId="3034">
        <row r="1">
          <cell r="A1" t="str">
            <v>1월 생산실적</v>
          </cell>
        </row>
      </sheetData>
      <sheetData sheetId="3035">
        <row r="1">
          <cell r="A1" t="str">
            <v>1월 생산실적</v>
          </cell>
        </row>
      </sheetData>
      <sheetData sheetId="3036">
        <row r="1">
          <cell r="A1" t="str">
            <v>1월 생산실적</v>
          </cell>
        </row>
      </sheetData>
      <sheetData sheetId="3037">
        <row r="1">
          <cell r="A1" t="str">
            <v>1월 생산실적</v>
          </cell>
        </row>
      </sheetData>
      <sheetData sheetId="3038">
        <row r="1">
          <cell r="A1" t="str">
            <v>1월 생산실적</v>
          </cell>
        </row>
      </sheetData>
      <sheetData sheetId="3039">
        <row r="1">
          <cell r="A1" t="str">
            <v>1월 생산실적</v>
          </cell>
        </row>
      </sheetData>
      <sheetData sheetId="3040">
        <row r="1">
          <cell r="A1" t="str">
            <v>1월 생산실적</v>
          </cell>
        </row>
      </sheetData>
      <sheetData sheetId="3041">
        <row r="1">
          <cell r="A1" t="str">
            <v>1월 생산실적</v>
          </cell>
        </row>
      </sheetData>
      <sheetData sheetId="3042">
        <row r="1">
          <cell r="A1" t="str">
            <v>1월 생산실적</v>
          </cell>
        </row>
      </sheetData>
      <sheetData sheetId="3043">
        <row r="1">
          <cell r="A1" t="str">
            <v>1월 생산실적</v>
          </cell>
        </row>
      </sheetData>
      <sheetData sheetId="3044">
        <row r="1">
          <cell r="A1" t="str">
            <v>1월 생산실적</v>
          </cell>
        </row>
      </sheetData>
      <sheetData sheetId="3045">
        <row r="1">
          <cell r="A1" t="str">
            <v>1월 생산실적</v>
          </cell>
        </row>
      </sheetData>
      <sheetData sheetId="3046">
        <row r="1">
          <cell r="A1" t="str">
            <v>1월 생산실적</v>
          </cell>
        </row>
      </sheetData>
      <sheetData sheetId="3047">
        <row r="1">
          <cell r="A1" t="str">
            <v>1월 생산실적</v>
          </cell>
        </row>
      </sheetData>
      <sheetData sheetId="3048">
        <row r="1">
          <cell r="A1" t="str">
            <v>1월 생산실적</v>
          </cell>
        </row>
      </sheetData>
      <sheetData sheetId="3049">
        <row r="1">
          <cell r="A1" t="str">
            <v>1월 생산실적</v>
          </cell>
        </row>
      </sheetData>
      <sheetData sheetId="3050">
        <row r="1">
          <cell r="A1" t="str">
            <v>1월 생산실적</v>
          </cell>
        </row>
      </sheetData>
      <sheetData sheetId="3051">
        <row r="1">
          <cell r="A1" t="str">
            <v>1월 생산실적</v>
          </cell>
        </row>
      </sheetData>
      <sheetData sheetId="3052">
        <row r="1">
          <cell r="A1" t="str">
            <v>1월 생산실적</v>
          </cell>
        </row>
      </sheetData>
      <sheetData sheetId="3053">
        <row r="1">
          <cell r="A1" t="str">
            <v>1월 생산실적</v>
          </cell>
        </row>
      </sheetData>
      <sheetData sheetId="3054">
        <row r="1">
          <cell r="A1" t="str">
            <v>1월 생산실적</v>
          </cell>
        </row>
      </sheetData>
      <sheetData sheetId="3055">
        <row r="1">
          <cell r="A1" t="str">
            <v>1월 생산실적</v>
          </cell>
        </row>
      </sheetData>
      <sheetData sheetId="3056">
        <row r="1">
          <cell r="A1" t="str">
            <v>1월 생산실적</v>
          </cell>
        </row>
      </sheetData>
      <sheetData sheetId="3057">
        <row r="1">
          <cell r="A1" t="str">
            <v>1월 생산실적</v>
          </cell>
        </row>
      </sheetData>
      <sheetData sheetId="3058">
        <row r="1">
          <cell r="A1" t="str">
            <v>1월 생산실적</v>
          </cell>
        </row>
      </sheetData>
      <sheetData sheetId="3059">
        <row r="1">
          <cell r="A1" t="str">
            <v>1월 생산실적</v>
          </cell>
        </row>
      </sheetData>
      <sheetData sheetId="3060">
        <row r="1">
          <cell r="A1" t="str">
            <v>1월 생산실적</v>
          </cell>
        </row>
      </sheetData>
      <sheetData sheetId="3061">
        <row r="1">
          <cell r="A1" t="str">
            <v>1월 생산실적</v>
          </cell>
        </row>
      </sheetData>
      <sheetData sheetId="3062">
        <row r="1">
          <cell r="A1" t="str">
            <v>1월 생산실적</v>
          </cell>
        </row>
      </sheetData>
      <sheetData sheetId="3063">
        <row r="1">
          <cell r="A1" t="str">
            <v>1월 생산실적</v>
          </cell>
        </row>
      </sheetData>
      <sheetData sheetId="3064">
        <row r="1">
          <cell r="A1" t="str">
            <v>1월 생산실적</v>
          </cell>
        </row>
      </sheetData>
      <sheetData sheetId="3065">
        <row r="1">
          <cell r="A1" t="str">
            <v>1월 생산실적</v>
          </cell>
        </row>
      </sheetData>
      <sheetData sheetId="3066">
        <row r="1">
          <cell r="A1" t="str">
            <v>1월 생산실적</v>
          </cell>
        </row>
      </sheetData>
      <sheetData sheetId="3067">
        <row r="1">
          <cell r="A1" t="str">
            <v>1월 생산실적</v>
          </cell>
        </row>
      </sheetData>
      <sheetData sheetId="3068">
        <row r="1">
          <cell r="A1" t="str">
            <v>1월 생산실적</v>
          </cell>
        </row>
      </sheetData>
      <sheetData sheetId="3069">
        <row r="1">
          <cell r="A1" t="str">
            <v>1월 생산실적</v>
          </cell>
        </row>
      </sheetData>
      <sheetData sheetId="3070">
        <row r="1">
          <cell r="A1" t="str">
            <v>1월 생산실적</v>
          </cell>
        </row>
      </sheetData>
      <sheetData sheetId="3071">
        <row r="1">
          <cell r="A1" t="str">
            <v>1월 생산실적</v>
          </cell>
        </row>
      </sheetData>
      <sheetData sheetId="3072">
        <row r="1">
          <cell r="A1" t="str">
            <v>1월 생산실적</v>
          </cell>
        </row>
      </sheetData>
      <sheetData sheetId="3073">
        <row r="1">
          <cell r="A1" t="str">
            <v>1월 생산실적</v>
          </cell>
        </row>
      </sheetData>
      <sheetData sheetId="3074">
        <row r="1">
          <cell r="A1" t="str">
            <v>1월 생산실적</v>
          </cell>
        </row>
      </sheetData>
      <sheetData sheetId="3075">
        <row r="1">
          <cell r="A1" t="str">
            <v>1월 생산실적</v>
          </cell>
        </row>
      </sheetData>
      <sheetData sheetId="3076">
        <row r="1">
          <cell r="A1" t="str">
            <v>1월 생산실적</v>
          </cell>
        </row>
      </sheetData>
      <sheetData sheetId="3077">
        <row r="1">
          <cell r="A1" t="str">
            <v>1월 생산실적</v>
          </cell>
        </row>
      </sheetData>
      <sheetData sheetId="3078">
        <row r="1">
          <cell r="A1" t="str">
            <v>1월 생산실적</v>
          </cell>
        </row>
      </sheetData>
      <sheetData sheetId="3079">
        <row r="1">
          <cell r="A1" t="str">
            <v>1월 생산실적</v>
          </cell>
        </row>
      </sheetData>
      <sheetData sheetId="3080">
        <row r="1">
          <cell r="A1" t="str">
            <v>1월 생산실적</v>
          </cell>
        </row>
      </sheetData>
      <sheetData sheetId="3081">
        <row r="1">
          <cell r="A1" t="str">
            <v>1월 생산실적</v>
          </cell>
        </row>
      </sheetData>
      <sheetData sheetId="3082">
        <row r="1">
          <cell r="A1" t="str">
            <v>1월 생산실적</v>
          </cell>
        </row>
      </sheetData>
      <sheetData sheetId="3083">
        <row r="1">
          <cell r="A1" t="str">
            <v>1월 생산실적</v>
          </cell>
        </row>
      </sheetData>
      <sheetData sheetId="3084">
        <row r="1">
          <cell r="A1" t="str">
            <v>1월 생산실적</v>
          </cell>
        </row>
      </sheetData>
      <sheetData sheetId="3085">
        <row r="1">
          <cell r="A1" t="str">
            <v>1월 생산실적</v>
          </cell>
        </row>
      </sheetData>
      <sheetData sheetId="3086">
        <row r="1">
          <cell r="A1" t="str">
            <v>1월 생산실적</v>
          </cell>
        </row>
      </sheetData>
      <sheetData sheetId="3087">
        <row r="1">
          <cell r="A1" t="str">
            <v>1월 생산실적</v>
          </cell>
        </row>
      </sheetData>
      <sheetData sheetId="3088">
        <row r="1">
          <cell r="A1" t="str">
            <v>1월 생산실적</v>
          </cell>
        </row>
      </sheetData>
      <sheetData sheetId="3089">
        <row r="1">
          <cell r="A1" t="str">
            <v>1월 생산실적</v>
          </cell>
        </row>
      </sheetData>
      <sheetData sheetId="3090">
        <row r="1">
          <cell r="A1" t="str">
            <v>1월 생산실적</v>
          </cell>
        </row>
      </sheetData>
      <sheetData sheetId="3091">
        <row r="1">
          <cell r="A1" t="str">
            <v>1월 생산실적</v>
          </cell>
        </row>
      </sheetData>
      <sheetData sheetId="3092">
        <row r="1">
          <cell r="A1" t="str">
            <v>1월 생산실적</v>
          </cell>
        </row>
      </sheetData>
      <sheetData sheetId="3093">
        <row r="1">
          <cell r="A1" t="str">
            <v>1월 생산실적</v>
          </cell>
        </row>
      </sheetData>
      <sheetData sheetId="3094">
        <row r="1">
          <cell r="A1" t="str">
            <v>1월 생산실적</v>
          </cell>
        </row>
      </sheetData>
      <sheetData sheetId="3095">
        <row r="1">
          <cell r="A1" t="str">
            <v>1월 생산실적</v>
          </cell>
        </row>
      </sheetData>
      <sheetData sheetId="3096">
        <row r="1">
          <cell r="A1" t="str">
            <v>1월 생산실적</v>
          </cell>
        </row>
      </sheetData>
      <sheetData sheetId="3097">
        <row r="1">
          <cell r="A1" t="str">
            <v>1월 생산실적</v>
          </cell>
        </row>
      </sheetData>
      <sheetData sheetId="3098">
        <row r="1">
          <cell r="A1" t="str">
            <v>1월 생산실적</v>
          </cell>
        </row>
      </sheetData>
      <sheetData sheetId="3099">
        <row r="1">
          <cell r="A1" t="str">
            <v>1월 생산실적</v>
          </cell>
        </row>
      </sheetData>
      <sheetData sheetId="3100">
        <row r="1">
          <cell r="A1" t="str">
            <v>1월 생산실적</v>
          </cell>
        </row>
      </sheetData>
      <sheetData sheetId="3101">
        <row r="1">
          <cell r="A1" t="str">
            <v>1월 생산실적</v>
          </cell>
        </row>
      </sheetData>
      <sheetData sheetId="3102">
        <row r="1">
          <cell r="A1" t="str">
            <v>1월 생산실적</v>
          </cell>
        </row>
      </sheetData>
      <sheetData sheetId="3103">
        <row r="1">
          <cell r="A1" t="str">
            <v>1월 생산실적</v>
          </cell>
        </row>
      </sheetData>
      <sheetData sheetId="3104">
        <row r="1">
          <cell r="A1" t="str">
            <v>1월 생산실적</v>
          </cell>
        </row>
      </sheetData>
      <sheetData sheetId="3105">
        <row r="1">
          <cell r="A1" t="str">
            <v>1월 생산실적</v>
          </cell>
        </row>
      </sheetData>
      <sheetData sheetId="3106">
        <row r="1">
          <cell r="A1" t="str">
            <v>1월 생산실적</v>
          </cell>
        </row>
      </sheetData>
      <sheetData sheetId="3107">
        <row r="1">
          <cell r="A1" t="str">
            <v>1월 생산실적</v>
          </cell>
        </row>
      </sheetData>
      <sheetData sheetId="3108">
        <row r="1">
          <cell r="A1" t="str">
            <v>1월 생산실적</v>
          </cell>
        </row>
      </sheetData>
      <sheetData sheetId="3109">
        <row r="1">
          <cell r="A1" t="str">
            <v>1월 생산실적</v>
          </cell>
        </row>
      </sheetData>
      <sheetData sheetId="3110">
        <row r="1">
          <cell r="A1" t="str">
            <v>1월 생산실적</v>
          </cell>
        </row>
      </sheetData>
      <sheetData sheetId="3111">
        <row r="1">
          <cell r="A1" t="str">
            <v>1월 생산실적</v>
          </cell>
        </row>
      </sheetData>
      <sheetData sheetId="3112">
        <row r="1">
          <cell r="A1" t="str">
            <v>1월 생산실적</v>
          </cell>
        </row>
      </sheetData>
      <sheetData sheetId="3113">
        <row r="1">
          <cell r="A1" t="str">
            <v>1월 생산실적</v>
          </cell>
        </row>
      </sheetData>
      <sheetData sheetId="3114">
        <row r="1">
          <cell r="A1" t="str">
            <v>1월 생산실적</v>
          </cell>
        </row>
      </sheetData>
      <sheetData sheetId="3115">
        <row r="1">
          <cell r="A1" t="str">
            <v>1월 생산실적</v>
          </cell>
        </row>
      </sheetData>
      <sheetData sheetId="3116">
        <row r="1">
          <cell r="A1" t="str">
            <v>1월 생산실적</v>
          </cell>
        </row>
      </sheetData>
      <sheetData sheetId="3117">
        <row r="1">
          <cell r="A1" t="str">
            <v>1월 생산실적</v>
          </cell>
        </row>
      </sheetData>
      <sheetData sheetId="3118">
        <row r="1">
          <cell r="A1" t="str">
            <v>1월 생산실적</v>
          </cell>
        </row>
      </sheetData>
      <sheetData sheetId="3119">
        <row r="1">
          <cell r="A1" t="str">
            <v>1월 생산실적</v>
          </cell>
        </row>
      </sheetData>
      <sheetData sheetId="3120">
        <row r="1">
          <cell r="A1" t="str">
            <v>1월 생산실적</v>
          </cell>
        </row>
      </sheetData>
      <sheetData sheetId="3121">
        <row r="1">
          <cell r="A1" t="str">
            <v>1월 생산실적</v>
          </cell>
        </row>
      </sheetData>
      <sheetData sheetId="3122">
        <row r="1">
          <cell r="A1" t="str">
            <v>1월 생산실적</v>
          </cell>
        </row>
      </sheetData>
      <sheetData sheetId="3123">
        <row r="1">
          <cell r="A1" t="str">
            <v>1월 생산실적</v>
          </cell>
        </row>
      </sheetData>
      <sheetData sheetId="3124">
        <row r="1">
          <cell r="A1" t="str">
            <v>1월 생산실적</v>
          </cell>
        </row>
      </sheetData>
      <sheetData sheetId="3125">
        <row r="1">
          <cell r="A1" t="str">
            <v>1월 생산실적</v>
          </cell>
        </row>
      </sheetData>
      <sheetData sheetId="3126">
        <row r="1">
          <cell r="A1" t="str">
            <v>1월 생산실적</v>
          </cell>
        </row>
      </sheetData>
      <sheetData sheetId="3127">
        <row r="1">
          <cell r="A1" t="str">
            <v>1월 생산실적</v>
          </cell>
        </row>
      </sheetData>
      <sheetData sheetId="3128">
        <row r="1">
          <cell r="A1" t="str">
            <v>1월 생산실적</v>
          </cell>
        </row>
      </sheetData>
      <sheetData sheetId="3129">
        <row r="1">
          <cell r="A1" t="str">
            <v>1월 생산실적</v>
          </cell>
        </row>
      </sheetData>
      <sheetData sheetId="3130">
        <row r="1">
          <cell r="A1" t="str">
            <v>1월 생산실적</v>
          </cell>
        </row>
      </sheetData>
      <sheetData sheetId="3131">
        <row r="1">
          <cell r="A1" t="str">
            <v>1월 생산실적</v>
          </cell>
        </row>
      </sheetData>
      <sheetData sheetId="3132">
        <row r="1">
          <cell r="A1" t="str">
            <v>1월 생산실적</v>
          </cell>
        </row>
      </sheetData>
      <sheetData sheetId="3133">
        <row r="1">
          <cell r="A1" t="str">
            <v>1월 생산실적</v>
          </cell>
        </row>
      </sheetData>
      <sheetData sheetId="3134">
        <row r="1">
          <cell r="A1" t="str">
            <v>1월 생산실적</v>
          </cell>
        </row>
      </sheetData>
      <sheetData sheetId="3135">
        <row r="1">
          <cell r="A1" t="str">
            <v>1월 생산실적</v>
          </cell>
        </row>
      </sheetData>
      <sheetData sheetId="3136">
        <row r="1">
          <cell r="A1" t="str">
            <v>1월 생산실적</v>
          </cell>
        </row>
      </sheetData>
      <sheetData sheetId="3137">
        <row r="1">
          <cell r="A1" t="str">
            <v>1월 생산실적</v>
          </cell>
        </row>
      </sheetData>
      <sheetData sheetId="3138">
        <row r="1">
          <cell r="A1" t="str">
            <v>1월 생산실적</v>
          </cell>
        </row>
      </sheetData>
      <sheetData sheetId="3139">
        <row r="1">
          <cell r="A1" t="str">
            <v>1월 생산실적</v>
          </cell>
        </row>
      </sheetData>
      <sheetData sheetId="3140">
        <row r="1">
          <cell r="A1" t="str">
            <v>1월 생산실적</v>
          </cell>
        </row>
      </sheetData>
      <sheetData sheetId="3141">
        <row r="1">
          <cell r="A1" t="str">
            <v>1월 생산실적</v>
          </cell>
        </row>
      </sheetData>
      <sheetData sheetId="3142">
        <row r="1">
          <cell r="A1" t="str">
            <v>1월 생산실적</v>
          </cell>
        </row>
      </sheetData>
      <sheetData sheetId="3143">
        <row r="1">
          <cell r="A1" t="str">
            <v>1월 생산실적</v>
          </cell>
        </row>
      </sheetData>
      <sheetData sheetId="3144">
        <row r="1">
          <cell r="A1" t="str">
            <v>1월 생산실적</v>
          </cell>
        </row>
      </sheetData>
      <sheetData sheetId="3145">
        <row r="1">
          <cell r="A1" t="str">
            <v>1월 생산실적</v>
          </cell>
        </row>
      </sheetData>
      <sheetData sheetId="3146">
        <row r="1">
          <cell r="A1" t="str">
            <v>1월 생산실적</v>
          </cell>
        </row>
      </sheetData>
      <sheetData sheetId="3147">
        <row r="1">
          <cell r="A1" t="str">
            <v>1월 생산실적</v>
          </cell>
        </row>
      </sheetData>
      <sheetData sheetId="3148">
        <row r="1">
          <cell r="A1" t="str">
            <v>1월 생산실적</v>
          </cell>
        </row>
      </sheetData>
      <sheetData sheetId="3149">
        <row r="1">
          <cell r="A1" t="str">
            <v>1월 생산실적</v>
          </cell>
        </row>
      </sheetData>
      <sheetData sheetId="3150">
        <row r="1">
          <cell r="A1" t="str">
            <v>1월 생산실적</v>
          </cell>
        </row>
      </sheetData>
      <sheetData sheetId="3151">
        <row r="1">
          <cell r="A1" t="str">
            <v>1월 생산실적</v>
          </cell>
        </row>
      </sheetData>
      <sheetData sheetId="3152">
        <row r="1">
          <cell r="A1" t="str">
            <v>1월 생산실적</v>
          </cell>
        </row>
      </sheetData>
      <sheetData sheetId="3153">
        <row r="1">
          <cell r="A1" t="str">
            <v>1월 생산실적</v>
          </cell>
        </row>
      </sheetData>
      <sheetData sheetId="3154">
        <row r="1">
          <cell r="A1" t="str">
            <v>1월 생산실적</v>
          </cell>
        </row>
      </sheetData>
      <sheetData sheetId="3155">
        <row r="1">
          <cell r="A1" t="str">
            <v>1월 생산실적</v>
          </cell>
        </row>
      </sheetData>
      <sheetData sheetId="3156">
        <row r="1">
          <cell r="A1" t="str">
            <v>1월 생산실적</v>
          </cell>
        </row>
      </sheetData>
      <sheetData sheetId="3157">
        <row r="1">
          <cell r="A1" t="str">
            <v>1월 생산실적</v>
          </cell>
        </row>
      </sheetData>
      <sheetData sheetId="3158">
        <row r="1">
          <cell r="A1" t="str">
            <v>1월 생산실적</v>
          </cell>
        </row>
      </sheetData>
      <sheetData sheetId="3159">
        <row r="1">
          <cell r="A1" t="str">
            <v>1월 생산실적</v>
          </cell>
        </row>
      </sheetData>
      <sheetData sheetId="3160">
        <row r="1">
          <cell r="A1" t="str">
            <v>1월 생산실적</v>
          </cell>
        </row>
      </sheetData>
      <sheetData sheetId="3161">
        <row r="1">
          <cell r="A1" t="str">
            <v>1월 생산실적</v>
          </cell>
        </row>
      </sheetData>
      <sheetData sheetId="3162">
        <row r="1">
          <cell r="A1" t="str">
            <v>1월 생산실적</v>
          </cell>
        </row>
      </sheetData>
      <sheetData sheetId="3163">
        <row r="1">
          <cell r="A1" t="str">
            <v>1월 생산실적</v>
          </cell>
        </row>
      </sheetData>
      <sheetData sheetId="3164">
        <row r="1">
          <cell r="A1" t="str">
            <v>1월 생산실적</v>
          </cell>
        </row>
      </sheetData>
      <sheetData sheetId="3165">
        <row r="1">
          <cell r="A1" t="str">
            <v>1월 생산실적</v>
          </cell>
        </row>
      </sheetData>
      <sheetData sheetId="3166">
        <row r="1">
          <cell r="A1" t="str">
            <v>1월 생산실적</v>
          </cell>
        </row>
      </sheetData>
      <sheetData sheetId="3167">
        <row r="1">
          <cell r="A1" t="str">
            <v>1월 생산실적</v>
          </cell>
        </row>
      </sheetData>
      <sheetData sheetId="3168">
        <row r="1">
          <cell r="A1" t="str">
            <v>1월 생산실적</v>
          </cell>
        </row>
      </sheetData>
      <sheetData sheetId="3169">
        <row r="1">
          <cell r="A1" t="str">
            <v>1월 생산실적</v>
          </cell>
        </row>
      </sheetData>
      <sheetData sheetId="3170">
        <row r="1">
          <cell r="A1" t="str">
            <v>1월 생산실적</v>
          </cell>
        </row>
      </sheetData>
      <sheetData sheetId="3171">
        <row r="1">
          <cell r="A1" t="str">
            <v>1월 생산실적</v>
          </cell>
        </row>
      </sheetData>
      <sheetData sheetId="3172">
        <row r="1">
          <cell r="A1" t="str">
            <v>1월 생산실적</v>
          </cell>
        </row>
      </sheetData>
      <sheetData sheetId="3173">
        <row r="1">
          <cell r="A1" t="str">
            <v>1월 생산실적</v>
          </cell>
        </row>
      </sheetData>
      <sheetData sheetId="3174">
        <row r="1">
          <cell r="A1" t="str">
            <v>1월 생산실적</v>
          </cell>
        </row>
      </sheetData>
      <sheetData sheetId="3175">
        <row r="1">
          <cell r="A1" t="str">
            <v>1월 생산실적</v>
          </cell>
        </row>
      </sheetData>
      <sheetData sheetId="3176">
        <row r="1">
          <cell r="A1" t="str">
            <v>1월 생산실적</v>
          </cell>
        </row>
      </sheetData>
      <sheetData sheetId="3177">
        <row r="1">
          <cell r="A1" t="str">
            <v>1월 생산실적</v>
          </cell>
        </row>
      </sheetData>
      <sheetData sheetId="3178">
        <row r="1">
          <cell r="A1" t="str">
            <v>1월 생산실적</v>
          </cell>
        </row>
      </sheetData>
      <sheetData sheetId="3179">
        <row r="1">
          <cell r="A1" t="str">
            <v>1월 생산실적</v>
          </cell>
        </row>
      </sheetData>
      <sheetData sheetId="3180">
        <row r="1">
          <cell r="A1" t="str">
            <v>1월 생산실적</v>
          </cell>
        </row>
      </sheetData>
      <sheetData sheetId="3181">
        <row r="1">
          <cell r="A1" t="str">
            <v>1월 생산실적</v>
          </cell>
        </row>
      </sheetData>
      <sheetData sheetId="3182">
        <row r="1">
          <cell r="A1" t="str">
            <v>1월 생산실적</v>
          </cell>
        </row>
      </sheetData>
      <sheetData sheetId="3183">
        <row r="1">
          <cell r="A1" t="str">
            <v>1월 생산실적</v>
          </cell>
        </row>
      </sheetData>
      <sheetData sheetId="3184">
        <row r="1">
          <cell r="A1" t="str">
            <v>1월 생산실적</v>
          </cell>
        </row>
      </sheetData>
      <sheetData sheetId="3185">
        <row r="1">
          <cell r="A1" t="str">
            <v>1월 생산실적</v>
          </cell>
        </row>
      </sheetData>
      <sheetData sheetId="3186">
        <row r="1">
          <cell r="A1" t="str">
            <v>1월 생산실적</v>
          </cell>
        </row>
      </sheetData>
      <sheetData sheetId="3187">
        <row r="1">
          <cell r="A1" t="str">
            <v>1월 생산실적</v>
          </cell>
        </row>
      </sheetData>
      <sheetData sheetId="3188">
        <row r="1">
          <cell r="A1" t="str">
            <v>1월 생산실적</v>
          </cell>
        </row>
      </sheetData>
      <sheetData sheetId="3189">
        <row r="1">
          <cell r="A1" t="str">
            <v>1월 생산실적</v>
          </cell>
        </row>
      </sheetData>
      <sheetData sheetId="3190">
        <row r="1">
          <cell r="A1" t="str">
            <v>1월 생산실적</v>
          </cell>
        </row>
      </sheetData>
      <sheetData sheetId="3191">
        <row r="1">
          <cell r="A1" t="str">
            <v>1월 생산실적</v>
          </cell>
        </row>
      </sheetData>
      <sheetData sheetId="3192">
        <row r="1">
          <cell r="A1" t="str">
            <v>1월 생산실적</v>
          </cell>
        </row>
      </sheetData>
      <sheetData sheetId="3193">
        <row r="1">
          <cell r="A1" t="str">
            <v>1월 생산실적</v>
          </cell>
        </row>
      </sheetData>
      <sheetData sheetId="3194">
        <row r="1">
          <cell r="A1" t="str">
            <v>1월 생산실적</v>
          </cell>
        </row>
      </sheetData>
      <sheetData sheetId="3195">
        <row r="1">
          <cell r="A1" t="str">
            <v>1월 생산실적</v>
          </cell>
        </row>
      </sheetData>
      <sheetData sheetId="3196">
        <row r="1">
          <cell r="A1" t="str">
            <v>1월 생산실적</v>
          </cell>
        </row>
      </sheetData>
      <sheetData sheetId="3197">
        <row r="1">
          <cell r="A1" t="str">
            <v>1월 생산실적</v>
          </cell>
        </row>
      </sheetData>
      <sheetData sheetId="3198">
        <row r="1">
          <cell r="A1" t="str">
            <v>1월 생산실적</v>
          </cell>
        </row>
      </sheetData>
      <sheetData sheetId="3199">
        <row r="1">
          <cell r="A1" t="str">
            <v>1월 생산실적</v>
          </cell>
        </row>
      </sheetData>
      <sheetData sheetId="3200">
        <row r="1">
          <cell r="A1" t="str">
            <v>1월 생산실적</v>
          </cell>
        </row>
      </sheetData>
      <sheetData sheetId="3201">
        <row r="1">
          <cell r="A1" t="str">
            <v>1월 생산실적</v>
          </cell>
        </row>
      </sheetData>
      <sheetData sheetId="3202">
        <row r="1">
          <cell r="A1" t="str">
            <v>1월 생산실적</v>
          </cell>
        </row>
      </sheetData>
      <sheetData sheetId="3203">
        <row r="1">
          <cell r="A1" t="str">
            <v>1월 생산실적</v>
          </cell>
        </row>
      </sheetData>
      <sheetData sheetId="3204">
        <row r="1">
          <cell r="A1" t="str">
            <v>1월 생산실적</v>
          </cell>
        </row>
      </sheetData>
      <sheetData sheetId="3205">
        <row r="1">
          <cell r="A1" t="str">
            <v>1월 생산실적</v>
          </cell>
        </row>
      </sheetData>
      <sheetData sheetId="3206">
        <row r="1">
          <cell r="A1" t="str">
            <v>1월 생산실적</v>
          </cell>
        </row>
      </sheetData>
      <sheetData sheetId="3207">
        <row r="1">
          <cell r="A1" t="str">
            <v>1월 생산실적</v>
          </cell>
        </row>
      </sheetData>
      <sheetData sheetId="3208">
        <row r="1">
          <cell r="A1" t="str">
            <v>1월 생산실적</v>
          </cell>
        </row>
      </sheetData>
      <sheetData sheetId="3209">
        <row r="1">
          <cell r="A1" t="str">
            <v>1월 생산실적</v>
          </cell>
        </row>
      </sheetData>
      <sheetData sheetId="3210">
        <row r="1">
          <cell r="A1" t="str">
            <v>1월 생산실적</v>
          </cell>
        </row>
      </sheetData>
      <sheetData sheetId="3211">
        <row r="1">
          <cell r="A1" t="str">
            <v>1월 생산실적</v>
          </cell>
        </row>
      </sheetData>
      <sheetData sheetId="3212">
        <row r="1">
          <cell r="A1" t="str">
            <v>1월 생산실적</v>
          </cell>
        </row>
      </sheetData>
      <sheetData sheetId="3213">
        <row r="1">
          <cell r="A1" t="str">
            <v>1월 생산실적</v>
          </cell>
        </row>
      </sheetData>
      <sheetData sheetId="3214">
        <row r="1">
          <cell r="A1" t="str">
            <v>1월 생산실적</v>
          </cell>
        </row>
      </sheetData>
      <sheetData sheetId="3215">
        <row r="1">
          <cell r="A1" t="str">
            <v>1월 생산실적</v>
          </cell>
        </row>
      </sheetData>
      <sheetData sheetId="3216">
        <row r="1">
          <cell r="A1" t="str">
            <v>1월 생산실적</v>
          </cell>
        </row>
      </sheetData>
      <sheetData sheetId="3217">
        <row r="1">
          <cell r="A1" t="str">
            <v>1월 생산실적</v>
          </cell>
        </row>
      </sheetData>
      <sheetData sheetId="3218">
        <row r="1">
          <cell r="A1" t="str">
            <v>1월 생산실적</v>
          </cell>
        </row>
      </sheetData>
      <sheetData sheetId="3219">
        <row r="1">
          <cell r="A1" t="str">
            <v>1월 생산실적</v>
          </cell>
        </row>
      </sheetData>
      <sheetData sheetId="3220">
        <row r="1">
          <cell r="A1" t="str">
            <v>1월 생산실적</v>
          </cell>
        </row>
      </sheetData>
      <sheetData sheetId="3221">
        <row r="1">
          <cell r="A1" t="str">
            <v>1월 생산실적</v>
          </cell>
        </row>
      </sheetData>
      <sheetData sheetId="3222">
        <row r="1">
          <cell r="A1" t="str">
            <v>1월 생산실적</v>
          </cell>
        </row>
      </sheetData>
      <sheetData sheetId="3223">
        <row r="1">
          <cell r="A1" t="str">
            <v>1월 생산실적</v>
          </cell>
        </row>
      </sheetData>
      <sheetData sheetId="3224">
        <row r="1">
          <cell r="A1" t="str">
            <v>1월 생산실적</v>
          </cell>
        </row>
      </sheetData>
      <sheetData sheetId="3225">
        <row r="1">
          <cell r="A1" t="str">
            <v>1월 생산실적</v>
          </cell>
        </row>
      </sheetData>
      <sheetData sheetId="3226">
        <row r="1">
          <cell r="A1" t="str">
            <v>1월 생산실적</v>
          </cell>
        </row>
      </sheetData>
      <sheetData sheetId="3227">
        <row r="1">
          <cell r="A1" t="str">
            <v>1월 생산실적</v>
          </cell>
        </row>
      </sheetData>
      <sheetData sheetId="3228">
        <row r="1">
          <cell r="A1" t="str">
            <v>1월 생산실적</v>
          </cell>
        </row>
      </sheetData>
      <sheetData sheetId="3229">
        <row r="1">
          <cell r="A1" t="str">
            <v>1월 생산실적</v>
          </cell>
        </row>
      </sheetData>
      <sheetData sheetId="3230">
        <row r="1">
          <cell r="A1" t="str">
            <v>1월 생산실적</v>
          </cell>
        </row>
      </sheetData>
      <sheetData sheetId="3231">
        <row r="1">
          <cell r="A1" t="str">
            <v>1월 생산실적</v>
          </cell>
        </row>
      </sheetData>
      <sheetData sheetId="3232">
        <row r="1">
          <cell r="A1" t="str">
            <v>1월 생산실적</v>
          </cell>
        </row>
      </sheetData>
      <sheetData sheetId="3233">
        <row r="1">
          <cell r="A1" t="str">
            <v>1월 생산실적</v>
          </cell>
        </row>
      </sheetData>
      <sheetData sheetId="3234">
        <row r="1">
          <cell r="A1" t="str">
            <v>1월 생산실적</v>
          </cell>
        </row>
      </sheetData>
      <sheetData sheetId="3235">
        <row r="1">
          <cell r="A1" t="str">
            <v>1월 생산실적</v>
          </cell>
        </row>
      </sheetData>
      <sheetData sheetId="3236">
        <row r="1">
          <cell r="A1" t="str">
            <v>1월 생산실적</v>
          </cell>
        </row>
      </sheetData>
      <sheetData sheetId="3237">
        <row r="1">
          <cell r="A1" t="str">
            <v>1월 생산실적</v>
          </cell>
        </row>
      </sheetData>
      <sheetData sheetId="3238">
        <row r="1">
          <cell r="A1" t="str">
            <v>1월 생산실적</v>
          </cell>
        </row>
      </sheetData>
      <sheetData sheetId="3239">
        <row r="1">
          <cell r="A1" t="str">
            <v>1월 생산실적</v>
          </cell>
        </row>
      </sheetData>
      <sheetData sheetId="3240">
        <row r="1">
          <cell r="A1" t="str">
            <v>1월 생산실적</v>
          </cell>
        </row>
      </sheetData>
      <sheetData sheetId="3241">
        <row r="1">
          <cell r="A1" t="str">
            <v>1월 생산실적</v>
          </cell>
        </row>
      </sheetData>
      <sheetData sheetId="3242">
        <row r="1">
          <cell r="A1" t="str">
            <v>1월 생산실적</v>
          </cell>
        </row>
      </sheetData>
      <sheetData sheetId="3243">
        <row r="1">
          <cell r="A1" t="str">
            <v>1월 생산실적</v>
          </cell>
        </row>
      </sheetData>
      <sheetData sheetId="3244">
        <row r="1">
          <cell r="A1" t="str">
            <v>1월 생산실적</v>
          </cell>
        </row>
      </sheetData>
      <sheetData sheetId="3245">
        <row r="1">
          <cell r="A1" t="str">
            <v>1월 생산실적</v>
          </cell>
        </row>
      </sheetData>
      <sheetData sheetId="3246">
        <row r="1">
          <cell r="A1" t="str">
            <v>1월 생산실적</v>
          </cell>
        </row>
      </sheetData>
      <sheetData sheetId="3247">
        <row r="1">
          <cell r="A1" t="str">
            <v>1월 생산실적</v>
          </cell>
        </row>
      </sheetData>
      <sheetData sheetId="3248">
        <row r="1">
          <cell r="A1" t="str">
            <v>1월 생산실적</v>
          </cell>
        </row>
      </sheetData>
      <sheetData sheetId="3249">
        <row r="1">
          <cell r="A1" t="str">
            <v>1월 생산실적</v>
          </cell>
        </row>
      </sheetData>
      <sheetData sheetId="3250">
        <row r="1">
          <cell r="A1" t="str">
            <v>1월 생산실적</v>
          </cell>
        </row>
      </sheetData>
      <sheetData sheetId="3251">
        <row r="1">
          <cell r="A1" t="str">
            <v>1월 생산실적</v>
          </cell>
        </row>
      </sheetData>
      <sheetData sheetId="3252">
        <row r="1">
          <cell r="A1" t="str">
            <v>1월 생산실적</v>
          </cell>
        </row>
      </sheetData>
      <sheetData sheetId="3253">
        <row r="1">
          <cell r="A1" t="str">
            <v>1월 생산실적</v>
          </cell>
        </row>
      </sheetData>
      <sheetData sheetId="3254">
        <row r="1">
          <cell r="A1" t="str">
            <v>1월 생산실적</v>
          </cell>
        </row>
      </sheetData>
      <sheetData sheetId="3255">
        <row r="1">
          <cell r="A1" t="str">
            <v>1월 생산실적</v>
          </cell>
        </row>
      </sheetData>
      <sheetData sheetId="3256">
        <row r="1">
          <cell r="A1" t="str">
            <v>1월 생산실적</v>
          </cell>
        </row>
      </sheetData>
      <sheetData sheetId="3257">
        <row r="1">
          <cell r="A1" t="str">
            <v>1월 생산실적</v>
          </cell>
        </row>
      </sheetData>
      <sheetData sheetId="3258">
        <row r="1">
          <cell r="A1" t="str">
            <v>1월 생산실적</v>
          </cell>
        </row>
      </sheetData>
      <sheetData sheetId="3259">
        <row r="1">
          <cell r="A1" t="str">
            <v>1월 생산실적</v>
          </cell>
        </row>
      </sheetData>
      <sheetData sheetId="3260">
        <row r="1">
          <cell r="A1" t="str">
            <v>1월 생산실적</v>
          </cell>
        </row>
      </sheetData>
      <sheetData sheetId="3261">
        <row r="1">
          <cell r="A1" t="str">
            <v>1월 생산실적</v>
          </cell>
        </row>
      </sheetData>
      <sheetData sheetId="3262">
        <row r="1">
          <cell r="A1" t="str">
            <v>1월 생산실적</v>
          </cell>
        </row>
      </sheetData>
      <sheetData sheetId="3263">
        <row r="1">
          <cell r="A1" t="str">
            <v>1월 생산실적</v>
          </cell>
        </row>
      </sheetData>
      <sheetData sheetId="3264">
        <row r="1">
          <cell r="A1" t="str">
            <v>1월 생산실적</v>
          </cell>
        </row>
      </sheetData>
      <sheetData sheetId="3265">
        <row r="1">
          <cell r="A1" t="str">
            <v>1월 생산실적</v>
          </cell>
        </row>
      </sheetData>
      <sheetData sheetId="3266">
        <row r="1">
          <cell r="A1" t="str">
            <v>1월 생산실적</v>
          </cell>
        </row>
      </sheetData>
      <sheetData sheetId="3267">
        <row r="1">
          <cell r="A1" t="str">
            <v>1월 생산실적</v>
          </cell>
        </row>
      </sheetData>
      <sheetData sheetId="3268">
        <row r="1">
          <cell r="A1" t="str">
            <v>1월 생산실적</v>
          </cell>
        </row>
      </sheetData>
      <sheetData sheetId="3269">
        <row r="1">
          <cell r="A1" t="str">
            <v>1월 생산실적</v>
          </cell>
        </row>
      </sheetData>
      <sheetData sheetId="3270">
        <row r="1">
          <cell r="A1" t="str">
            <v>1월 생산실적</v>
          </cell>
        </row>
      </sheetData>
      <sheetData sheetId="3271">
        <row r="1">
          <cell r="A1" t="str">
            <v>1월 생산실적</v>
          </cell>
        </row>
      </sheetData>
      <sheetData sheetId="3272">
        <row r="1">
          <cell r="A1" t="str">
            <v>1월 생산실적</v>
          </cell>
        </row>
      </sheetData>
      <sheetData sheetId="3273">
        <row r="1">
          <cell r="A1" t="str">
            <v>1월 생산실적</v>
          </cell>
        </row>
      </sheetData>
      <sheetData sheetId="3274">
        <row r="1">
          <cell r="A1" t="str">
            <v>1월 생산실적</v>
          </cell>
        </row>
      </sheetData>
      <sheetData sheetId="3275">
        <row r="1">
          <cell r="A1" t="str">
            <v>1월 생산실적</v>
          </cell>
        </row>
      </sheetData>
      <sheetData sheetId="3276">
        <row r="1">
          <cell r="A1" t="str">
            <v>1월 생산실적</v>
          </cell>
        </row>
      </sheetData>
      <sheetData sheetId="3277">
        <row r="1">
          <cell r="A1" t="str">
            <v>1월 생산실적</v>
          </cell>
        </row>
      </sheetData>
      <sheetData sheetId="3278">
        <row r="1">
          <cell r="A1" t="str">
            <v>1월 생산실적</v>
          </cell>
        </row>
      </sheetData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>
        <row r="1">
          <cell r="A1" t="str">
            <v>1월 생산실적</v>
          </cell>
        </row>
      </sheetData>
      <sheetData sheetId="3389">
        <row r="1">
          <cell r="A1" t="str">
            <v>1월 생산실적</v>
          </cell>
        </row>
      </sheetData>
      <sheetData sheetId="3390">
        <row r="1">
          <cell r="A1" t="str">
            <v>1월 생산실적</v>
          </cell>
        </row>
      </sheetData>
      <sheetData sheetId="3391">
        <row r="1">
          <cell r="A1" t="str">
            <v>1월 생산실적</v>
          </cell>
        </row>
      </sheetData>
      <sheetData sheetId="3392">
        <row r="1">
          <cell r="A1" t="str">
            <v>1월 생산실적</v>
          </cell>
        </row>
      </sheetData>
      <sheetData sheetId="3393">
        <row r="1">
          <cell r="A1" t="str">
            <v>1월 생산실적</v>
          </cell>
        </row>
      </sheetData>
      <sheetData sheetId="3394">
        <row r="1">
          <cell r="A1" t="str">
            <v>1월 생산실적</v>
          </cell>
        </row>
      </sheetData>
      <sheetData sheetId="3395">
        <row r="1">
          <cell r="A1" t="str">
            <v>1월 생산실적</v>
          </cell>
        </row>
      </sheetData>
      <sheetData sheetId="3396">
        <row r="1">
          <cell r="A1" t="str">
            <v>1월 생산실적</v>
          </cell>
        </row>
      </sheetData>
      <sheetData sheetId="3397">
        <row r="1">
          <cell r="A1" t="str">
            <v>1월 생산실적</v>
          </cell>
        </row>
      </sheetData>
      <sheetData sheetId="3398">
        <row r="1">
          <cell r="A1" t="str">
            <v>1월 생산실적</v>
          </cell>
        </row>
      </sheetData>
      <sheetData sheetId="3399">
        <row r="1">
          <cell r="A1" t="str">
            <v>1월 생산실적</v>
          </cell>
        </row>
      </sheetData>
      <sheetData sheetId="3400">
        <row r="1">
          <cell r="A1" t="str">
            <v>1월 생산실적</v>
          </cell>
        </row>
      </sheetData>
      <sheetData sheetId="3401">
        <row r="1">
          <cell r="A1" t="str">
            <v>1월 생산실적</v>
          </cell>
        </row>
      </sheetData>
      <sheetData sheetId="3402">
        <row r="1">
          <cell r="A1" t="str">
            <v>1월 생산실적</v>
          </cell>
        </row>
      </sheetData>
      <sheetData sheetId="3403">
        <row r="1">
          <cell r="A1" t="str">
            <v>1월 생산실적</v>
          </cell>
        </row>
      </sheetData>
      <sheetData sheetId="3404">
        <row r="1">
          <cell r="A1" t="str">
            <v>1월 생산실적</v>
          </cell>
        </row>
      </sheetData>
      <sheetData sheetId="3405">
        <row r="1">
          <cell r="A1" t="str">
            <v>1월 생산실적</v>
          </cell>
        </row>
      </sheetData>
      <sheetData sheetId="3406">
        <row r="1">
          <cell r="A1" t="str">
            <v>1월 생산실적</v>
          </cell>
        </row>
      </sheetData>
      <sheetData sheetId="3407">
        <row r="1">
          <cell r="A1" t="str">
            <v>1월 생산실적</v>
          </cell>
        </row>
      </sheetData>
      <sheetData sheetId="3408">
        <row r="1">
          <cell r="A1" t="str">
            <v>1월 생산실적</v>
          </cell>
        </row>
      </sheetData>
      <sheetData sheetId="3409">
        <row r="1">
          <cell r="A1" t="str">
            <v>1월 생산실적</v>
          </cell>
        </row>
      </sheetData>
      <sheetData sheetId="3410">
        <row r="1">
          <cell r="A1" t="str">
            <v>1월 생산실적</v>
          </cell>
        </row>
      </sheetData>
      <sheetData sheetId="3411">
        <row r="1">
          <cell r="A1" t="str">
            <v>1월 생산실적</v>
          </cell>
        </row>
      </sheetData>
      <sheetData sheetId="3412">
        <row r="1">
          <cell r="A1" t="str">
            <v>1월 생산실적</v>
          </cell>
        </row>
      </sheetData>
      <sheetData sheetId="3413">
        <row r="1">
          <cell r="A1" t="str">
            <v>1월 생산실적</v>
          </cell>
        </row>
      </sheetData>
      <sheetData sheetId="3414">
        <row r="1">
          <cell r="A1" t="str">
            <v>1월 생산실적</v>
          </cell>
        </row>
      </sheetData>
      <sheetData sheetId="3415">
        <row r="1">
          <cell r="A1" t="str">
            <v>1월 생산실적</v>
          </cell>
        </row>
      </sheetData>
      <sheetData sheetId="3416">
        <row r="1">
          <cell r="A1" t="str">
            <v>1월 생산실적</v>
          </cell>
        </row>
      </sheetData>
      <sheetData sheetId="3417">
        <row r="1">
          <cell r="A1" t="str">
            <v>1월 생산실적</v>
          </cell>
        </row>
      </sheetData>
      <sheetData sheetId="3418">
        <row r="1">
          <cell r="A1" t="str">
            <v>1월 생산실적</v>
          </cell>
        </row>
      </sheetData>
      <sheetData sheetId="3419">
        <row r="1">
          <cell r="A1" t="str">
            <v>1월 생산실적</v>
          </cell>
        </row>
      </sheetData>
      <sheetData sheetId="3420">
        <row r="1">
          <cell r="A1" t="str">
            <v>1월 생산실적</v>
          </cell>
        </row>
      </sheetData>
      <sheetData sheetId="3421">
        <row r="1">
          <cell r="A1" t="str">
            <v>1월 생산실적</v>
          </cell>
        </row>
      </sheetData>
      <sheetData sheetId="3422">
        <row r="1">
          <cell r="A1" t="str">
            <v>1월 생산실적</v>
          </cell>
        </row>
      </sheetData>
      <sheetData sheetId="3423">
        <row r="1">
          <cell r="A1" t="str">
            <v>1월 생산실적</v>
          </cell>
        </row>
      </sheetData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>
        <row r="1">
          <cell r="A1" t="str">
            <v>1월 생산실적</v>
          </cell>
        </row>
      </sheetData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>
        <row r="1">
          <cell r="A1" t="str">
            <v>1월 생산실적</v>
          </cell>
        </row>
      </sheetData>
      <sheetData sheetId="3552">
        <row r="1">
          <cell r="A1" t="str">
            <v>1월 생산실적</v>
          </cell>
        </row>
      </sheetData>
      <sheetData sheetId="3553">
        <row r="1">
          <cell r="A1" t="str">
            <v>1월 생산실적</v>
          </cell>
        </row>
      </sheetData>
      <sheetData sheetId="3554">
        <row r="1">
          <cell r="A1" t="str">
            <v>1월 생산실적</v>
          </cell>
        </row>
      </sheetData>
      <sheetData sheetId="3555">
        <row r="1">
          <cell r="A1" t="str">
            <v>1월 생산실적</v>
          </cell>
        </row>
      </sheetData>
      <sheetData sheetId="3556">
        <row r="1">
          <cell r="A1" t="str">
            <v>1월 생산실적</v>
          </cell>
        </row>
      </sheetData>
      <sheetData sheetId="3557">
        <row r="1">
          <cell r="A1" t="str">
            <v>1월 생산실적</v>
          </cell>
        </row>
      </sheetData>
      <sheetData sheetId="3558">
        <row r="1">
          <cell r="A1" t="str">
            <v>1월 생산실적</v>
          </cell>
        </row>
      </sheetData>
      <sheetData sheetId="3559">
        <row r="1">
          <cell r="A1" t="str">
            <v>1월 생산실적</v>
          </cell>
        </row>
      </sheetData>
      <sheetData sheetId="3560">
        <row r="1">
          <cell r="A1" t="str">
            <v>1월 생산실적</v>
          </cell>
        </row>
      </sheetData>
      <sheetData sheetId="3561">
        <row r="1">
          <cell r="A1" t="str">
            <v>1월 생산실적</v>
          </cell>
        </row>
      </sheetData>
      <sheetData sheetId="3562">
        <row r="1">
          <cell r="A1" t="str">
            <v>1월 생산실적</v>
          </cell>
        </row>
      </sheetData>
      <sheetData sheetId="3563">
        <row r="1">
          <cell r="A1" t="str">
            <v>1월 생산실적</v>
          </cell>
        </row>
      </sheetData>
      <sheetData sheetId="3564">
        <row r="1">
          <cell r="A1" t="str">
            <v>1월 생산실적</v>
          </cell>
        </row>
      </sheetData>
      <sheetData sheetId="3565">
        <row r="1">
          <cell r="A1" t="str">
            <v>1월 생산실적</v>
          </cell>
        </row>
      </sheetData>
      <sheetData sheetId="3566">
        <row r="1">
          <cell r="A1" t="str">
            <v>1월 생산실적</v>
          </cell>
        </row>
      </sheetData>
      <sheetData sheetId="3567">
        <row r="1">
          <cell r="A1" t="str">
            <v>1월 생산실적</v>
          </cell>
        </row>
      </sheetData>
      <sheetData sheetId="3568">
        <row r="1">
          <cell r="A1" t="str">
            <v>1월 생산실적</v>
          </cell>
        </row>
      </sheetData>
      <sheetData sheetId="3569">
        <row r="1">
          <cell r="A1" t="str">
            <v>1월 생산실적</v>
          </cell>
        </row>
      </sheetData>
      <sheetData sheetId="3570">
        <row r="1">
          <cell r="A1" t="str">
            <v>1월 생산실적</v>
          </cell>
        </row>
      </sheetData>
      <sheetData sheetId="3571">
        <row r="1">
          <cell r="A1" t="str">
            <v>1월 생산실적</v>
          </cell>
        </row>
      </sheetData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>
        <row r="1">
          <cell r="A1" t="str">
            <v>1월 생산실적</v>
          </cell>
        </row>
      </sheetData>
      <sheetData sheetId="3598">
        <row r="1">
          <cell r="A1" t="str">
            <v>1월 생산실적</v>
          </cell>
        </row>
      </sheetData>
      <sheetData sheetId="3599">
        <row r="1">
          <cell r="A1" t="str">
            <v>1월 생산실적</v>
          </cell>
        </row>
      </sheetData>
      <sheetData sheetId="3600">
        <row r="1">
          <cell r="A1" t="str">
            <v>1월 생산실적</v>
          </cell>
        </row>
      </sheetData>
      <sheetData sheetId="3601">
        <row r="1">
          <cell r="A1" t="str">
            <v>1월 생산실적</v>
          </cell>
        </row>
      </sheetData>
      <sheetData sheetId="3602">
        <row r="1">
          <cell r="A1" t="str">
            <v>1월 생산실적</v>
          </cell>
        </row>
      </sheetData>
      <sheetData sheetId="3603">
        <row r="1">
          <cell r="A1" t="str">
            <v>1월 생산실적</v>
          </cell>
        </row>
      </sheetData>
      <sheetData sheetId="3604">
        <row r="1">
          <cell r="A1" t="str">
            <v>1월 생산실적</v>
          </cell>
        </row>
      </sheetData>
      <sheetData sheetId="3605">
        <row r="1">
          <cell r="A1" t="str">
            <v>1월 생산실적</v>
          </cell>
        </row>
      </sheetData>
      <sheetData sheetId="3606">
        <row r="1">
          <cell r="A1" t="str">
            <v>1월 생산실적</v>
          </cell>
        </row>
      </sheetData>
      <sheetData sheetId="3607">
        <row r="1">
          <cell r="A1" t="str">
            <v>1월 생산실적</v>
          </cell>
        </row>
      </sheetData>
      <sheetData sheetId="3608">
        <row r="1">
          <cell r="A1" t="str">
            <v>1월 생산실적</v>
          </cell>
        </row>
      </sheetData>
      <sheetData sheetId="3609">
        <row r="1">
          <cell r="A1" t="str">
            <v>1월 생산실적</v>
          </cell>
        </row>
      </sheetData>
      <sheetData sheetId="3610">
        <row r="1">
          <cell r="A1" t="str">
            <v>1월 생산실적</v>
          </cell>
        </row>
      </sheetData>
      <sheetData sheetId="3611">
        <row r="1">
          <cell r="A1" t="str">
            <v>1월 생산실적</v>
          </cell>
        </row>
      </sheetData>
      <sheetData sheetId="3612">
        <row r="1">
          <cell r="A1" t="str">
            <v>1월 생산실적</v>
          </cell>
        </row>
      </sheetData>
      <sheetData sheetId="3613">
        <row r="1">
          <cell r="A1" t="str">
            <v>1월 생산실적</v>
          </cell>
        </row>
      </sheetData>
      <sheetData sheetId="3614">
        <row r="1">
          <cell r="A1" t="str">
            <v>1월 생산실적</v>
          </cell>
        </row>
      </sheetData>
      <sheetData sheetId="3615">
        <row r="1">
          <cell r="A1" t="str">
            <v>1월 생산실적</v>
          </cell>
        </row>
      </sheetData>
      <sheetData sheetId="3616">
        <row r="1">
          <cell r="A1" t="str">
            <v>1월 생산실적</v>
          </cell>
        </row>
      </sheetData>
      <sheetData sheetId="3617">
        <row r="1">
          <cell r="A1" t="str">
            <v>1월 생산실적</v>
          </cell>
        </row>
      </sheetData>
      <sheetData sheetId="3618">
        <row r="1">
          <cell r="A1" t="str">
            <v>1월 생산실적</v>
          </cell>
        </row>
      </sheetData>
      <sheetData sheetId="3619">
        <row r="1">
          <cell r="A1" t="str">
            <v>1월 생산실적</v>
          </cell>
        </row>
      </sheetData>
      <sheetData sheetId="3620">
        <row r="1">
          <cell r="A1" t="str">
            <v>1월 생산실적</v>
          </cell>
        </row>
      </sheetData>
      <sheetData sheetId="3621">
        <row r="1">
          <cell r="A1" t="str">
            <v>1월 생산실적</v>
          </cell>
        </row>
      </sheetData>
      <sheetData sheetId="3622">
        <row r="1">
          <cell r="A1" t="str">
            <v>1월 생산실적</v>
          </cell>
        </row>
      </sheetData>
      <sheetData sheetId="3623">
        <row r="1">
          <cell r="A1" t="str">
            <v>1월 생산실적</v>
          </cell>
        </row>
      </sheetData>
      <sheetData sheetId="3624">
        <row r="1">
          <cell r="A1" t="str">
            <v>1월 생산실적</v>
          </cell>
        </row>
      </sheetData>
      <sheetData sheetId="3625">
        <row r="1">
          <cell r="A1" t="str">
            <v>1월 생산실적</v>
          </cell>
        </row>
      </sheetData>
      <sheetData sheetId="3626">
        <row r="1">
          <cell r="A1" t="str">
            <v>1월 생산실적</v>
          </cell>
        </row>
      </sheetData>
      <sheetData sheetId="3627">
        <row r="1">
          <cell r="A1" t="str">
            <v>1월 생산실적</v>
          </cell>
        </row>
      </sheetData>
      <sheetData sheetId="3628">
        <row r="1">
          <cell r="A1" t="str">
            <v>1월 생산실적</v>
          </cell>
        </row>
      </sheetData>
      <sheetData sheetId="3629">
        <row r="1">
          <cell r="A1" t="str">
            <v>1월 생산실적</v>
          </cell>
        </row>
      </sheetData>
      <sheetData sheetId="3630">
        <row r="1">
          <cell r="A1" t="str">
            <v>1월 생산실적</v>
          </cell>
        </row>
      </sheetData>
      <sheetData sheetId="3631">
        <row r="1">
          <cell r="A1" t="str">
            <v>1월 생산실적</v>
          </cell>
        </row>
      </sheetData>
      <sheetData sheetId="3632">
        <row r="1">
          <cell r="A1" t="str">
            <v>1월 생산실적</v>
          </cell>
        </row>
      </sheetData>
      <sheetData sheetId="3633">
        <row r="1">
          <cell r="A1" t="str">
            <v>1월 생산실적</v>
          </cell>
        </row>
      </sheetData>
      <sheetData sheetId="3634">
        <row r="1">
          <cell r="A1" t="str">
            <v>1월 생산실적</v>
          </cell>
        </row>
      </sheetData>
      <sheetData sheetId="3635">
        <row r="1">
          <cell r="A1" t="str">
            <v>1월 생산실적</v>
          </cell>
        </row>
      </sheetData>
      <sheetData sheetId="3636">
        <row r="1">
          <cell r="A1" t="str">
            <v>1월 생산실적</v>
          </cell>
        </row>
      </sheetData>
      <sheetData sheetId="3637">
        <row r="1">
          <cell r="A1" t="str">
            <v>1월 생산실적</v>
          </cell>
        </row>
      </sheetData>
      <sheetData sheetId="3638">
        <row r="1">
          <cell r="A1" t="str">
            <v>1월 생산실적</v>
          </cell>
        </row>
      </sheetData>
      <sheetData sheetId="3639">
        <row r="1">
          <cell r="A1" t="str">
            <v>1월 생산실적</v>
          </cell>
        </row>
      </sheetData>
      <sheetData sheetId="3640">
        <row r="1">
          <cell r="A1" t="str">
            <v>1월 생산실적</v>
          </cell>
        </row>
      </sheetData>
      <sheetData sheetId="3641">
        <row r="1">
          <cell r="A1" t="str">
            <v>1월 생산실적</v>
          </cell>
        </row>
      </sheetData>
      <sheetData sheetId="3642">
        <row r="1">
          <cell r="A1" t="str">
            <v>1월 생산실적</v>
          </cell>
        </row>
      </sheetData>
      <sheetData sheetId="3643">
        <row r="1">
          <cell r="A1" t="str">
            <v>1월 생산실적</v>
          </cell>
        </row>
      </sheetData>
      <sheetData sheetId="3644">
        <row r="1">
          <cell r="A1" t="str">
            <v>1월 생산실적</v>
          </cell>
        </row>
      </sheetData>
      <sheetData sheetId="3645">
        <row r="1">
          <cell r="A1" t="str">
            <v>1월 생산실적</v>
          </cell>
        </row>
      </sheetData>
      <sheetData sheetId="3646">
        <row r="1">
          <cell r="A1" t="str">
            <v>1월 생산실적</v>
          </cell>
        </row>
      </sheetData>
      <sheetData sheetId="3647">
        <row r="1">
          <cell r="A1" t="str">
            <v>1월 생산실적</v>
          </cell>
        </row>
      </sheetData>
      <sheetData sheetId="3648">
        <row r="1">
          <cell r="A1" t="str">
            <v>1월 생산실적</v>
          </cell>
        </row>
      </sheetData>
      <sheetData sheetId="3649">
        <row r="1">
          <cell r="A1" t="str">
            <v>1월 생산실적</v>
          </cell>
        </row>
      </sheetData>
      <sheetData sheetId="3650">
        <row r="1">
          <cell r="A1" t="str">
            <v>1월 생산실적</v>
          </cell>
        </row>
      </sheetData>
      <sheetData sheetId="3651">
        <row r="1">
          <cell r="A1" t="str">
            <v>1월 생산실적</v>
          </cell>
        </row>
      </sheetData>
      <sheetData sheetId="3652">
        <row r="1">
          <cell r="A1" t="str">
            <v>1월 생산실적</v>
          </cell>
        </row>
      </sheetData>
      <sheetData sheetId="3653">
        <row r="1">
          <cell r="A1" t="str">
            <v>1월 생산실적</v>
          </cell>
        </row>
      </sheetData>
      <sheetData sheetId="3654">
        <row r="1">
          <cell r="A1" t="str">
            <v>1월 생산실적</v>
          </cell>
        </row>
      </sheetData>
      <sheetData sheetId="3655">
        <row r="1">
          <cell r="A1" t="str">
            <v>1월 생산실적</v>
          </cell>
        </row>
      </sheetData>
      <sheetData sheetId="3656">
        <row r="1">
          <cell r="A1" t="str">
            <v>1월 생산실적</v>
          </cell>
        </row>
      </sheetData>
      <sheetData sheetId="3657">
        <row r="1">
          <cell r="A1" t="str">
            <v>1월 생산실적</v>
          </cell>
        </row>
      </sheetData>
      <sheetData sheetId="3658">
        <row r="1">
          <cell r="A1" t="str">
            <v>1월 생산실적</v>
          </cell>
        </row>
      </sheetData>
      <sheetData sheetId="3659">
        <row r="1">
          <cell r="A1" t="str">
            <v>1월 생산실적</v>
          </cell>
        </row>
      </sheetData>
      <sheetData sheetId="3660">
        <row r="1">
          <cell r="A1" t="str">
            <v>1월 생산실적</v>
          </cell>
        </row>
      </sheetData>
      <sheetData sheetId="3661">
        <row r="1">
          <cell r="A1" t="str">
            <v>1월 생산실적</v>
          </cell>
        </row>
      </sheetData>
      <sheetData sheetId="3662">
        <row r="1">
          <cell r="A1" t="str">
            <v>1월 생산실적</v>
          </cell>
        </row>
      </sheetData>
      <sheetData sheetId="3663">
        <row r="1">
          <cell r="A1" t="str">
            <v>1월 생산실적</v>
          </cell>
        </row>
      </sheetData>
      <sheetData sheetId="3664">
        <row r="1">
          <cell r="A1" t="str">
            <v>1월 생산실적</v>
          </cell>
        </row>
      </sheetData>
      <sheetData sheetId="3665">
        <row r="1">
          <cell r="A1" t="str">
            <v>1월 생산실적</v>
          </cell>
        </row>
      </sheetData>
      <sheetData sheetId="3666">
        <row r="1">
          <cell r="A1" t="str">
            <v>1월 생산실적</v>
          </cell>
        </row>
      </sheetData>
      <sheetData sheetId="3667">
        <row r="1">
          <cell r="A1" t="str">
            <v>1월 생산실적</v>
          </cell>
        </row>
      </sheetData>
      <sheetData sheetId="3668">
        <row r="1">
          <cell r="A1" t="str">
            <v>1월 생산실적</v>
          </cell>
        </row>
      </sheetData>
      <sheetData sheetId="3669">
        <row r="1">
          <cell r="A1" t="str">
            <v>1월 생산실적</v>
          </cell>
        </row>
      </sheetData>
      <sheetData sheetId="3670">
        <row r="1">
          <cell r="A1" t="str">
            <v>1월 생산실적</v>
          </cell>
        </row>
      </sheetData>
      <sheetData sheetId="3671">
        <row r="1">
          <cell r="A1" t="str">
            <v>1월 생산실적</v>
          </cell>
        </row>
      </sheetData>
      <sheetData sheetId="3672">
        <row r="1">
          <cell r="A1" t="str">
            <v>1월 생산실적</v>
          </cell>
        </row>
      </sheetData>
      <sheetData sheetId="3673">
        <row r="1">
          <cell r="A1" t="str">
            <v>1월 생산실적</v>
          </cell>
        </row>
      </sheetData>
      <sheetData sheetId="3674">
        <row r="1">
          <cell r="A1" t="str">
            <v>1월 생산실적</v>
          </cell>
        </row>
      </sheetData>
      <sheetData sheetId="3675">
        <row r="1">
          <cell r="A1" t="str">
            <v>1월 생산실적</v>
          </cell>
        </row>
      </sheetData>
      <sheetData sheetId="3676">
        <row r="1">
          <cell r="A1" t="str">
            <v>1월 생산실적</v>
          </cell>
        </row>
      </sheetData>
      <sheetData sheetId="3677">
        <row r="1">
          <cell r="A1" t="str">
            <v>1월 생산실적</v>
          </cell>
        </row>
      </sheetData>
      <sheetData sheetId="3678">
        <row r="1">
          <cell r="A1" t="str">
            <v>1월 생산실적</v>
          </cell>
        </row>
      </sheetData>
      <sheetData sheetId="3679">
        <row r="1">
          <cell r="A1" t="str">
            <v>1월 생산실적</v>
          </cell>
        </row>
      </sheetData>
      <sheetData sheetId="3680">
        <row r="1">
          <cell r="A1" t="str">
            <v>1월 생산실적</v>
          </cell>
        </row>
      </sheetData>
      <sheetData sheetId="3681">
        <row r="1">
          <cell r="A1" t="str">
            <v>1월 생산실적</v>
          </cell>
        </row>
      </sheetData>
      <sheetData sheetId="3682">
        <row r="1">
          <cell r="A1" t="str">
            <v>1월 생산실적</v>
          </cell>
        </row>
      </sheetData>
      <sheetData sheetId="3683">
        <row r="1">
          <cell r="A1" t="str">
            <v>1월 생산실적</v>
          </cell>
        </row>
      </sheetData>
      <sheetData sheetId="3684">
        <row r="1">
          <cell r="A1" t="str">
            <v>1월 생산실적</v>
          </cell>
        </row>
      </sheetData>
      <sheetData sheetId="3685">
        <row r="1">
          <cell r="A1" t="str">
            <v>1월 생산실적</v>
          </cell>
        </row>
      </sheetData>
      <sheetData sheetId="3686">
        <row r="1">
          <cell r="A1" t="str">
            <v>1월 생산실적</v>
          </cell>
        </row>
      </sheetData>
      <sheetData sheetId="3687">
        <row r="1">
          <cell r="A1" t="str">
            <v>1월 생산실적</v>
          </cell>
        </row>
      </sheetData>
      <sheetData sheetId="3688">
        <row r="1">
          <cell r="A1" t="str">
            <v>1월 생산실적</v>
          </cell>
        </row>
      </sheetData>
      <sheetData sheetId="3689">
        <row r="1">
          <cell r="A1" t="str">
            <v>1월 생산실적</v>
          </cell>
        </row>
      </sheetData>
      <sheetData sheetId="3690">
        <row r="1">
          <cell r="A1" t="str">
            <v>1월 생산실적</v>
          </cell>
        </row>
      </sheetData>
      <sheetData sheetId="3691">
        <row r="1">
          <cell r="A1" t="str">
            <v>1월 생산실적</v>
          </cell>
        </row>
      </sheetData>
      <sheetData sheetId="3692">
        <row r="1">
          <cell r="A1" t="str">
            <v>1월 생산실적</v>
          </cell>
        </row>
      </sheetData>
      <sheetData sheetId="3693">
        <row r="1">
          <cell r="A1" t="str">
            <v>1월 생산실적</v>
          </cell>
        </row>
      </sheetData>
      <sheetData sheetId="3694">
        <row r="1">
          <cell r="A1" t="str">
            <v>1월 생산실적</v>
          </cell>
        </row>
      </sheetData>
      <sheetData sheetId="3695">
        <row r="1">
          <cell r="A1" t="str">
            <v>1월 생산실적</v>
          </cell>
        </row>
      </sheetData>
      <sheetData sheetId="3696">
        <row r="1">
          <cell r="A1" t="str">
            <v>1월 생산실적</v>
          </cell>
        </row>
      </sheetData>
      <sheetData sheetId="3697">
        <row r="1">
          <cell r="A1" t="str">
            <v>1월 생산실적</v>
          </cell>
        </row>
      </sheetData>
      <sheetData sheetId="3698">
        <row r="1">
          <cell r="A1" t="str">
            <v>1월 생산실적</v>
          </cell>
        </row>
      </sheetData>
      <sheetData sheetId="3699">
        <row r="1">
          <cell r="A1" t="str">
            <v>1월 생산실적</v>
          </cell>
        </row>
      </sheetData>
      <sheetData sheetId="3700">
        <row r="1">
          <cell r="A1" t="str">
            <v>1월 생산실적</v>
          </cell>
        </row>
      </sheetData>
      <sheetData sheetId="3701">
        <row r="1">
          <cell r="A1" t="str">
            <v>1월 생산실적</v>
          </cell>
        </row>
      </sheetData>
      <sheetData sheetId="3702">
        <row r="1">
          <cell r="A1" t="str">
            <v>1월 생산실적</v>
          </cell>
        </row>
      </sheetData>
      <sheetData sheetId="3703">
        <row r="1">
          <cell r="A1" t="str">
            <v>1월 생산실적</v>
          </cell>
        </row>
      </sheetData>
      <sheetData sheetId="3704">
        <row r="1">
          <cell r="A1" t="str">
            <v>1월 생산실적</v>
          </cell>
        </row>
      </sheetData>
      <sheetData sheetId="3705">
        <row r="1">
          <cell r="A1" t="str">
            <v>1월 생산실적</v>
          </cell>
        </row>
      </sheetData>
      <sheetData sheetId="3706">
        <row r="1">
          <cell r="A1" t="str">
            <v>1월 생산실적</v>
          </cell>
        </row>
      </sheetData>
      <sheetData sheetId="3707">
        <row r="1">
          <cell r="A1" t="str">
            <v>1월 생산실적</v>
          </cell>
        </row>
      </sheetData>
      <sheetData sheetId="3708">
        <row r="1">
          <cell r="A1" t="str">
            <v>1월 생산실적</v>
          </cell>
        </row>
      </sheetData>
      <sheetData sheetId="3709">
        <row r="1">
          <cell r="A1" t="str">
            <v>1월 생산실적</v>
          </cell>
        </row>
      </sheetData>
      <sheetData sheetId="3710">
        <row r="1">
          <cell r="A1" t="str">
            <v>1월 생산실적</v>
          </cell>
        </row>
      </sheetData>
      <sheetData sheetId="3711">
        <row r="1">
          <cell r="A1" t="str">
            <v>1월 생산실적</v>
          </cell>
        </row>
      </sheetData>
      <sheetData sheetId="3712">
        <row r="1">
          <cell r="A1" t="str">
            <v>1월 생산실적</v>
          </cell>
        </row>
      </sheetData>
      <sheetData sheetId="3713">
        <row r="1">
          <cell r="A1" t="str">
            <v>1월 생산실적</v>
          </cell>
        </row>
      </sheetData>
      <sheetData sheetId="3714">
        <row r="1">
          <cell r="A1" t="str">
            <v>1월 생산실적</v>
          </cell>
        </row>
      </sheetData>
      <sheetData sheetId="3715">
        <row r="1">
          <cell r="A1" t="str">
            <v>1월 생산실적</v>
          </cell>
        </row>
      </sheetData>
      <sheetData sheetId="3716">
        <row r="1">
          <cell r="A1" t="str">
            <v>1월 생산실적</v>
          </cell>
        </row>
      </sheetData>
      <sheetData sheetId="3717">
        <row r="1">
          <cell r="A1" t="str">
            <v>1월 생산실적</v>
          </cell>
        </row>
      </sheetData>
      <sheetData sheetId="3718">
        <row r="1">
          <cell r="A1" t="str">
            <v>1월 생산실적</v>
          </cell>
        </row>
      </sheetData>
      <sheetData sheetId="3719">
        <row r="1">
          <cell r="A1" t="str">
            <v>1월 생산실적</v>
          </cell>
        </row>
      </sheetData>
      <sheetData sheetId="3720">
        <row r="1">
          <cell r="A1" t="str">
            <v>1월 생산실적</v>
          </cell>
        </row>
      </sheetData>
      <sheetData sheetId="3721">
        <row r="1">
          <cell r="A1" t="str">
            <v>1월 생산실적</v>
          </cell>
        </row>
      </sheetData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>
        <row r="1">
          <cell r="A1" t="str">
            <v>1월 생산실적</v>
          </cell>
        </row>
      </sheetData>
      <sheetData sheetId="3747">
        <row r="1">
          <cell r="A1" t="str">
            <v>1월 생산실적</v>
          </cell>
        </row>
      </sheetData>
      <sheetData sheetId="3748">
        <row r="1">
          <cell r="A1" t="str">
            <v>1월 생산실적</v>
          </cell>
        </row>
      </sheetData>
      <sheetData sheetId="3749" refreshError="1"/>
      <sheetData sheetId="3750">
        <row r="1">
          <cell r="A1" t="str">
            <v>1월 생산실적</v>
          </cell>
        </row>
      </sheetData>
      <sheetData sheetId="3751">
        <row r="1">
          <cell r="A1" t="str">
            <v>1월 생산실적</v>
          </cell>
        </row>
      </sheetData>
      <sheetData sheetId="3752">
        <row r="1">
          <cell r="A1" t="str">
            <v>1월 생산실적</v>
          </cell>
        </row>
      </sheetData>
      <sheetData sheetId="3753">
        <row r="1">
          <cell r="A1" t="str">
            <v>1월 생산실적</v>
          </cell>
        </row>
      </sheetData>
      <sheetData sheetId="3754">
        <row r="1">
          <cell r="A1" t="str">
            <v>1월 생산실적</v>
          </cell>
        </row>
      </sheetData>
      <sheetData sheetId="3755">
        <row r="1">
          <cell r="A1" t="str">
            <v>1월 생산실적</v>
          </cell>
        </row>
      </sheetData>
      <sheetData sheetId="3756">
        <row r="1">
          <cell r="A1" t="str">
            <v>1월 생산실적</v>
          </cell>
        </row>
      </sheetData>
      <sheetData sheetId="3757">
        <row r="1">
          <cell r="A1" t="str">
            <v>1월 생산실적</v>
          </cell>
        </row>
      </sheetData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>
        <row r="1">
          <cell r="A1" t="str">
            <v>1월 생산실적</v>
          </cell>
        </row>
      </sheetData>
      <sheetData sheetId="3856" refreshError="1"/>
      <sheetData sheetId="3857" refreshError="1"/>
      <sheetData sheetId="3858" refreshError="1"/>
      <sheetData sheetId="3859" refreshError="1"/>
      <sheetData sheetId="3860">
        <row r="1">
          <cell r="A1" t="str">
            <v>1월 생산실적</v>
          </cell>
        </row>
      </sheetData>
      <sheetData sheetId="3861">
        <row r="1">
          <cell r="A1" t="str">
            <v>1월 생산실적</v>
          </cell>
        </row>
      </sheetData>
      <sheetData sheetId="3862">
        <row r="1">
          <cell r="A1" t="str">
            <v>1월 생산실적</v>
          </cell>
        </row>
      </sheetData>
      <sheetData sheetId="3863">
        <row r="1">
          <cell r="A1" t="str">
            <v>1월 생산실적</v>
          </cell>
        </row>
      </sheetData>
      <sheetData sheetId="3864">
        <row r="1">
          <cell r="A1" t="str">
            <v>1월 생산실적</v>
          </cell>
        </row>
      </sheetData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>
        <row r="1">
          <cell r="A1" t="str">
            <v>1월 생산실적</v>
          </cell>
        </row>
      </sheetData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>
        <row r="1">
          <cell r="A1" t="str">
            <v>1월 생산실적</v>
          </cell>
        </row>
      </sheetData>
      <sheetData sheetId="3904">
        <row r="1">
          <cell r="A1" t="str">
            <v>1월 생산실적</v>
          </cell>
        </row>
      </sheetData>
      <sheetData sheetId="3905">
        <row r="1">
          <cell r="A1" t="str">
            <v>1월 생산실적</v>
          </cell>
        </row>
      </sheetData>
      <sheetData sheetId="3906">
        <row r="1">
          <cell r="A1" t="str">
            <v>1월 생산실적</v>
          </cell>
        </row>
      </sheetData>
      <sheetData sheetId="3907">
        <row r="1">
          <cell r="A1" t="str">
            <v>1월 생산실적</v>
          </cell>
        </row>
      </sheetData>
      <sheetData sheetId="3908">
        <row r="1">
          <cell r="A1" t="str">
            <v>1월 생산실적</v>
          </cell>
        </row>
      </sheetData>
      <sheetData sheetId="3909">
        <row r="1">
          <cell r="A1" t="str">
            <v>1월 생산실적</v>
          </cell>
        </row>
      </sheetData>
      <sheetData sheetId="3910">
        <row r="1">
          <cell r="A1" t="str">
            <v>1월 생산실적</v>
          </cell>
        </row>
      </sheetData>
      <sheetData sheetId="3911">
        <row r="1">
          <cell r="A1" t="str">
            <v>1월 생산실적</v>
          </cell>
        </row>
      </sheetData>
      <sheetData sheetId="3912">
        <row r="1">
          <cell r="A1" t="str">
            <v>1월 생산실적</v>
          </cell>
        </row>
      </sheetData>
      <sheetData sheetId="3913">
        <row r="1">
          <cell r="A1" t="str">
            <v>1월 생산실적</v>
          </cell>
        </row>
      </sheetData>
      <sheetData sheetId="3914">
        <row r="1">
          <cell r="A1" t="str">
            <v>1월 생산실적</v>
          </cell>
        </row>
      </sheetData>
      <sheetData sheetId="3915">
        <row r="1">
          <cell r="A1" t="str">
            <v>1월 생산실적</v>
          </cell>
        </row>
      </sheetData>
      <sheetData sheetId="3916">
        <row r="1">
          <cell r="A1" t="str">
            <v>1월 생산실적</v>
          </cell>
        </row>
      </sheetData>
      <sheetData sheetId="3917">
        <row r="1">
          <cell r="A1" t="str">
            <v>1월 생산실적</v>
          </cell>
        </row>
      </sheetData>
      <sheetData sheetId="3918">
        <row r="1">
          <cell r="A1" t="str">
            <v>1월 생산실적</v>
          </cell>
        </row>
      </sheetData>
      <sheetData sheetId="3919">
        <row r="1">
          <cell r="A1" t="str">
            <v>1월 생산실적</v>
          </cell>
        </row>
      </sheetData>
      <sheetData sheetId="3920">
        <row r="1">
          <cell r="A1" t="str">
            <v>1월 생산실적</v>
          </cell>
        </row>
      </sheetData>
      <sheetData sheetId="3921">
        <row r="1">
          <cell r="A1" t="str">
            <v>1월 생산실적</v>
          </cell>
        </row>
      </sheetData>
      <sheetData sheetId="3922">
        <row r="1">
          <cell r="A1" t="str">
            <v>1월 생산실적</v>
          </cell>
        </row>
      </sheetData>
      <sheetData sheetId="3923">
        <row r="1">
          <cell r="A1" t="str">
            <v>1월 생산실적</v>
          </cell>
        </row>
      </sheetData>
      <sheetData sheetId="3924">
        <row r="1">
          <cell r="A1" t="str">
            <v>1월 생산실적</v>
          </cell>
        </row>
      </sheetData>
      <sheetData sheetId="3925">
        <row r="1">
          <cell r="A1" t="str">
            <v>1월 생산실적</v>
          </cell>
        </row>
      </sheetData>
      <sheetData sheetId="3926">
        <row r="1">
          <cell r="A1" t="str">
            <v>1월 생산실적</v>
          </cell>
        </row>
      </sheetData>
      <sheetData sheetId="3927">
        <row r="1">
          <cell r="A1" t="str">
            <v>1월 생산실적</v>
          </cell>
        </row>
      </sheetData>
      <sheetData sheetId="3928">
        <row r="1">
          <cell r="A1" t="str">
            <v>1월 생산실적</v>
          </cell>
        </row>
      </sheetData>
      <sheetData sheetId="3929">
        <row r="1">
          <cell r="A1" t="str">
            <v>1월 생산실적</v>
          </cell>
        </row>
      </sheetData>
      <sheetData sheetId="3930">
        <row r="1">
          <cell r="A1" t="str">
            <v>1월 생산실적</v>
          </cell>
        </row>
      </sheetData>
      <sheetData sheetId="3931">
        <row r="1">
          <cell r="A1" t="str">
            <v>1월 생산실적</v>
          </cell>
        </row>
      </sheetData>
      <sheetData sheetId="3932">
        <row r="1">
          <cell r="A1" t="str">
            <v>1월 생산실적</v>
          </cell>
        </row>
      </sheetData>
      <sheetData sheetId="3933">
        <row r="1">
          <cell r="A1" t="str">
            <v>1월 생산실적</v>
          </cell>
        </row>
      </sheetData>
      <sheetData sheetId="3934">
        <row r="1">
          <cell r="A1" t="str">
            <v>1월 생산실적</v>
          </cell>
        </row>
      </sheetData>
      <sheetData sheetId="3935">
        <row r="1">
          <cell r="A1" t="str">
            <v>1월 생산실적</v>
          </cell>
        </row>
      </sheetData>
      <sheetData sheetId="3936">
        <row r="1">
          <cell r="A1" t="str">
            <v>1월 생산실적</v>
          </cell>
        </row>
      </sheetData>
      <sheetData sheetId="3937">
        <row r="1">
          <cell r="A1" t="str">
            <v>1월 생산실적</v>
          </cell>
        </row>
      </sheetData>
      <sheetData sheetId="3938">
        <row r="1">
          <cell r="A1" t="str">
            <v>1월 생산실적</v>
          </cell>
        </row>
      </sheetData>
      <sheetData sheetId="3939">
        <row r="1">
          <cell r="A1" t="str">
            <v>1월 생산실적</v>
          </cell>
        </row>
      </sheetData>
      <sheetData sheetId="3940">
        <row r="1">
          <cell r="A1" t="str">
            <v>1월 생산실적</v>
          </cell>
        </row>
      </sheetData>
      <sheetData sheetId="3941">
        <row r="1">
          <cell r="A1" t="str">
            <v>1월 생산실적</v>
          </cell>
        </row>
      </sheetData>
      <sheetData sheetId="3942">
        <row r="1">
          <cell r="A1" t="str">
            <v>1월 생산실적</v>
          </cell>
        </row>
      </sheetData>
      <sheetData sheetId="3943">
        <row r="1">
          <cell r="A1" t="str">
            <v>1월 생산실적</v>
          </cell>
        </row>
      </sheetData>
      <sheetData sheetId="3944">
        <row r="1">
          <cell r="A1" t="str">
            <v>1월 생산실적</v>
          </cell>
        </row>
      </sheetData>
      <sheetData sheetId="3945">
        <row r="1">
          <cell r="A1" t="str">
            <v>1월 생산실적</v>
          </cell>
        </row>
      </sheetData>
      <sheetData sheetId="3946">
        <row r="1">
          <cell r="A1" t="str">
            <v>1월 생산실적</v>
          </cell>
        </row>
      </sheetData>
      <sheetData sheetId="3947">
        <row r="1">
          <cell r="A1" t="str">
            <v>1월 생산실적</v>
          </cell>
        </row>
      </sheetData>
      <sheetData sheetId="3948">
        <row r="1">
          <cell r="A1" t="str">
            <v>1월 생산실적</v>
          </cell>
        </row>
      </sheetData>
      <sheetData sheetId="3949">
        <row r="1">
          <cell r="A1" t="str">
            <v>1월 생산실적</v>
          </cell>
        </row>
      </sheetData>
      <sheetData sheetId="3950">
        <row r="1">
          <cell r="A1" t="str">
            <v>1월 생산실적</v>
          </cell>
        </row>
      </sheetData>
      <sheetData sheetId="3951">
        <row r="1">
          <cell r="A1" t="str">
            <v>1월 생산실적</v>
          </cell>
        </row>
      </sheetData>
      <sheetData sheetId="3952">
        <row r="1">
          <cell r="A1" t="str">
            <v>1월 생산실적</v>
          </cell>
        </row>
      </sheetData>
      <sheetData sheetId="3953">
        <row r="1">
          <cell r="A1" t="str">
            <v>1월 생산실적</v>
          </cell>
        </row>
      </sheetData>
      <sheetData sheetId="3954">
        <row r="1">
          <cell r="A1" t="str">
            <v>1월 생산실적</v>
          </cell>
        </row>
      </sheetData>
      <sheetData sheetId="3955">
        <row r="1">
          <cell r="A1" t="str">
            <v>1월 생산실적</v>
          </cell>
        </row>
      </sheetData>
      <sheetData sheetId="3956">
        <row r="1">
          <cell r="A1" t="str">
            <v>1월 생산실적</v>
          </cell>
        </row>
      </sheetData>
      <sheetData sheetId="3957">
        <row r="1">
          <cell r="A1" t="str">
            <v>1월 생산실적</v>
          </cell>
        </row>
      </sheetData>
      <sheetData sheetId="3958">
        <row r="1">
          <cell r="A1" t="str">
            <v>1월 생산실적</v>
          </cell>
        </row>
      </sheetData>
      <sheetData sheetId="3959">
        <row r="1">
          <cell r="A1" t="str">
            <v>1월 생산실적</v>
          </cell>
        </row>
      </sheetData>
      <sheetData sheetId="3960">
        <row r="1">
          <cell r="A1" t="str">
            <v>1월 생산실적</v>
          </cell>
        </row>
      </sheetData>
      <sheetData sheetId="3961" refreshError="1"/>
      <sheetData sheetId="3962" refreshError="1"/>
      <sheetData sheetId="3963">
        <row r="1">
          <cell r="A1" t="str">
            <v>1월 생산실적</v>
          </cell>
        </row>
      </sheetData>
      <sheetData sheetId="3964">
        <row r="1">
          <cell r="A1" t="str">
            <v>1월 생산실적</v>
          </cell>
        </row>
      </sheetData>
      <sheetData sheetId="3965">
        <row r="1">
          <cell r="A1" t="str">
            <v>1월 생산실적</v>
          </cell>
        </row>
      </sheetData>
      <sheetData sheetId="3966">
        <row r="1">
          <cell r="A1" t="str">
            <v>1월 생산실적</v>
          </cell>
        </row>
      </sheetData>
      <sheetData sheetId="3967">
        <row r="1">
          <cell r="A1" t="str">
            <v>1월 생산실적</v>
          </cell>
        </row>
      </sheetData>
      <sheetData sheetId="3968">
        <row r="1">
          <cell r="A1" t="str">
            <v>1월 생산실적</v>
          </cell>
        </row>
      </sheetData>
      <sheetData sheetId="3969">
        <row r="1">
          <cell r="A1" t="str">
            <v>1월 생산실적</v>
          </cell>
        </row>
      </sheetData>
      <sheetData sheetId="3970">
        <row r="1">
          <cell r="A1" t="str">
            <v>1월 생산실적</v>
          </cell>
        </row>
      </sheetData>
      <sheetData sheetId="3971">
        <row r="1">
          <cell r="A1" t="str">
            <v>1월 생산실적</v>
          </cell>
        </row>
      </sheetData>
      <sheetData sheetId="3972">
        <row r="1">
          <cell r="A1" t="str">
            <v>1월 생산실적</v>
          </cell>
        </row>
      </sheetData>
      <sheetData sheetId="3973">
        <row r="1">
          <cell r="A1" t="str">
            <v>1월 생산실적</v>
          </cell>
        </row>
      </sheetData>
      <sheetData sheetId="3974">
        <row r="1">
          <cell r="A1" t="str">
            <v>1월 생산실적</v>
          </cell>
        </row>
      </sheetData>
      <sheetData sheetId="3975">
        <row r="1">
          <cell r="A1" t="str">
            <v>1월 생산실적</v>
          </cell>
        </row>
      </sheetData>
      <sheetData sheetId="3976">
        <row r="1">
          <cell r="A1" t="str">
            <v>1월 생산실적</v>
          </cell>
        </row>
      </sheetData>
      <sheetData sheetId="3977">
        <row r="1">
          <cell r="A1" t="str">
            <v>1월 생산실적</v>
          </cell>
        </row>
      </sheetData>
      <sheetData sheetId="3978">
        <row r="1">
          <cell r="A1" t="str">
            <v>1월 생산실적</v>
          </cell>
        </row>
      </sheetData>
      <sheetData sheetId="3979">
        <row r="1">
          <cell r="A1" t="str">
            <v>1월 생산실적</v>
          </cell>
        </row>
      </sheetData>
      <sheetData sheetId="3980">
        <row r="1">
          <cell r="A1" t="str">
            <v>1월 생산실적</v>
          </cell>
        </row>
      </sheetData>
      <sheetData sheetId="3981">
        <row r="1">
          <cell r="A1" t="str">
            <v>1월 생산실적</v>
          </cell>
        </row>
      </sheetData>
      <sheetData sheetId="3982">
        <row r="1">
          <cell r="A1" t="str">
            <v>1월 생산실적</v>
          </cell>
        </row>
      </sheetData>
      <sheetData sheetId="3983">
        <row r="1">
          <cell r="A1" t="str">
            <v>1월 생산실적</v>
          </cell>
        </row>
      </sheetData>
      <sheetData sheetId="3984">
        <row r="1">
          <cell r="A1" t="str">
            <v>1월 생산실적</v>
          </cell>
        </row>
      </sheetData>
      <sheetData sheetId="3985">
        <row r="1">
          <cell r="A1" t="str">
            <v>1월 생산실적</v>
          </cell>
        </row>
      </sheetData>
      <sheetData sheetId="3986">
        <row r="1">
          <cell r="A1" t="str">
            <v>1월 생산실적</v>
          </cell>
        </row>
      </sheetData>
      <sheetData sheetId="3987">
        <row r="1">
          <cell r="A1" t="str">
            <v>1월 생산실적</v>
          </cell>
        </row>
      </sheetData>
      <sheetData sheetId="3988">
        <row r="1">
          <cell r="A1" t="str">
            <v>1월 생산실적</v>
          </cell>
        </row>
      </sheetData>
      <sheetData sheetId="3989">
        <row r="1">
          <cell r="A1" t="str">
            <v>1월 생산실적</v>
          </cell>
        </row>
      </sheetData>
      <sheetData sheetId="3990">
        <row r="1">
          <cell r="A1" t="str">
            <v>1월 생산실적</v>
          </cell>
        </row>
      </sheetData>
      <sheetData sheetId="3991">
        <row r="1">
          <cell r="A1" t="str">
            <v>1월 생산실적</v>
          </cell>
        </row>
      </sheetData>
      <sheetData sheetId="3992">
        <row r="1">
          <cell r="A1" t="str">
            <v>1월 생산실적</v>
          </cell>
        </row>
      </sheetData>
      <sheetData sheetId="3993">
        <row r="1">
          <cell r="A1" t="str">
            <v>1월 생산실적</v>
          </cell>
        </row>
      </sheetData>
      <sheetData sheetId="3994">
        <row r="1">
          <cell r="A1" t="str">
            <v>1월 생산실적</v>
          </cell>
        </row>
      </sheetData>
      <sheetData sheetId="3995">
        <row r="1">
          <cell r="A1" t="str">
            <v>1월 생산실적</v>
          </cell>
        </row>
      </sheetData>
      <sheetData sheetId="3996">
        <row r="1">
          <cell r="A1" t="str">
            <v>1월 생산실적</v>
          </cell>
        </row>
      </sheetData>
      <sheetData sheetId="3997">
        <row r="1">
          <cell r="A1" t="str">
            <v>1월 생산실적</v>
          </cell>
        </row>
      </sheetData>
      <sheetData sheetId="3998">
        <row r="1">
          <cell r="A1" t="str">
            <v>1월 생산실적</v>
          </cell>
        </row>
      </sheetData>
      <sheetData sheetId="3999">
        <row r="1">
          <cell r="A1" t="str">
            <v>1월 생산실적</v>
          </cell>
        </row>
      </sheetData>
      <sheetData sheetId="4000">
        <row r="1">
          <cell r="A1" t="str">
            <v>1월 생산실적</v>
          </cell>
        </row>
      </sheetData>
      <sheetData sheetId="4001">
        <row r="1">
          <cell r="A1" t="str">
            <v>1월 생산실적</v>
          </cell>
        </row>
      </sheetData>
      <sheetData sheetId="4002">
        <row r="1">
          <cell r="A1" t="str">
            <v>1월 생산실적</v>
          </cell>
        </row>
      </sheetData>
      <sheetData sheetId="4003">
        <row r="1">
          <cell r="A1" t="str">
            <v>1월 생산실적</v>
          </cell>
        </row>
      </sheetData>
      <sheetData sheetId="4004">
        <row r="1">
          <cell r="A1" t="str">
            <v>1월 생산실적</v>
          </cell>
        </row>
      </sheetData>
      <sheetData sheetId="4005">
        <row r="1">
          <cell r="A1" t="str">
            <v>1월 생산실적</v>
          </cell>
        </row>
      </sheetData>
      <sheetData sheetId="4006">
        <row r="1">
          <cell r="A1" t="str">
            <v>1월 생산실적</v>
          </cell>
        </row>
      </sheetData>
      <sheetData sheetId="4007">
        <row r="1">
          <cell r="A1" t="str">
            <v>1월 생산실적</v>
          </cell>
        </row>
      </sheetData>
      <sheetData sheetId="4008">
        <row r="1">
          <cell r="A1" t="str">
            <v>1월 생산실적</v>
          </cell>
        </row>
      </sheetData>
      <sheetData sheetId="4009">
        <row r="1">
          <cell r="A1" t="str">
            <v>1월 생산실적</v>
          </cell>
        </row>
      </sheetData>
      <sheetData sheetId="4010">
        <row r="1">
          <cell r="A1" t="str">
            <v>1월 생산실적</v>
          </cell>
        </row>
      </sheetData>
      <sheetData sheetId="4011">
        <row r="1">
          <cell r="A1" t="str">
            <v>1월 생산실적</v>
          </cell>
        </row>
      </sheetData>
      <sheetData sheetId="4012">
        <row r="1">
          <cell r="A1" t="str">
            <v>1월 생산실적</v>
          </cell>
        </row>
      </sheetData>
      <sheetData sheetId="4013">
        <row r="1">
          <cell r="A1" t="str">
            <v>1월 생산실적</v>
          </cell>
        </row>
      </sheetData>
      <sheetData sheetId="4014">
        <row r="1">
          <cell r="A1" t="str">
            <v>1월 생산실적</v>
          </cell>
        </row>
      </sheetData>
      <sheetData sheetId="4015">
        <row r="1">
          <cell r="A1" t="str">
            <v>1월 생산실적</v>
          </cell>
        </row>
      </sheetData>
      <sheetData sheetId="4016">
        <row r="1">
          <cell r="A1" t="str">
            <v>1월 생산실적</v>
          </cell>
        </row>
      </sheetData>
      <sheetData sheetId="4017">
        <row r="1">
          <cell r="A1" t="str">
            <v>1월 생산실적</v>
          </cell>
        </row>
      </sheetData>
      <sheetData sheetId="4018">
        <row r="1">
          <cell r="A1" t="str">
            <v>1월 생산실적</v>
          </cell>
        </row>
      </sheetData>
      <sheetData sheetId="4019">
        <row r="1">
          <cell r="A1" t="str">
            <v>1월 생산실적</v>
          </cell>
        </row>
      </sheetData>
      <sheetData sheetId="4020">
        <row r="1">
          <cell r="A1" t="str">
            <v>1월 생산실적</v>
          </cell>
        </row>
      </sheetData>
      <sheetData sheetId="4021">
        <row r="1">
          <cell r="A1" t="str">
            <v>1월 생산실적</v>
          </cell>
        </row>
      </sheetData>
      <sheetData sheetId="4022">
        <row r="1">
          <cell r="A1" t="str">
            <v>1월 생산실적</v>
          </cell>
        </row>
      </sheetData>
      <sheetData sheetId="4023">
        <row r="1">
          <cell r="A1" t="str">
            <v>1월 생산실적</v>
          </cell>
        </row>
      </sheetData>
      <sheetData sheetId="4024">
        <row r="1">
          <cell r="A1" t="str">
            <v>1월 생산실적</v>
          </cell>
        </row>
      </sheetData>
      <sheetData sheetId="4025">
        <row r="1">
          <cell r="A1" t="str">
            <v>1월 생산실적</v>
          </cell>
        </row>
      </sheetData>
      <sheetData sheetId="4026">
        <row r="1">
          <cell r="A1" t="str">
            <v>1월 생산실적</v>
          </cell>
        </row>
      </sheetData>
      <sheetData sheetId="4027">
        <row r="1">
          <cell r="A1" t="str">
            <v>1월 생산실적</v>
          </cell>
        </row>
      </sheetData>
      <sheetData sheetId="4028">
        <row r="1">
          <cell r="A1" t="str">
            <v>1월 생산실적</v>
          </cell>
        </row>
      </sheetData>
      <sheetData sheetId="4029">
        <row r="1">
          <cell r="A1" t="str">
            <v>1월 생산실적</v>
          </cell>
        </row>
      </sheetData>
      <sheetData sheetId="4030">
        <row r="1">
          <cell r="A1" t="str">
            <v>1월 생산실적</v>
          </cell>
        </row>
      </sheetData>
      <sheetData sheetId="4031">
        <row r="1">
          <cell r="A1" t="str">
            <v>1월 생산실적</v>
          </cell>
        </row>
      </sheetData>
      <sheetData sheetId="4032">
        <row r="1">
          <cell r="A1" t="str">
            <v>1월 생산실적</v>
          </cell>
        </row>
      </sheetData>
      <sheetData sheetId="4033">
        <row r="1">
          <cell r="A1" t="str">
            <v>1월 생산실적</v>
          </cell>
        </row>
      </sheetData>
      <sheetData sheetId="4034">
        <row r="1">
          <cell r="A1" t="str">
            <v>1월 생산실적</v>
          </cell>
        </row>
      </sheetData>
      <sheetData sheetId="4035">
        <row r="1">
          <cell r="A1" t="str">
            <v>1월 생산실적</v>
          </cell>
        </row>
      </sheetData>
      <sheetData sheetId="4036">
        <row r="1">
          <cell r="A1" t="str">
            <v>1월 생산실적</v>
          </cell>
        </row>
      </sheetData>
      <sheetData sheetId="4037">
        <row r="1">
          <cell r="A1" t="str">
            <v>1월 생산실적</v>
          </cell>
        </row>
      </sheetData>
      <sheetData sheetId="4038">
        <row r="1">
          <cell r="A1" t="str">
            <v>1월 생산실적</v>
          </cell>
        </row>
      </sheetData>
      <sheetData sheetId="4039">
        <row r="1">
          <cell r="A1" t="str">
            <v>1월 생산실적</v>
          </cell>
        </row>
      </sheetData>
      <sheetData sheetId="4040">
        <row r="1">
          <cell r="A1" t="str">
            <v>1월 생산실적</v>
          </cell>
        </row>
      </sheetData>
      <sheetData sheetId="4041">
        <row r="1">
          <cell r="A1" t="str">
            <v>1월 생산실적</v>
          </cell>
        </row>
      </sheetData>
      <sheetData sheetId="4042">
        <row r="1">
          <cell r="A1" t="str">
            <v>1월 생산실적</v>
          </cell>
        </row>
      </sheetData>
      <sheetData sheetId="4043">
        <row r="1">
          <cell r="A1" t="str">
            <v>1월 생산실적</v>
          </cell>
        </row>
      </sheetData>
      <sheetData sheetId="4044">
        <row r="1">
          <cell r="A1" t="str">
            <v>1월 생산실적</v>
          </cell>
        </row>
      </sheetData>
      <sheetData sheetId="4045">
        <row r="1">
          <cell r="A1" t="str">
            <v>1월 생산실적</v>
          </cell>
        </row>
      </sheetData>
      <sheetData sheetId="4046">
        <row r="1">
          <cell r="A1" t="str">
            <v>1월 생산실적</v>
          </cell>
        </row>
      </sheetData>
      <sheetData sheetId="4047">
        <row r="1">
          <cell r="A1" t="str">
            <v>1월 생산실적</v>
          </cell>
        </row>
      </sheetData>
      <sheetData sheetId="4048">
        <row r="1">
          <cell r="A1" t="str">
            <v>1월 생산실적</v>
          </cell>
        </row>
      </sheetData>
      <sheetData sheetId="4049">
        <row r="1">
          <cell r="A1" t="str">
            <v>1월 생산실적</v>
          </cell>
        </row>
      </sheetData>
      <sheetData sheetId="4050">
        <row r="1">
          <cell r="A1" t="str">
            <v>1월 생산실적</v>
          </cell>
        </row>
      </sheetData>
      <sheetData sheetId="4051">
        <row r="1">
          <cell r="A1" t="str">
            <v>1월 생산실적</v>
          </cell>
        </row>
      </sheetData>
      <sheetData sheetId="4052">
        <row r="1">
          <cell r="A1" t="str">
            <v>1월 생산실적</v>
          </cell>
        </row>
      </sheetData>
      <sheetData sheetId="4053">
        <row r="1">
          <cell r="A1" t="str">
            <v>1월 생산실적</v>
          </cell>
        </row>
      </sheetData>
      <sheetData sheetId="4054">
        <row r="1">
          <cell r="A1" t="str">
            <v>1월 생산실적</v>
          </cell>
        </row>
      </sheetData>
      <sheetData sheetId="4055">
        <row r="6">
          <cell r="A6">
            <v>1</v>
          </cell>
        </row>
      </sheetData>
      <sheetData sheetId="4056">
        <row r="1">
          <cell r="A1" t="str">
            <v>1월 생산실적</v>
          </cell>
        </row>
      </sheetData>
      <sheetData sheetId="4057">
        <row r="1">
          <cell r="A1" t="str">
            <v>1월 생산실적</v>
          </cell>
        </row>
      </sheetData>
      <sheetData sheetId="4058">
        <row r="1">
          <cell r="A1" t="str">
            <v>1월 생산실적</v>
          </cell>
        </row>
      </sheetData>
      <sheetData sheetId="4059">
        <row r="1">
          <cell r="A1" t="str">
            <v>1월 생산실적</v>
          </cell>
        </row>
      </sheetData>
      <sheetData sheetId="4060">
        <row r="1">
          <cell r="A1" t="str">
            <v>1월 생산실적</v>
          </cell>
        </row>
      </sheetData>
      <sheetData sheetId="4061">
        <row r="1">
          <cell r="A1" t="str">
            <v>1월 생산실적</v>
          </cell>
        </row>
      </sheetData>
      <sheetData sheetId="4062">
        <row r="1">
          <cell r="A1" t="str">
            <v>1월 생산실적</v>
          </cell>
        </row>
      </sheetData>
      <sheetData sheetId="4063">
        <row r="1">
          <cell r="A1" t="str">
            <v>1월 생산실적</v>
          </cell>
        </row>
      </sheetData>
      <sheetData sheetId="4064">
        <row r="1">
          <cell r="A1" t="str">
            <v>1월 생산실적</v>
          </cell>
        </row>
      </sheetData>
      <sheetData sheetId="4065">
        <row r="1">
          <cell r="A1" t="str">
            <v>1월 생산실적</v>
          </cell>
        </row>
      </sheetData>
      <sheetData sheetId="4066">
        <row r="1">
          <cell r="A1" t="str">
            <v>1월 생산실적</v>
          </cell>
        </row>
      </sheetData>
      <sheetData sheetId="4067">
        <row r="1">
          <cell r="A1" t="str">
            <v>1월 생산실적</v>
          </cell>
        </row>
      </sheetData>
      <sheetData sheetId="4068">
        <row r="1">
          <cell r="A1" t="str">
            <v>1월 생산실적</v>
          </cell>
        </row>
      </sheetData>
      <sheetData sheetId="4069">
        <row r="1">
          <cell r="A1" t="str">
            <v>1월 생산실적</v>
          </cell>
        </row>
      </sheetData>
      <sheetData sheetId="4070">
        <row r="1">
          <cell r="A1" t="str">
            <v>1월 생산실적</v>
          </cell>
        </row>
      </sheetData>
      <sheetData sheetId="4071">
        <row r="1">
          <cell r="A1" t="str">
            <v>1월 생산실적</v>
          </cell>
        </row>
      </sheetData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>
        <row r="1">
          <cell r="A1" t="str">
            <v>1월 생산실적</v>
          </cell>
        </row>
      </sheetData>
      <sheetData sheetId="4130">
        <row r="1">
          <cell r="A1" t="str">
            <v>1월 생산실적</v>
          </cell>
        </row>
      </sheetData>
      <sheetData sheetId="4131">
        <row r="1">
          <cell r="A1" t="str">
            <v>1월 생산실적</v>
          </cell>
        </row>
      </sheetData>
      <sheetData sheetId="4132">
        <row r="1">
          <cell r="A1" t="str">
            <v>1월 생산실적</v>
          </cell>
        </row>
      </sheetData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>
        <row r="1">
          <cell r="A1" t="str">
            <v>1월 생산실적</v>
          </cell>
        </row>
      </sheetData>
      <sheetData sheetId="4145">
        <row r="1">
          <cell r="A1" t="str">
            <v>1월 생산실적</v>
          </cell>
        </row>
      </sheetData>
      <sheetData sheetId="4146">
        <row r="1">
          <cell r="A1" t="str">
            <v>1월 생산실적</v>
          </cell>
        </row>
      </sheetData>
      <sheetData sheetId="4147">
        <row r="1">
          <cell r="A1" t="str">
            <v>1월 생산실적</v>
          </cell>
        </row>
      </sheetData>
      <sheetData sheetId="4148">
        <row r="1">
          <cell r="A1" t="str">
            <v>1월 생산실적</v>
          </cell>
        </row>
      </sheetData>
      <sheetData sheetId="4149">
        <row r="1">
          <cell r="A1" t="str">
            <v>1월 생산실적</v>
          </cell>
        </row>
      </sheetData>
      <sheetData sheetId="4150">
        <row r="1">
          <cell r="A1" t="str">
            <v>1월 생산실적</v>
          </cell>
        </row>
      </sheetData>
      <sheetData sheetId="4151">
        <row r="1">
          <cell r="A1" t="str">
            <v>1월 생산실적</v>
          </cell>
        </row>
      </sheetData>
      <sheetData sheetId="4152">
        <row r="1">
          <cell r="A1" t="str">
            <v>1월 생산실적</v>
          </cell>
        </row>
      </sheetData>
      <sheetData sheetId="4153">
        <row r="1">
          <cell r="A1" t="str">
            <v>1월 생산실적</v>
          </cell>
        </row>
      </sheetData>
      <sheetData sheetId="4154">
        <row r="1">
          <cell r="A1" t="str">
            <v>1월 생산실적</v>
          </cell>
        </row>
      </sheetData>
      <sheetData sheetId="4155">
        <row r="1">
          <cell r="A1" t="str">
            <v>1월 생산실적</v>
          </cell>
        </row>
      </sheetData>
      <sheetData sheetId="4156">
        <row r="1">
          <cell r="A1" t="str">
            <v>1월 생산실적</v>
          </cell>
        </row>
      </sheetData>
      <sheetData sheetId="4157">
        <row r="1">
          <cell r="A1" t="str">
            <v>1월 생산실적</v>
          </cell>
        </row>
      </sheetData>
      <sheetData sheetId="4158">
        <row r="1">
          <cell r="A1" t="str">
            <v>1월 생산실적</v>
          </cell>
        </row>
      </sheetData>
      <sheetData sheetId="4159">
        <row r="1">
          <cell r="A1" t="str">
            <v>1월 생산실적</v>
          </cell>
        </row>
      </sheetData>
      <sheetData sheetId="4160">
        <row r="1">
          <cell r="A1" t="str">
            <v>1월 생산실적</v>
          </cell>
        </row>
      </sheetData>
      <sheetData sheetId="4161">
        <row r="1">
          <cell r="A1" t="str">
            <v>1월 생산실적</v>
          </cell>
        </row>
      </sheetData>
      <sheetData sheetId="4162">
        <row r="1">
          <cell r="A1" t="str">
            <v>1월 생산실적</v>
          </cell>
        </row>
      </sheetData>
      <sheetData sheetId="4163">
        <row r="1">
          <cell r="A1" t="str">
            <v>1월 생산실적</v>
          </cell>
        </row>
      </sheetData>
      <sheetData sheetId="4164">
        <row r="1">
          <cell r="A1" t="str">
            <v>1월 생산실적</v>
          </cell>
        </row>
      </sheetData>
      <sheetData sheetId="4165">
        <row r="1">
          <cell r="A1" t="str">
            <v>1월 생산실적</v>
          </cell>
        </row>
      </sheetData>
      <sheetData sheetId="4166">
        <row r="1">
          <cell r="A1" t="str">
            <v>1월 생산실적</v>
          </cell>
        </row>
      </sheetData>
      <sheetData sheetId="4167">
        <row r="1">
          <cell r="A1" t="str">
            <v>1월 생산실적</v>
          </cell>
        </row>
      </sheetData>
      <sheetData sheetId="4168">
        <row r="1">
          <cell r="A1" t="str">
            <v>1월 생산실적</v>
          </cell>
        </row>
      </sheetData>
      <sheetData sheetId="4169">
        <row r="1">
          <cell r="A1" t="str">
            <v>1월 생산실적</v>
          </cell>
        </row>
      </sheetData>
      <sheetData sheetId="4170">
        <row r="1">
          <cell r="A1" t="str">
            <v>1월 생산실적</v>
          </cell>
        </row>
      </sheetData>
      <sheetData sheetId="4171">
        <row r="1">
          <cell r="A1" t="str">
            <v>1월 생산실적</v>
          </cell>
        </row>
      </sheetData>
      <sheetData sheetId="4172">
        <row r="1">
          <cell r="A1" t="str">
            <v>1월 생산실적</v>
          </cell>
        </row>
      </sheetData>
      <sheetData sheetId="4173">
        <row r="1">
          <cell r="A1" t="str">
            <v>1월 생산실적</v>
          </cell>
        </row>
      </sheetData>
      <sheetData sheetId="4174">
        <row r="1">
          <cell r="A1" t="str">
            <v>1월 생산실적</v>
          </cell>
        </row>
      </sheetData>
      <sheetData sheetId="4175">
        <row r="1">
          <cell r="A1" t="str">
            <v>1월 생산실적</v>
          </cell>
        </row>
      </sheetData>
      <sheetData sheetId="4176">
        <row r="1">
          <cell r="A1" t="str">
            <v>1월 생산실적</v>
          </cell>
        </row>
      </sheetData>
      <sheetData sheetId="4177">
        <row r="1">
          <cell r="A1" t="str">
            <v>1월 생산실적</v>
          </cell>
        </row>
      </sheetData>
      <sheetData sheetId="4178">
        <row r="1">
          <cell r="A1" t="str">
            <v>1월 생산실적</v>
          </cell>
        </row>
      </sheetData>
      <sheetData sheetId="4179">
        <row r="1">
          <cell r="A1" t="str">
            <v>1월 생산실적</v>
          </cell>
        </row>
      </sheetData>
      <sheetData sheetId="4180">
        <row r="1">
          <cell r="A1" t="str">
            <v>1월 생산실적</v>
          </cell>
        </row>
      </sheetData>
      <sheetData sheetId="4181">
        <row r="1">
          <cell r="A1" t="str">
            <v>1월 생산실적</v>
          </cell>
        </row>
      </sheetData>
      <sheetData sheetId="4182">
        <row r="1">
          <cell r="A1" t="str">
            <v>1월 생산실적</v>
          </cell>
        </row>
      </sheetData>
      <sheetData sheetId="4183">
        <row r="1">
          <cell r="A1" t="str">
            <v>1월 생산실적</v>
          </cell>
        </row>
      </sheetData>
      <sheetData sheetId="4184">
        <row r="1">
          <cell r="A1" t="str">
            <v>1월 생산실적</v>
          </cell>
        </row>
      </sheetData>
      <sheetData sheetId="4185">
        <row r="1">
          <cell r="A1" t="str">
            <v>1월 생산실적</v>
          </cell>
        </row>
      </sheetData>
      <sheetData sheetId="4186">
        <row r="1">
          <cell r="A1" t="str">
            <v>1월 생산실적</v>
          </cell>
        </row>
      </sheetData>
      <sheetData sheetId="4187">
        <row r="1">
          <cell r="A1" t="str">
            <v>1월 생산실적</v>
          </cell>
        </row>
      </sheetData>
      <sheetData sheetId="4188">
        <row r="1">
          <cell r="A1" t="str">
            <v>1월 생산실적</v>
          </cell>
        </row>
      </sheetData>
      <sheetData sheetId="4189">
        <row r="1">
          <cell r="A1" t="str">
            <v>1월 생산실적</v>
          </cell>
        </row>
      </sheetData>
      <sheetData sheetId="4190">
        <row r="1">
          <cell r="A1" t="str">
            <v>1월 생산실적</v>
          </cell>
        </row>
      </sheetData>
      <sheetData sheetId="4191">
        <row r="1">
          <cell r="A1" t="str">
            <v>1월 생산실적</v>
          </cell>
        </row>
      </sheetData>
      <sheetData sheetId="4192">
        <row r="1">
          <cell r="A1" t="str">
            <v>1월 생산실적</v>
          </cell>
        </row>
      </sheetData>
      <sheetData sheetId="4193">
        <row r="1">
          <cell r="A1" t="str">
            <v>1월 생산실적</v>
          </cell>
        </row>
      </sheetData>
      <sheetData sheetId="4194">
        <row r="1">
          <cell r="A1" t="str">
            <v>1월 생산실적</v>
          </cell>
        </row>
      </sheetData>
      <sheetData sheetId="4195">
        <row r="1">
          <cell r="A1" t="str">
            <v>1월 생산실적</v>
          </cell>
        </row>
      </sheetData>
      <sheetData sheetId="4196">
        <row r="1">
          <cell r="A1" t="str">
            <v>1월 생산실적</v>
          </cell>
        </row>
      </sheetData>
      <sheetData sheetId="4197">
        <row r="1">
          <cell r="A1" t="str">
            <v>1월 생산실적</v>
          </cell>
        </row>
      </sheetData>
      <sheetData sheetId="4198">
        <row r="1">
          <cell r="A1" t="str">
            <v>1월 생산실적</v>
          </cell>
        </row>
      </sheetData>
      <sheetData sheetId="4199">
        <row r="1">
          <cell r="A1" t="str">
            <v>1월 생산실적</v>
          </cell>
        </row>
      </sheetData>
      <sheetData sheetId="4200">
        <row r="1">
          <cell r="A1" t="str">
            <v>1월 생산실적</v>
          </cell>
        </row>
      </sheetData>
      <sheetData sheetId="4201">
        <row r="1">
          <cell r="A1" t="str">
            <v>1월 생산실적</v>
          </cell>
        </row>
      </sheetData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>
        <row r="1">
          <cell r="A1" t="str">
            <v>1월 생산실적</v>
          </cell>
        </row>
      </sheetData>
      <sheetData sheetId="4235">
        <row r="1">
          <cell r="A1" t="str">
            <v>1월 생산실적</v>
          </cell>
        </row>
      </sheetData>
      <sheetData sheetId="4236">
        <row r="1">
          <cell r="A1" t="str">
            <v>1월 생산실적</v>
          </cell>
        </row>
      </sheetData>
      <sheetData sheetId="4237">
        <row r="1">
          <cell r="A1" t="str">
            <v>1월 생산실적</v>
          </cell>
        </row>
      </sheetData>
      <sheetData sheetId="4238">
        <row r="1">
          <cell r="A1" t="str">
            <v>1월 생산실적</v>
          </cell>
        </row>
      </sheetData>
      <sheetData sheetId="4239">
        <row r="1">
          <cell r="A1" t="str">
            <v>1월 생산실적</v>
          </cell>
        </row>
      </sheetData>
      <sheetData sheetId="4240">
        <row r="1">
          <cell r="A1" t="str">
            <v>1월 생산실적</v>
          </cell>
        </row>
      </sheetData>
      <sheetData sheetId="4241">
        <row r="1">
          <cell r="A1" t="str">
            <v>1월 생산실적</v>
          </cell>
        </row>
      </sheetData>
      <sheetData sheetId="4242">
        <row r="1">
          <cell r="A1" t="str">
            <v>1월 생산실적</v>
          </cell>
        </row>
      </sheetData>
      <sheetData sheetId="4243">
        <row r="1">
          <cell r="A1" t="str">
            <v>1월 생산실적</v>
          </cell>
        </row>
      </sheetData>
      <sheetData sheetId="4244">
        <row r="1">
          <cell r="A1" t="str">
            <v>1월 생산실적</v>
          </cell>
        </row>
      </sheetData>
      <sheetData sheetId="4245">
        <row r="1">
          <cell r="A1" t="str">
            <v>1월 생산실적</v>
          </cell>
        </row>
      </sheetData>
      <sheetData sheetId="4246">
        <row r="1">
          <cell r="A1" t="str">
            <v>1월 생산실적</v>
          </cell>
        </row>
      </sheetData>
      <sheetData sheetId="4247">
        <row r="1">
          <cell r="A1" t="str">
            <v>1월 생산실적</v>
          </cell>
        </row>
      </sheetData>
      <sheetData sheetId="4248">
        <row r="1">
          <cell r="A1" t="str">
            <v>1월 생산실적</v>
          </cell>
        </row>
      </sheetData>
      <sheetData sheetId="4249">
        <row r="1">
          <cell r="A1" t="str">
            <v>1월 생산실적</v>
          </cell>
        </row>
      </sheetData>
      <sheetData sheetId="4250">
        <row r="1">
          <cell r="A1" t="str">
            <v>1월 생산실적</v>
          </cell>
        </row>
      </sheetData>
      <sheetData sheetId="4251">
        <row r="1">
          <cell r="A1" t="str">
            <v>1월 생산실적</v>
          </cell>
        </row>
      </sheetData>
      <sheetData sheetId="4252">
        <row r="1">
          <cell r="A1" t="str">
            <v>1월 생산실적</v>
          </cell>
        </row>
      </sheetData>
      <sheetData sheetId="4253">
        <row r="1">
          <cell r="A1" t="str">
            <v>1월 생산실적</v>
          </cell>
        </row>
      </sheetData>
      <sheetData sheetId="4254">
        <row r="1">
          <cell r="A1" t="str">
            <v>1월 생산실적</v>
          </cell>
        </row>
      </sheetData>
      <sheetData sheetId="4255">
        <row r="1">
          <cell r="A1" t="str">
            <v>1월 생산실적</v>
          </cell>
        </row>
      </sheetData>
      <sheetData sheetId="4256">
        <row r="1">
          <cell r="A1" t="str">
            <v>1월 생산실적</v>
          </cell>
        </row>
      </sheetData>
      <sheetData sheetId="4257">
        <row r="1">
          <cell r="A1" t="str">
            <v>1월 생산실적</v>
          </cell>
        </row>
      </sheetData>
      <sheetData sheetId="4258">
        <row r="1">
          <cell r="A1" t="str">
            <v>1월 생산실적</v>
          </cell>
        </row>
      </sheetData>
      <sheetData sheetId="4259">
        <row r="1">
          <cell r="A1" t="str">
            <v>1월 생산실적</v>
          </cell>
        </row>
      </sheetData>
      <sheetData sheetId="4260">
        <row r="1">
          <cell r="A1" t="str">
            <v>1월 생산실적</v>
          </cell>
        </row>
      </sheetData>
      <sheetData sheetId="4261">
        <row r="1">
          <cell r="A1" t="str">
            <v>1월 생산실적</v>
          </cell>
        </row>
      </sheetData>
      <sheetData sheetId="4262">
        <row r="1">
          <cell r="A1" t="str">
            <v>1월 생산실적</v>
          </cell>
        </row>
      </sheetData>
      <sheetData sheetId="4263">
        <row r="1">
          <cell r="A1" t="str">
            <v>1월 생산실적</v>
          </cell>
        </row>
      </sheetData>
      <sheetData sheetId="4264">
        <row r="1">
          <cell r="A1" t="str">
            <v>1월 생산실적</v>
          </cell>
        </row>
      </sheetData>
      <sheetData sheetId="4265">
        <row r="1">
          <cell r="A1" t="str">
            <v>1월 생산실적</v>
          </cell>
        </row>
      </sheetData>
      <sheetData sheetId="4266">
        <row r="1">
          <cell r="A1" t="str">
            <v>1월 생산실적</v>
          </cell>
        </row>
      </sheetData>
      <sheetData sheetId="4267">
        <row r="1">
          <cell r="A1" t="str">
            <v>1월 생산실적</v>
          </cell>
        </row>
      </sheetData>
      <sheetData sheetId="4268">
        <row r="1">
          <cell r="A1" t="str">
            <v>1월 생산실적</v>
          </cell>
        </row>
      </sheetData>
      <sheetData sheetId="4269">
        <row r="1">
          <cell r="A1" t="str">
            <v>1월 생산실적</v>
          </cell>
        </row>
      </sheetData>
      <sheetData sheetId="4270">
        <row r="1">
          <cell r="A1" t="str">
            <v>1월 생산실적</v>
          </cell>
        </row>
      </sheetData>
      <sheetData sheetId="4271">
        <row r="1">
          <cell r="A1" t="str">
            <v>1월 생산실적</v>
          </cell>
        </row>
      </sheetData>
      <sheetData sheetId="4272">
        <row r="1">
          <cell r="A1" t="str">
            <v>1월 생산실적</v>
          </cell>
        </row>
      </sheetData>
      <sheetData sheetId="4273">
        <row r="1">
          <cell r="A1" t="str">
            <v>1월 생산실적</v>
          </cell>
        </row>
      </sheetData>
      <sheetData sheetId="4274">
        <row r="1">
          <cell r="A1" t="str">
            <v>1월 생산실적</v>
          </cell>
        </row>
      </sheetData>
      <sheetData sheetId="4275">
        <row r="1">
          <cell r="A1" t="str">
            <v>1월 생산실적</v>
          </cell>
        </row>
      </sheetData>
      <sheetData sheetId="4276">
        <row r="1">
          <cell r="A1" t="str">
            <v>1월 생산실적</v>
          </cell>
        </row>
      </sheetData>
      <sheetData sheetId="4277">
        <row r="1">
          <cell r="A1" t="str">
            <v>1월 생산실적</v>
          </cell>
        </row>
      </sheetData>
      <sheetData sheetId="4278">
        <row r="1">
          <cell r="A1" t="str">
            <v>1월 생산실적</v>
          </cell>
        </row>
      </sheetData>
      <sheetData sheetId="4279">
        <row r="1">
          <cell r="A1" t="str">
            <v>1월 생산실적</v>
          </cell>
        </row>
      </sheetData>
      <sheetData sheetId="4280">
        <row r="1">
          <cell r="A1" t="str">
            <v>1월 생산실적</v>
          </cell>
        </row>
      </sheetData>
      <sheetData sheetId="4281">
        <row r="1">
          <cell r="A1" t="str">
            <v>1월 생산실적</v>
          </cell>
        </row>
      </sheetData>
      <sheetData sheetId="4282">
        <row r="1">
          <cell r="A1" t="str">
            <v>1월 생산실적</v>
          </cell>
        </row>
      </sheetData>
      <sheetData sheetId="4283">
        <row r="1">
          <cell r="A1" t="str">
            <v>1월 생산실적</v>
          </cell>
        </row>
      </sheetData>
      <sheetData sheetId="4284">
        <row r="1">
          <cell r="A1" t="str">
            <v>1월 생산실적</v>
          </cell>
        </row>
      </sheetData>
      <sheetData sheetId="4285">
        <row r="1">
          <cell r="A1" t="str">
            <v>1월 생산실적</v>
          </cell>
        </row>
      </sheetData>
      <sheetData sheetId="4286">
        <row r="1">
          <cell r="A1" t="str">
            <v>1월 생산실적</v>
          </cell>
        </row>
      </sheetData>
      <sheetData sheetId="4287">
        <row r="1">
          <cell r="A1" t="str">
            <v>1월 생산실적</v>
          </cell>
        </row>
      </sheetData>
      <sheetData sheetId="4288">
        <row r="1">
          <cell r="A1" t="str">
            <v>1월 생산실적</v>
          </cell>
        </row>
      </sheetData>
      <sheetData sheetId="4289">
        <row r="1">
          <cell r="A1" t="str">
            <v>1월 생산실적</v>
          </cell>
        </row>
      </sheetData>
      <sheetData sheetId="4290">
        <row r="1">
          <cell r="A1" t="str">
            <v>1월 생산실적</v>
          </cell>
        </row>
      </sheetData>
      <sheetData sheetId="4291">
        <row r="1">
          <cell r="A1" t="str">
            <v>1월 생산실적</v>
          </cell>
        </row>
      </sheetData>
      <sheetData sheetId="4292">
        <row r="1">
          <cell r="A1" t="str">
            <v>1월 생산실적</v>
          </cell>
        </row>
      </sheetData>
      <sheetData sheetId="4293">
        <row r="1">
          <cell r="A1" t="str">
            <v>1월 생산실적</v>
          </cell>
        </row>
      </sheetData>
      <sheetData sheetId="4294">
        <row r="1">
          <cell r="A1" t="str">
            <v>1월 생산실적</v>
          </cell>
        </row>
      </sheetData>
      <sheetData sheetId="4295">
        <row r="1">
          <cell r="A1" t="str">
            <v>1월 생산실적</v>
          </cell>
        </row>
      </sheetData>
      <sheetData sheetId="4296">
        <row r="1">
          <cell r="A1" t="str">
            <v>1월 생산실적</v>
          </cell>
        </row>
      </sheetData>
      <sheetData sheetId="4297">
        <row r="1">
          <cell r="A1" t="str">
            <v>1월 생산실적</v>
          </cell>
        </row>
      </sheetData>
      <sheetData sheetId="4298">
        <row r="1">
          <cell r="A1" t="str">
            <v>1월 생산실적</v>
          </cell>
        </row>
      </sheetData>
      <sheetData sheetId="4299">
        <row r="1">
          <cell r="A1" t="str">
            <v>1월 생산실적</v>
          </cell>
        </row>
      </sheetData>
      <sheetData sheetId="4300">
        <row r="1">
          <cell r="A1" t="str">
            <v>1월 생산실적</v>
          </cell>
        </row>
      </sheetData>
      <sheetData sheetId="4301">
        <row r="1">
          <cell r="A1" t="str">
            <v>1월 생산실적</v>
          </cell>
        </row>
      </sheetData>
      <sheetData sheetId="4302">
        <row r="1">
          <cell r="A1" t="str">
            <v>1월 생산실적</v>
          </cell>
        </row>
      </sheetData>
      <sheetData sheetId="4303">
        <row r="1">
          <cell r="A1" t="str">
            <v>1월 생산실적</v>
          </cell>
        </row>
      </sheetData>
      <sheetData sheetId="4304">
        <row r="1">
          <cell r="A1" t="str">
            <v>1월 생산실적</v>
          </cell>
        </row>
      </sheetData>
      <sheetData sheetId="4305">
        <row r="1">
          <cell r="A1" t="str">
            <v>1월 생산실적</v>
          </cell>
        </row>
      </sheetData>
      <sheetData sheetId="4306">
        <row r="1">
          <cell r="A1" t="str">
            <v>1월 생산실적</v>
          </cell>
        </row>
      </sheetData>
      <sheetData sheetId="4307" refreshError="1"/>
      <sheetData sheetId="4308">
        <row r="1">
          <cell r="A1" t="str">
            <v>1월 생산실적</v>
          </cell>
        </row>
      </sheetData>
      <sheetData sheetId="4309">
        <row r="1">
          <cell r="A1" t="str">
            <v>1월 생산실적</v>
          </cell>
        </row>
      </sheetData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>
        <row r="1">
          <cell r="A1" t="str">
            <v>1월 생산실적</v>
          </cell>
        </row>
      </sheetData>
      <sheetData sheetId="4336">
        <row r="1">
          <cell r="A1" t="str">
            <v>1월 생산실적</v>
          </cell>
        </row>
      </sheetData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>
        <row r="1">
          <cell r="A1" t="str">
            <v>1월 생산실적</v>
          </cell>
        </row>
      </sheetData>
      <sheetData sheetId="4356">
        <row r="1">
          <cell r="A1" t="str">
            <v>1월 생산실적</v>
          </cell>
        </row>
      </sheetData>
      <sheetData sheetId="4357">
        <row r="1">
          <cell r="A1" t="str">
            <v>1월 생산실적</v>
          </cell>
        </row>
      </sheetData>
      <sheetData sheetId="4358">
        <row r="1">
          <cell r="A1" t="str">
            <v>1월 생산실적</v>
          </cell>
        </row>
      </sheetData>
      <sheetData sheetId="4359">
        <row r="1">
          <cell r="A1" t="str">
            <v>1월 생산실적</v>
          </cell>
        </row>
      </sheetData>
      <sheetData sheetId="4360">
        <row r="1">
          <cell r="A1" t="str">
            <v>1월 생산실적</v>
          </cell>
        </row>
      </sheetData>
      <sheetData sheetId="4361">
        <row r="1">
          <cell r="A1" t="str">
            <v>1월 생산실적</v>
          </cell>
        </row>
      </sheetData>
      <sheetData sheetId="4362">
        <row r="1">
          <cell r="A1" t="str">
            <v>1월 생산실적</v>
          </cell>
        </row>
      </sheetData>
      <sheetData sheetId="4363">
        <row r="1">
          <cell r="A1" t="str">
            <v>1월 생산실적</v>
          </cell>
        </row>
      </sheetData>
      <sheetData sheetId="4364">
        <row r="1">
          <cell r="A1" t="str">
            <v>1월 생산실적</v>
          </cell>
        </row>
      </sheetData>
      <sheetData sheetId="4365">
        <row r="1">
          <cell r="A1" t="str">
            <v>1월 생산실적</v>
          </cell>
        </row>
      </sheetData>
      <sheetData sheetId="4366">
        <row r="1">
          <cell r="A1" t="str">
            <v>1월 생산실적</v>
          </cell>
        </row>
      </sheetData>
      <sheetData sheetId="4367">
        <row r="1">
          <cell r="A1" t="str">
            <v>1월 생산실적</v>
          </cell>
        </row>
      </sheetData>
      <sheetData sheetId="4368">
        <row r="1">
          <cell r="A1" t="str">
            <v>1월 생산실적</v>
          </cell>
        </row>
      </sheetData>
      <sheetData sheetId="4369">
        <row r="1">
          <cell r="A1" t="str">
            <v>1월 생산실적</v>
          </cell>
        </row>
      </sheetData>
      <sheetData sheetId="4370">
        <row r="1">
          <cell r="A1" t="str">
            <v>1월 생산실적</v>
          </cell>
        </row>
      </sheetData>
      <sheetData sheetId="4371">
        <row r="1">
          <cell r="A1" t="str">
            <v>1월 생산실적</v>
          </cell>
        </row>
      </sheetData>
      <sheetData sheetId="4372">
        <row r="1">
          <cell r="A1" t="str">
            <v>1월 생산실적</v>
          </cell>
        </row>
      </sheetData>
      <sheetData sheetId="4373">
        <row r="1">
          <cell r="A1" t="str">
            <v>1월 생산실적</v>
          </cell>
        </row>
      </sheetData>
      <sheetData sheetId="4374">
        <row r="1">
          <cell r="A1" t="str">
            <v>1월 생산실적</v>
          </cell>
        </row>
      </sheetData>
      <sheetData sheetId="4375">
        <row r="1">
          <cell r="A1" t="str">
            <v>1월 생산실적</v>
          </cell>
        </row>
      </sheetData>
      <sheetData sheetId="4376">
        <row r="1">
          <cell r="A1" t="str">
            <v>1월 생산실적</v>
          </cell>
        </row>
      </sheetData>
      <sheetData sheetId="4377">
        <row r="1">
          <cell r="A1" t="str">
            <v>1월 생산실적</v>
          </cell>
        </row>
      </sheetData>
      <sheetData sheetId="4378">
        <row r="1">
          <cell r="A1" t="str">
            <v>1월 생산실적</v>
          </cell>
        </row>
      </sheetData>
      <sheetData sheetId="4379">
        <row r="1">
          <cell r="A1" t="str">
            <v>1월 생산실적</v>
          </cell>
        </row>
      </sheetData>
      <sheetData sheetId="4380">
        <row r="1">
          <cell r="A1" t="str">
            <v>1월 생산실적</v>
          </cell>
        </row>
      </sheetData>
      <sheetData sheetId="4381">
        <row r="1">
          <cell r="A1" t="str">
            <v>1월 생산실적</v>
          </cell>
        </row>
      </sheetData>
      <sheetData sheetId="4382">
        <row r="1">
          <cell r="A1" t="str">
            <v>1월 생산실적</v>
          </cell>
        </row>
      </sheetData>
      <sheetData sheetId="4383">
        <row r="1">
          <cell r="A1" t="str">
            <v>1월 생산실적</v>
          </cell>
        </row>
      </sheetData>
      <sheetData sheetId="4384">
        <row r="1">
          <cell r="A1" t="str">
            <v>1월 생산실적</v>
          </cell>
        </row>
      </sheetData>
      <sheetData sheetId="4385">
        <row r="1">
          <cell r="A1" t="str">
            <v>1월 생산실적</v>
          </cell>
        </row>
      </sheetData>
      <sheetData sheetId="4386">
        <row r="1">
          <cell r="A1" t="str">
            <v>1월 생산실적</v>
          </cell>
        </row>
      </sheetData>
      <sheetData sheetId="4387">
        <row r="1">
          <cell r="A1" t="str">
            <v>1월 생산실적</v>
          </cell>
        </row>
      </sheetData>
      <sheetData sheetId="4388">
        <row r="1">
          <cell r="A1" t="str">
            <v>1월 생산실적</v>
          </cell>
        </row>
      </sheetData>
      <sheetData sheetId="4389">
        <row r="1">
          <cell r="A1" t="str">
            <v>1월 생산실적</v>
          </cell>
        </row>
      </sheetData>
      <sheetData sheetId="4390">
        <row r="1">
          <cell r="A1" t="str">
            <v>1월 생산실적</v>
          </cell>
        </row>
      </sheetData>
      <sheetData sheetId="4391">
        <row r="1">
          <cell r="A1" t="str">
            <v>1월 생산실적</v>
          </cell>
        </row>
      </sheetData>
      <sheetData sheetId="4392">
        <row r="1">
          <cell r="A1" t="str">
            <v>1월 생산실적</v>
          </cell>
        </row>
      </sheetData>
      <sheetData sheetId="4393">
        <row r="1">
          <cell r="A1" t="str">
            <v>1월 생산실적</v>
          </cell>
        </row>
      </sheetData>
      <sheetData sheetId="4394">
        <row r="1">
          <cell r="A1" t="str">
            <v>1월 생산실적</v>
          </cell>
        </row>
      </sheetData>
      <sheetData sheetId="4395">
        <row r="1">
          <cell r="A1" t="str">
            <v>1월 생산실적</v>
          </cell>
        </row>
      </sheetData>
      <sheetData sheetId="4396">
        <row r="1">
          <cell r="A1" t="str">
            <v>1월 생산실적</v>
          </cell>
        </row>
      </sheetData>
      <sheetData sheetId="4397">
        <row r="1">
          <cell r="A1" t="str">
            <v>1월 생산실적</v>
          </cell>
        </row>
      </sheetData>
      <sheetData sheetId="4398">
        <row r="1">
          <cell r="A1" t="str">
            <v>1월 생산실적</v>
          </cell>
        </row>
      </sheetData>
      <sheetData sheetId="4399">
        <row r="1">
          <cell r="A1" t="str">
            <v>1월 생산실적</v>
          </cell>
        </row>
      </sheetData>
      <sheetData sheetId="4400">
        <row r="1">
          <cell r="A1" t="str">
            <v>1월 생산실적</v>
          </cell>
        </row>
      </sheetData>
      <sheetData sheetId="4401">
        <row r="1">
          <cell r="A1" t="str">
            <v>1월 생산실적</v>
          </cell>
        </row>
      </sheetData>
      <sheetData sheetId="4402">
        <row r="1">
          <cell r="A1" t="str">
            <v>1월 생산실적</v>
          </cell>
        </row>
      </sheetData>
      <sheetData sheetId="4403">
        <row r="1">
          <cell r="A1" t="str">
            <v>1월 생산실적</v>
          </cell>
        </row>
      </sheetData>
      <sheetData sheetId="4404">
        <row r="1">
          <cell r="A1" t="str">
            <v>1월 생산실적</v>
          </cell>
        </row>
      </sheetData>
      <sheetData sheetId="4405">
        <row r="1">
          <cell r="A1" t="str">
            <v>1월 생산실적</v>
          </cell>
        </row>
      </sheetData>
      <sheetData sheetId="4406">
        <row r="1">
          <cell r="A1" t="str">
            <v>1월 생산실적</v>
          </cell>
        </row>
      </sheetData>
      <sheetData sheetId="4407">
        <row r="1">
          <cell r="A1" t="str">
            <v>1월 생산실적</v>
          </cell>
        </row>
      </sheetData>
      <sheetData sheetId="4408">
        <row r="1">
          <cell r="A1" t="str">
            <v>1월 생산실적</v>
          </cell>
        </row>
      </sheetData>
      <sheetData sheetId="4409">
        <row r="1">
          <cell r="A1" t="str">
            <v>1월 생산실적</v>
          </cell>
        </row>
      </sheetData>
      <sheetData sheetId="4410">
        <row r="1">
          <cell r="A1" t="str">
            <v>1월 생산실적</v>
          </cell>
        </row>
      </sheetData>
      <sheetData sheetId="4411">
        <row r="1">
          <cell r="A1" t="str">
            <v>1월 생산실적</v>
          </cell>
        </row>
      </sheetData>
      <sheetData sheetId="4412">
        <row r="1">
          <cell r="A1" t="str">
            <v>1월 생산실적</v>
          </cell>
        </row>
      </sheetData>
      <sheetData sheetId="4413">
        <row r="1">
          <cell r="A1" t="str">
            <v>1월 생산실적</v>
          </cell>
        </row>
      </sheetData>
      <sheetData sheetId="4414">
        <row r="1">
          <cell r="A1" t="str">
            <v>1월 생산실적</v>
          </cell>
        </row>
      </sheetData>
      <sheetData sheetId="4415">
        <row r="1">
          <cell r="A1" t="str">
            <v>1월 생산실적</v>
          </cell>
        </row>
      </sheetData>
      <sheetData sheetId="4416">
        <row r="1">
          <cell r="A1" t="str">
            <v>1월 생산실적</v>
          </cell>
        </row>
      </sheetData>
      <sheetData sheetId="4417">
        <row r="1">
          <cell r="A1" t="str">
            <v>1월 생산실적</v>
          </cell>
        </row>
      </sheetData>
      <sheetData sheetId="4418">
        <row r="1">
          <cell r="A1" t="str">
            <v>1월 생산실적</v>
          </cell>
        </row>
      </sheetData>
      <sheetData sheetId="4419">
        <row r="1">
          <cell r="A1" t="str">
            <v>1월 생산실적</v>
          </cell>
        </row>
      </sheetData>
      <sheetData sheetId="4420">
        <row r="1">
          <cell r="A1" t="str">
            <v>1월 생산실적</v>
          </cell>
        </row>
      </sheetData>
      <sheetData sheetId="4421">
        <row r="1">
          <cell r="A1" t="str">
            <v>1월 생산실적</v>
          </cell>
        </row>
      </sheetData>
      <sheetData sheetId="4422">
        <row r="1">
          <cell r="A1" t="str">
            <v>1월 생산실적</v>
          </cell>
        </row>
      </sheetData>
      <sheetData sheetId="4423">
        <row r="1">
          <cell r="A1" t="str">
            <v>1월 생산실적</v>
          </cell>
        </row>
      </sheetData>
      <sheetData sheetId="4424">
        <row r="1">
          <cell r="A1" t="str">
            <v>1월 생산실적</v>
          </cell>
        </row>
      </sheetData>
      <sheetData sheetId="4425">
        <row r="1">
          <cell r="A1" t="str">
            <v>1월 생산실적</v>
          </cell>
        </row>
      </sheetData>
      <sheetData sheetId="4426">
        <row r="1">
          <cell r="A1" t="str">
            <v>1월 생산실적</v>
          </cell>
        </row>
      </sheetData>
      <sheetData sheetId="4427">
        <row r="1">
          <cell r="A1" t="str">
            <v>1월 생산실적</v>
          </cell>
        </row>
      </sheetData>
      <sheetData sheetId="4428">
        <row r="1">
          <cell r="A1" t="str">
            <v>1월 생산실적</v>
          </cell>
        </row>
      </sheetData>
      <sheetData sheetId="4429">
        <row r="1">
          <cell r="A1" t="str">
            <v>1월 생산실적</v>
          </cell>
        </row>
      </sheetData>
      <sheetData sheetId="4430">
        <row r="1">
          <cell r="A1" t="str">
            <v>1월 생산실적</v>
          </cell>
        </row>
      </sheetData>
      <sheetData sheetId="4431">
        <row r="1">
          <cell r="A1" t="str">
            <v>1월 생산실적</v>
          </cell>
        </row>
      </sheetData>
      <sheetData sheetId="4432">
        <row r="1">
          <cell r="A1" t="str">
            <v>1월 생산실적</v>
          </cell>
        </row>
      </sheetData>
      <sheetData sheetId="4433">
        <row r="1">
          <cell r="A1" t="str">
            <v>1월 생산실적</v>
          </cell>
        </row>
      </sheetData>
      <sheetData sheetId="4434">
        <row r="1">
          <cell r="A1" t="str">
            <v>1월 생산실적</v>
          </cell>
        </row>
      </sheetData>
      <sheetData sheetId="4435">
        <row r="1">
          <cell r="A1" t="str">
            <v>1월 생산실적</v>
          </cell>
        </row>
      </sheetData>
      <sheetData sheetId="4436">
        <row r="1">
          <cell r="A1" t="str">
            <v>1월 생산실적</v>
          </cell>
        </row>
      </sheetData>
      <sheetData sheetId="4437">
        <row r="1">
          <cell r="A1" t="str">
            <v>1월 생산실적</v>
          </cell>
        </row>
      </sheetData>
      <sheetData sheetId="4438">
        <row r="1">
          <cell r="A1" t="str">
            <v>1월 생산실적</v>
          </cell>
        </row>
      </sheetData>
      <sheetData sheetId="4439">
        <row r="1">
          <cell r="A1" t="str">
            <v>1월 생산실적</v>
          </cell>
        </row>
      </sheetData>
      <sheetData sheetId="4440">
        <row r="1">
          <cell r="A1" t="str">
            <v>1월 생산실적</v>
          </cell>
        </row>
      </sheetData>
      <sheetData sheetId="4441">
        <row r="1">
          <cell r="A1" t="str">
            <v>1월 생산실적</v>
          </cell>
        </row>
      </sheetData>
      <sheetData sheetId="4442">
        <row r="1">
          <cell r="A1" t="str">
            <v>1월 생산실적</v>
          </cell>
        </row>
      </sheetData>
      <sheetData sheetId="4443">
        <row r="1">
          <cell r="A1" t="str">
            <v>1월 생산실적</v>
          </cell>
        </row>
      </sheetData>
      <sheetData sheetId="4444">
        <row r="1">
          <cell r="A1" t="str">
            <v>1월 생산실적</v>
          </cell>
        </row>
      </sheetData>
      <sheetData sheetId="4445">
        <row r="1">
          <cell r="A1" t="str">
            <v>1월 생산실적</v>
          </cell>
        </row>
      </sheetData>
      <sheetData sheetId="4446">
        <row r="1">
          <cell r="A1" t="str">
            <v>1월 생산실적</v>
          </cell>
        </row>
      </sheetData>
      <sheetData sheetId="4447">
        <row r="1">
          <cell r="A1" t="str">
            <v>1월 생산실적</v>
          </cell>
        </row>
      </sheetData>
      <sheetData sheetId="4448">
        <row r="1">
          <cell r="A1" t="str">
            <v>1월 생산실적</v>
          </cell>
        </row>
      </sheetData>
      <sheetData sheetId="4449">
        <row r="1">
          <cell r="A1" t="str">
            <v>1월 생산실적</v>
          </cell>
        </row>
      </sheetData>
      <sheetData sheetId="4450">
        <row r="1">
          <cell r="A1" t="str">
            <v>1월 생산실적</v>
          </cell>
        </row>
      </sheetData>
      <sheetData sheetId="4451">
        <row r="1">
          <cell r="A1" t="str">
            <v>1월 생산실적</v>
          </cell>
        </row>
      </sheetData>
      <sheetData sheetId="4452">
        <row r="1">
          <cell r="A1" t="str">
            <v>1월 생산실적</v>
          </cell>
        </row>
      </sheetData>
      <sheetData sheetId="4453">
        <row r="1">
          <cell r="A1" t="str">
            <v>1월 생산실적</v>
          </cell>
        </row>
      </sheetData>
      <sheetData sheetId="4454">
        <row r="1">
          <cell r="A1" t="str">
            <v>1월 생산실적</v>
          </cell>
        </row>
      </sheetData>
      <sheetData sheetId="4455">
        <row r="1">
          <cell r="A1" t="str">
            <v>1월 생산실적</v>
          </cell>
        </row>
      </sheetData>
      <sheetData sheetId="4456">
        <row r="1">
          <cell r="A1" t="str">
            <v>1월 생산실적</v>
          </cell>
        </row>
      </sheetData>
      <sheetData sheetId="4457">
        <row r="1">
          <cell r="A1" t="str">
            <v>1월 생산실적</v>
          </cell>
        </row>
      </sheetData>
      <sheetData sheetId="4458">
        <row r="1">
          <cell r="A1" t="str">
            <v>1월 생산실적</v>
          </cell>
        </row>
      </sheetData>
      <sheetData sheetId="4459">
        <row r="1">
          <cell r="A1" t="str">
            <v>1월 생산실적</v>
          </cell>
        </row>
      </sheetData>
      <sheetData sheetId="4460">
        <row r="1">
          <cell r="A1" t="str">
            <v>1월 생산실적</v>
          </cell>
        </row>
      </sheetData>
      <sheetData sheetId="4461">
        <row r="1">
          <cell r="A1" t="str">
            <v>1월 생산실적</v>
          </cell>
        </row>
      </sheetData>
      <sheetData sheetId="4462">
        <row r="1">
          <cell r="A1" t="str">
            <v>1월 생산실적</v>
          </cell>
        </row>
      </sheetData>
      <sheetData sheetId="4463">
        <row r="1">
          <cell r="A1" t="str">
            <v>1월 생산실적</v>
          </cell>
        </row>
      </sheetData>
      <sheetData sheetId="4464">
        <row r="1">
          <cell r="A1" t="str">
            <v>1월 생산실적</v>
          </cell>
        </row>
      </sheetData>
      <sheetData sheetId="4465">
        <row r="1">
          <cell r="A1" t="str">
            <v>1월 생산실적</v>
          </cell>
        </row>
      </sheetData>
      <sheetData sheetId="4466">
        <row r="1">
          <cell r="A1" t="str">
            <v>1월 생산실적</v>
          </cell>
        </row>
      </sheetData>
      <sheetData sheetId="4467">
        <row r="1">
          <cell r="A1" t="str">
            <v>1월 생산실적</v>
          </cell>
        </row>
      </sheetData>
      <sheetData sheetId="4468">
        <row r="1">
          <cell r="A1" t="str">
            <v>1월 생산실적</v>
          </cell>
        </row>
      </sheetData>
      <sheetData sheetId="4469">
        <row r="1">
          <cell r="A1" t="str">
            <v>1월 생산실적</v>
          </cell>
        </row>
      </sheetData>
      <sheetData sheetId="4470">
        <row r="1">
          <cell r="A1" t="str">
            <v>1월 생산실적</v>
          </cell>
        </row>
      </sheetData>
      <sheetData sheetId="4471">
        <row r="1">
          <cell r="A1" t="str">
            <v>1월 생산실적</v>
          </cell>
        </row>
      </sheetData>
      <sheetData sheetId="4472">
        <row r="1">
          <cell r="A1" t="str">
            <v>1월 생산실적</v>
          </cell>
        </row>
      </sheetData>
      <sheetData sheetId="4473">
        <row r="1">
          <cell r="A1" t="str">
            <v>1월 생산실적</v>
          </cell>
        </row>
      </sheetData>
      <sheetData sheetId="4474">
        <row r="1">
          <cell r="A1" t="str">
            <v>1월 생산실적</v>
          </cell>
        </row>
      </sheetData>
      <sheetData sheetId="4475">
        <row r="1">
          <cell r="A1" t="str">
            <v>1월 생산실적</v>
          </cell>
        </row>
      </sheetData>
      <sheetData sheetId="4476">
        <row r="1">
          <cell r="A1" t="str">
            <v>1월 생산실적</v>
          </cell>
        </row>
      </sheetData>
      <sheetData sheetId="4477">
        <row r="1">
          <cell r="A1" t="str">
            <v>1월 생산실적</v>
          </cell>
        </row>
      </sheetData>
      <sheetData sheetId="4478">
        <row r="1">
          <cell r="A1" t="str">
            <v>1월 생산실적</v>
          </cell>
        </row>
      </sheetData>
      <sheetData sheetId="4479">
        <row r="1">
          <cell r="A1" t="str">
            <v>1월 생산실적</v>
          </cell>
        </row>
      </sheetData>
      <sheetData sheetId="4480">
        <row r="1">
          <cell r="A1" t="str">
            <v>1월 생산실적</v>
          </cell>
        </row>
      </sheetData>
      <sheetData sheetId="4481">
        <row r="1">
          <cell r="A1" t="str">
            <v>1월 생산실적</v>
          </cell>
        </row>
      </sheetData>
      <sheetData sheetId="4482">
        <row r="1">
          <cell r="A1" t="str">
            <v>1월 생산실적</v>
          </cell>
        </row>
      </sheetData>
      <sheetData sheetId="4483">
        <row r="1">
          <cell r="A1" t="str">
            <v>1월 생산실적</v>
          </cell>
        </row>
      </sheetData>
      <sheetData sheetId="4484">
        <row r="1">
          <cell r="A1" t="str">
            <v>1월 생산실적</v>
          </cell>
        </row>
      </sheetData>
      <sheetData sheetId="4485">
        <row r="1">
          <cell r="A1" t="str">
            <v>1월 생산실적</v>
          </cell>
        </row>
      </sheetData>
      <sheetData sheetId="4486">
        <row r="1">
          <cell r="A1" t="str">
            <v>1월 생산실적</v>
          </cell>
        </row>
      </sheetData>
      <sheetData sheetId="4487">
        <row r="1">
          <cell r="A1" t="str">
            <v>1월 생산실적</v>
          </cell>
        </row>
      </sheetData>
      <sheetData sheetId="4488">
        <row r="1">
          <cell r="A1" t="str">
            <v>1월 생산실적</v>
          </cell>
        </row>
      </sheetData>
      <sheetData sheetId="4489">
        <row r="1">
          <cell r="A1" t="str">
            <v>1월 생산실적</v>
          </cell>
        </row>
      </sheetData>
      <sheetData sheetId="4490">
        <row r="1">
          <cell r="A1" t="str">
            <v>1월 생산실적</v>
          </cell>
        </row>
      </sheetData>
      <sheetData sheetId="4491">
        <row r="1">
          <cell r="A1" t="str">
            <v>1월 생산실적</v>
          </cell>
        </row>
      </sheetData>
      <sheetData sheetId="4492">
        <row r="1">
          <cell r="A1" t="str">
            <v>1월 생산실적</v>
          </cell>
        </row>
      </sheetData>
      <sheetData sheetId="4493">
        <row r="1">
          <cell r="A1" t="str">
            <v>1월 생산실적</v>
          </cell>
        </row>
      </sheetData>
      <sheetData sheetId="4494">
        <row r="1">
          <cell r="A1" t="str">
            <v>1월 생산실적</v>
          </cell>
        </row>
      </sheetData>
      <sheetData sheetId="4495">
        <row r="1">
          <cell r="A1" t="str">
            <v>1월 생산실적</v>
          </cell>
        </row>
      </sheetData>
      <sheetData sheetId="4496">
        <row r="1">
          <cell r="A1" t="str">
            <v>1월 생산실적</v>
          </cell>
        </row>
      </sheetData>
      <sheetData sheetId="4497">
        <row r="1">
          <cell r="A1" t="str">
            <v>1월 생산실적</v>
          </cell>
        </row>
      </sheetData>
      <sheetData sheetId="4498">
        <row r="1">
          <cell r="A1" t="str">
            <v>1월 생산실적</v>
          </cell>
        </row>
      </sheetData>
      <sheetData sheetId="4499">
        <row r="1">
          <cell r="A1" t="str">
            <v>1월 생산실적</v>
          </cell>
        </row>
      </sheetData>
      <sheetData sheetId="4500">
        <row r="1">
          <cell r="A1" t="str">
            <v>1월 생산실적</v>
          </cell>
        </row>
      </sheetData>
      <sheetData sheetId="4501">
        <row r="1">
          <cell r="A1" t="str">
            <v>1월 생산실적</v>
          </cell>
        </row>
      </sheetData>
      <sheetData sheetId="4502">
        <row r="1">
          <cell r="A1" t="str">
            <v>1월 생산실적</v>
          </cell>
        </row>
      </sheetData>
      <sheetData sheetId="4503">
        <row r="1">
          <cell r="A1" t="str">
            <v>1월 생산실적</v>
          </cell>
        </row>
      </sheetData>
      <sheetData sheetId="4504">
        <row r="1">
          <cell r="A1" t="str">
            <v>1월 생산실적</v>
          </cell>
        </row>
      </sheetData>
      <sheetData sheetId="4505">
        <row r="1">
          <cell r="A1" t="str">
            <v>1월 생산실적</v>
          </cell>
        </row>
      </sheetData>
      <sheetData sheetId="4506">
        <row r="1">
          <cell r="A1" t="str">
            <v>1월 생산실적</v>
          </cell>
        </row>
      </sheetData>
      <sheetData sheetId="4507">
        <row r="1">
          <cell r="A1" t="str">
            <v>1월 생산실적</v>
          </cell>
        </row>
      </sheetData>
      <sheetData sheetId="4508">
        <row r="1">
          <cell r="A1" t="str">
            <v>1월 생산실적</v>
          </cell>
        </row>
      </sheetData>
      <sheetData sheetId="4509">
        <row r="1">
          <cell r="A1" t="str">
            <v>1월 생산실적</v>
          </cell>
        </row>
      </sheetData>
      <sheetData sheetId="4510">
        <row r="1">
          <cell r="A1" t="str">
            <v>1월 생산실적</v>
          </cell>
        </row>
      </sheetData>
      <sheetData sheetId="4511">
        <row r="1">
          <cell r="A1" t="str">
            <v>1월 생산실적</v>
          </cell>
        </row>
      </sheetData>
      <sheetData sheetId="4512">
        <row r="1">
          <cell r="A1" t="str">
            <v>1월 생산실적</v>
          </cell>
        </row>
      </sheetData>
      <sheetData sheetId="4513">
        <row r="1">
          <cell r="A1" t="str">
            <v>1월 생산실적</v>
          </cell>
        </row>
      </sheetData>
      <sheetData sheetId="4514">
        <row r="1">
          <cell r="A1" t="str">
            <v>1월 생산실적</v>
          </cell>
        </row>
      </sheetData>
      <sheetData sheetId="4515">
        <row r="1">
          <cell r="A1" t="str">
            <v>1월 생산실적</v>
          </cell>
        </row>
      </sheetData>
      <sheetData sheetId="4516">
        <row r="1">
          <cell r="A1" t="str">
            <v>1월 생산실적</v>
          </cell>
        </row>
      </sheetData>
      <sheetData sheetId="4517">
        <row r="1">
          <cell r="A1" t="str">
            <v>1월 생산실적</v>
          </cell>
        </row>
      </sheetData>
      <sheetData sheetId="4518">
        <row r="1">
          <cell r="A1" t="str">
            <v>1월 생산실적</v>
          </cell>
        </row>
      </sheetData>
      <sheetData sheetId="4519">
        <row r="1">
          <cell r="A1" t="str">
            <v>1월 생산실적</v>
          </cell>
        </row>
      </sheetData>
      <sheetData sheetId="4520">
        <row r="1">
          <cell r="A1" t="str">
            <v>1월 생산실적</v>
          </cell>
        </row>
      </sheetData>
      <sheetData sheetId="4521">
        <row r="1">
          <cell r="A1" t="str">
            <v>1월 생산실적</v>
          </cell>
        </row>
      </sheetData>
      <sheetData sheetId="4522">
        <row r="1">
          <cell r="A1" t="str">
            <v>1월 생산실적</v>
          </cell>
        </row>
      </sheetData>
      <sheetData sheetId="4523">
        <row r="1">
          <cell r="A1" t="str">
            <v>1월 생산실적</v>
          </cell>
        </row>
      </sheetData>
      <sheetData sheetId="4524">
        <row r="1">
          <cell r="A1" t="str">
            <v>1월 생산실적</v>
          </cell>
        </row>
      </sheetData>
      <sheetData sheetId="4525">
        <row r="1">
          <cell r="A1" t="str">
            <v>1월 생산실적</v>
          </cell>
        </row>
      </sheetData>
      <sheetData sheetId="4526">
        <row r="1">
          <cell r="A1" t="str">
            <v>1월 생산실적</v>
          </cell>
        </row>
      </sheetData>
      <sheetData sheetId="4527">
        <row r="1">
          <cell r="A1" t="str">
            <v>1월 생산실적</v>
          </cell>
        </row>
      </sheetData>
      <sheetData sheetId="4528">
        <row r="1">
          <cell r="A1" t="str">
            <v>1월 생산실적</v>
          </cell>
        </row>
      </sheetData>
      <sheetData sheetId="4529">
        <row r="1">
          <cell r="A1" t="str">
            <v>1월 생산실적</v>
          </cell>
        </row>
      </sheetData>
      <sheetData sheetId="4530">
        <row r="1">
          <cell r="A1" t="str">
            <v>1월 생산실적</v>
          </cell>
        </row>
      </sheetData>
      <sheetData sheetId="4531">
        <row r="1">
          <cell r="A1" t="str">
            <v>1월 생산실적</v>
          </cell>
        </row>
      </sheetData>
      <sheetData sheetId="4532">
        <row r="1">
          <cell r="A1" t="str">
            <v>1월 생산실적</v>
          </cell>
        </row>
      </sheetData>
      <sheetData sheetId="4533">
        <row r="1">
          <cell r="A1" t="str">
            <v>1월 생산실적</v>
          </cell>
        </row>
      </sheetData>
      <sheetData sheetId="4534">
        <row r="1">
          <cell r="A1" t="str">
            <v>1월 생산실적</v>
          </cell>
        </row>
      </sheetData>
      <sheetData sheetId="4535">
        <row r="1">
          <cell r="A1" t="str">
            <v>1월 생산실적</v>
          </cell>
        </row>
      </sheetData>
      <sheetData sheetId="4536">
        <row r="1">
          <cell r="A1" t="str">
            <v>1월 생산실적</v>
          </cell>
        </row>
      </sheetData>
      <sheetData sheetId="4537">
        <row r="1">
          <cell r="A1" t="str">
            <v>1월 생산실적</v>
          </cell>
        </row>
      </sheetData>
      <sheetData sheetId="4538">
        <row r="1">
          <cell r="A1" t="str">
            <v>1월 생산실적</v>
          </cell>
        </row>
      </sheetData>
      <sheetData sheetId="4539">
        <row r="1">
          <cell r="A1" t="str">
            <v>1월 생산실적</v>
          </cell>
        </row>
      </sheetData>
      <sheetData sheetId="4540">
        <row r="1">
          <cell r="A1" t="str">
            <v>1월 생산실적</v>
          </cell>
        </row>
      </sheetData>
      <sheetData sheetId="4541">
        <row r="1">
          <cell r="A1" t="str">
            <v>1월 생산실적</v>
          </cell>
        </row>
      </sheetData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>
        <row r="1">
          <cell r="A1" t="str">
            <v>1월 생산실적</v>
          </cell>
        </row>
      </sheetData>
      <sheetData sheetId="4550" refreshError="1"/>
      <sheetData sheetId="4551" refreshError="1"/>
      <sheetData sheetId="4552" refreshError="1"/>
      <sheetData sheetId="4553" refreshError="1"/>
      <sheetData sheetId="4554">
        <row r="1">
          <cell r="A1" t="str">
            <v>1월 생산실적</v>
          </cell>
        </row>
      </sheetData>
      <sheetData sheetId="4555">
        <row r="1">
          <cell r="A1" t="str">
            <v>1월 생산실적</v>
          </cell>
        </row>
      </sheetData>
      <sheetData sheetId="4556">
        <row r="1">
          <cell r="A1" t="str">
            <v>1월 생산실적</v>
          </cell>
        </row>
      </sheetData>
      <sheetData sheetId="4557">
        <row r="1">
          <cell r="A1" t="str">
            <v>1월 생산실적</v>
          </cell>
        </row>
      </sheetData>
      <sheetData sheetId="4558">
        <row r="1">
          <cell r="A1" t="str">
            <v>1월 생산실적</v>
          </cell>
        </row>
      </sheetData>
      <sheetData sheetId="4559">
        <row r="1">
          <cell r="A1" t="str">
            <v>1월 생산실적</v>
          </cell>
        </row>
      </sheetData>
      <sheetData sheetId="4560">
        <row r="1">
          <cell r="A1" t="str">
            <v>1월 생산실적</v>
          </cell>
        </row>
      </sheetData>
      <sheetData sheetId="4561">
        <row r="1">
          <cell r="A1" t="str">
            <v>1월 생산실적</v>
          </cell>
        </row>
      </sheetData>
      <sheetData sheetId="4562">
        <row r="1">
          <cell r="A1" t="str">
            <v>1월 생산실적</v>
          </cell>
        </row>
      </sheetData>
      <sheetData sheetId="4563">
        <row r="1">
          <cell r="A1" t="str">
            <v>1월 생산실적</v>
          </cell>
        </row>
      </sheetData>
      <sheetData sheetId="4564">
        <row r="1">
          <cell r="A1" t="str">
            <v>1월 생산실적</v>
          </cell>
        </row>
      </sheetData>
      <sheetData sheetId="4565">
        <row r="1">
          <cell r="A1" t="str">
            <v>1월 생산실적</v>
          </cell>
        </row>
      </sheetData>
      <sheetData sheetId="4566">
        <row r="1">
          <cell r="A1" t="str">
            <v>1월 생산실적</v>
          </cell>
        </row>
      </sheetData>
      <sheetData sheetId="4567">
        <row r="1">
          <cell r="A1" t="str">
            <v>1월 생산실적</v>
          </cell>
        </row>
      </sheetData>
      <sheetData sheetId="4568">
        <row r="1">
          <cell r="A1" t="str">
            <v>1월 생산실적</v>
          </cell>
        </row>
      </sheetData>
      <sheetData sheetId="4569">
        <row r="1">
          <cell r="A1" t="str">
            <v>1월 생산실적</v>
          </cell>
        </row>
      </sheetData>
      <sheetData sheetId="4570">
        <row r="1">
          <cell r="A1" t="str">
            <v>1월 생산실적</v>
          </cell>
        </row>
      </sheetData>
      <sheetData sheetId="4571">
        <row r="1">
          <cell r="A1" t="str">
            <v>1월 생산실적</v>
          </cell>
        </row>
      </sheetData>
      <sheetData sheetId="4572">
        <row r="1">
          <cell r="A1" t="str">
            <v>1월 생산실적</v>
          </cell>
        </row>
      </sheetData>
      <sheetData sheetId="4573">
        <row r="1">
          <cell r="A1" t="str">
            <v>1월 생산실적</v>
          </cell>
        </row>
      </sheetData>
      <sheetData sheetId="4574">
        <row r="1">
          <cell r="A1" t="str">
            <v>1월 생산실적</v>
          </cell>
        </row>
      </sheetData>
      <sheetData sheetId="4575">
        <row r="1">
          <cell r="A1" t="str">
            <v>1월 생산실적</v>
          </cell>
        </row>
      </sheetData>
      <sheetData sheetId="4576">
        <row r="1">
          <cell r="A1" t="str">
            <v>1월 생산실적</v>
          </cell>
        </row>
      </sheetData>
      <sheetData sheetId="4577">
        <row r="1">
          <cell r="A1" t="str">
            <v>1월 생산실적</v>
          </cell>
        </row>
      </sheetData>
      <sheetData sheetId="4578">
        <row r="1">
          <cell r="A1" t="str">
            <v>1월 생산실적</v>
          </cell>
        </row>
      </sheetData>
      <sheetData sheetId="4579">
        <row r="1">
          <cell r="A1" t="str">
            <v>1월 생산실적</v>
          </cell>
        </row>
      </sheetData>
      <sheetData sheetId="4580">
        <row r="1">
          <cell r="A1" t="str">
            <v>1월 생산실적</v>
          </cell>
        </row>
      </sheetData>
      <sheetData sheetId="4581">
        <row r="1">
          <cell r="A1" t="str">
            <v>1월 생산실적</v>
          </cell>
        </row>
      </sheetData>
      <sheetData sheetId="4582">
        <row r="1">
          <cell r="A1" t="str">
            <v>1월 생산실적</v>
          </cell>
        </row>
      </sheetData>
      <sheetData sheetId="4583">
        <row r="1">
          <cell r="A1" t="str">
            <v>1월 생산실적</v>
          </cell>
        </row>
      </sheetData>
      <sheetData sheetId="4584">
        <row r="1">
          <cell r="A1" t="str">
            <v>1월 생산실적</v>
          </cell>
        </row>
      </sheetData>
      <sheetData sheetId="4585">
        <row r="1">
          <cell r="A1" t="str">
            <v>1월 생산실적</v>
          </cell>
        </row>
      </sheetData>
      <sheetData sheetId="4586">
        <row r="1">
          <cell r="A1" t="str">
            <v>1월 생산실적</v>
          </cell>
        </row>
      </sheetData>
      <sheetData sheetId="4587">
        <row r="1">
          <cell r="A1" t="str">
            <v>1월 생산실적</v>
          </cell>
        </row>
      </sheetData>
      <sheetData sheetId="4588">
        <row r="1">
          <cell r="A1" t="str">
            <v>1월 생산실적</v>
          </cell>
        </row>
      </sheetData>
      <sheetData sheetId="4589">
        <row r="1">
          <cell r="A1" t="str">
            <v>1월 생산실적</v>
          </cell>
        </row>
      </sheetData>
      <sheetData sheetId="4590">
        <row r="1">
          <cell r="A1" t="str">
            <v>1월 생산실적</v>
          </cell>
        </row>
      </sheetData>
      <sheetData sheetId="4591">
        <row r="1">
          <cell r="A1" t="str">
            <v>1월 생산실적</v>
          </cell>
        </row>
      </sheetData>
      <sheetData sheetId="4592">
        <row r="1">
          <cell r="A1" t="str">
            <v>1월 생산실적</v>
          </cell>
        </row>
      </sheetData>
      <sheetData sheetId="4593">
        <row r="1">
          <cell r="A1" t="str">
            <v>1월 생산실적</v>
          </cell>
        </row>
      </sheetData>
      <sheetData sheetId="4594">
        <row r="1">
          <cell r="A1" t="str">
            <v>1월 생산실적</v>
          </cell>
        </row>
      </sheetData>
      <sheetData sheetId="4595">
        <row r="1">
          <cell r="A1" t="str">
            <v>1월 생산실적</v>
          </cell>
        </row>
      </sheetData>
      <sheetData sheetId="4596">
        <row r="1">
          <cell r="A1" t="str">
            <v>1월 생산실적</v>
          </cell>
        </row>
      </sheetData>
      <sheetData sheetId="4597">
        <row r="1">
          <cell r="A1" t="str">
            <v>1월 생산실적</v>
          </cell>
        </row>
      </sheetData>
      <sheetData sheetId="4598">
        <row r="1">
          <cell r="A1" t="str">
            <v>1월 생산실적</v>
          </cell>
        </row>
      </sheetData>
      <sheetData sheetId="4599">
        <row r="1">
          <cell r="A1" t="str">
            <v>1월 생산실적</v>
          </cell>
        </row>
      </sheetData>
      <sheetData sheetId="4600">
        <row r="1">
          <cell r="A1" t="str">
            <v>1월 생산실적</v>
          </cell>
        </row>
      </sheetData>
      <sheetData sheetId="4601">
        <row r="1">
          <cell r="A1" t="str">
            <v>1월 생산실적</v>
          </cell>
        </row>
      </sheetData>
      <sheetData sheetId="4602">
        <row r="1">
          <cell r="A1" t="str">
            <v>1월 생산실적</v>
          </cell>
        </row>
      </sheetData>
      <sheetData sheetId="4603">
        <row r="1">
          <cell r="A1" t="str">
            <v>1월 생산실적</v>
          </cell>
        </row>
      </sheetData>
      <sheetData sheetId="4604">
        <row r="1">
          <cell r="A1" t="str">
            <v>1월 생산실적</v>
          </cell>
        </row>
      </sheetData>
      <sheetData sheetId="4605">
        <row r="1">
          <cell r="A1" t="str">
            <v>1월 생산실적</v>
          </cell>
        </row>
      </sheetData>
      <sheetData sheetId="4606">
        <row r="1">
          <cell r="A1" t="str">
            <v>1월 생산실적</v>
          </cell>
        </row>
      </sheetData>
      <sheetData sheetId="4607">
        <row r="1">
          <cell r="A1" t="str">
            <v>1월 생산실적</v>
          </cell>
        </row>
      </sheetData>
      <sheetData sheetId="4608">
        <row r="1">
          <cell r="A1" t="str">
            <v>1월 생산실적</v>
          </cell>
        </row>
      </sheetData>
      <sheetData sheetId="4609">
        <row r="1">
          <cell r="A1" t="str">
            <v>1월 생산실적</v>
          </cell>
        </row>
      </sheetData>
      <sheetData sheetId="4610">
        <row r="1">
          <cell r="A1" t="str">
            <v>1월 생산실적</v>
          </cell>
        </row>
      </sheetData>
      <sheetData sheetId="4611">
        <row r="1">
          <cell r="A1" t="str">
            <v>1월 생산실적</v>
          </cell>
        </row>
      </sheetData>
      <sheetData sheetId="4612">
        <row r="1">
          <cell r="A1" t="str">
            <v>1월 생산실적</v>
          </cell>
        </row>
      </sheetData>
      <sheetData sheetId="4613">
        <row r="1">
          <cell r="A1" t="str">
            <v>1월 생산실적</v>
          </cell>
        </row>
      </sheetData>
      <sheetData sheetId="4614">
        <row r="1">
          <cell r="A1" t="str">
            <v>1월 생산실적</v>
          </cell>
        </row>
      </sheetData>
      <sheetData sheetId="4615">
        <row r="1">
          <cell r="A1" t="str">
            <v>1월 생산실적</v>
          </cell>
        </row>
      </sheetData>
      <sheetData sheetId="4616">
        <row r="1">
          <cell r="A1" t="str">
            <v>1월 생산실적</v>
          </cell>
        </row>
      </sheetData>
      <sheetData sheetId="4617">
        <row r="1">
          <cell r="A1" t="str">
            <v>1월 생산실적</v>
          </cell>
        </row>
      </sheetData>
      <sheetData sheetId="4618">
        <row r="1">
          <cell r="A1" t="str">
            <v>1월 생산실적</v>
          </cell>
        </row>
      </sheetData>
      <sheetData sheetId="4619">
        <row r="1">
          <cell r="A1" t="str">
            <v>1월 생산실적</v>
          </cell>
        </row>
      </sheetData>
      <sheetData sheetId="4620">
        <row r="1">
          <cell r="A1" t="str">
            <v>1월 생산실적</v>
          </cell>
        </row>
      </sheetData>
      <sheetData sheetId="4621">
        <row r="1">
          <cell r="A1" t="str">
            <v>1월 생산실적</v>
          </cell>
        </row>
      </sheetData>
      <sheetData sheetId="4622">
        <row r="1">
          <cell r="A1" t="str">
            <v>1월 생산실적</v>
          </cell>
        </row>
      </sheetData>
      <sheetData sheetId="4623">
        <row r="1">
          <cell r="A1" t="str">
            <v>1월 생산실적</v>
          </cell>
        </row>
      </sheetData>
      <sheetData sheetId="4624">
        <row r="1">
          <cell r="A1" t="str">
            <v>1월 생산실적</v>
          </cell>
        </row>
      </sheetData>
      <sheetData sheetId="4625">
        <row r="1">
          <cell r="A1" t="str">
            <v>1월 생산실적</v>
          </cell>
        </row>
      </sheetData>
      <sheetData sheetId="4626">
        <row r="1">
          <cell r="A1" t="str">
            <v>1월 생산실적</v>
          </cell>
        </row>
      </sheetData>
      <sheetData sheetId="4627">
        <row r="1">
          <cell r="A1" t="str">
            <v>1월 생산실적</v>
          </cell>
        </row>
      </sheetData>
      <sheetData sheetId="4628">
        <row r="1">
          <cell r="A1" t="str">
            <v>1월 생산실적</v>
          </cell>
        </row>
      </sheetData>
      <sheetData sheetId="4629">
        <row r="1">
          <cell r="A1" t="str">
            <v>1월 생산실적</v>
          </cell>
        </row>
      </sheetData>
      <sheetData sheetId="4630">
        <row r="1">
          <cell r="A1" t="str">
            <v>1월 생산실적</v>
          </cell>
        </row>
      </sheetData>
      <sheetData sheetId="4631">
        <row r="1">
          <cell r="A1" t="str">
            <v>1월 생산실적</v>
          </cell>
        </row>
      </sheetData>
      <sheetData sheetId="4632">
        <row r="1">
          <cell r="A1" t="str">
            <v>1월 생산실적</v>
          </cell>
        </row>
      </sheetData>
      <sheetData sheetId="4633">
        <row r="1">
          <cell r="A1" t="str">
            <v>1월 생산실적</v>
          </cell>
        </row>
      </sheetData>
      <sheetData sheetId="4634">
        <row r="1">
          <cell r="A1" t="str">
            <v>1월 생산실적</v>
          </cell>
        </row>
      </sheetData>
      <sheetData sheetId="4635">
        <row r="1">
          <cell r="A1" t="str">
            <v>1월 생산실적</v>
          </cell>
        </row>
      </sheetData>
      <sheetData sheetId="4636">
        <row r="1">
          <cell r="A1" t="str">
            <v>1월 생산실적</v>
          </cell>
        </row>
      </sheetData>
      <sheetData sheetId="4637">
        <row r="1">
          <cell r="A1" t="str">
            <v>1월 생산실적</v>
          </cell>
        </row>
      </sheetData>
      <sheetData sheetId="4638">
        <row r="1">
          <cell r="A1" t="str">
            <v>1월 생산실적</v>
          </cell>
        </row>
      </sheetData>
      <sheetData sheetId="4639">
        <row r="1">
          <cell r="A1" t="str">
            <v>1월 생산실적</v>
          </cell>
        </row>
      </sheetData>
      <sheetData sheetId="4640">
        <row r="1">
          <cell r="A1" t="str">
            <v>1월 생산실적</v>
          </cell>
        </row>
      </sheetData>
      <sheetData sheetId="4641">
        <row r="1">
          <cell r="A1" t="str">
            <v>1월 생산실적</v>
          </cell>
        </row>
      </sheetData>
      <sheetData sheetId="4642">
        <row r="1">
          <cell r="A1" t="str">
            <v>1월 생산실적</v>
          </cell>
        </row>
      </sheetData>
      <sheetData sheetId="4643">
        <row r="1">
          <cell r="A1" t="str">
            <v>1월 생산실적</v>
          </cell>
        </row>
      </sheetData>
      <sheetData sheetId="4644">
        <row r="1">
          <cell r="A1" t="str">
            <v>1월 생산실적</v>
          </cell>
        </row>
      </sheetData>
      <sheetData sheetId="4645">
        <row r="1">
          <cell r="A1" t="str">
            <v>1월 생산실적</v>
          </cell>
        </row>
      </sheetData>
      <sheetData sheetId="4646">
        <row r="1">
          <cell r="A1" t="str">
            <v>1월 생산실적</v>
          </cell>
        </row>
      </sheetData>
      <sheetData sheetId="4647">
        <row r="1">
          <cell r="A1" t="str">
            <v>1월 생산실적</v>
          </cell>
        </row>
      </sheetData>
      <sheetData sheetId="4648">
        <row r="1">
          <cell r="A1" t="str">
            <v>1월 생산실적</v>
          </cell>
        </row>
      </sheetData>
      <sheetData sheetId="4649">
        <row r="1">
          <cell r="A1" t="str">
            <v>1월 생산실적</v>
          </cell>
        </row>
      </sheetData>
      <sheetData sheetId="4650">
        <row r="1">
          <cell r="A1" t="str">
            <v>1월 생산실적</v>
          </cell>
        </row>
      </sheetData>
      <sheetData sheetId="4651">
        <row r="1">
          <cell r="A1" t="str">
            <v>1월 생산실적</v>
          </cell>
        </row>
      </sheetData>
      <sheetData sheetId="4652">
        <row r="1">
          <cell r="A1" t="str">
            <v>1월 생산실적</v>
          </cell>
        </row>
      </sheetData>
      <sheetData sheetId="4653">
        <row r="1">
          <cell r="A1" t="str">
            <v>1월 생산실적</v>
          </cell>
        </row>
      </sheetData>
      <sheetData sheetId="4654">
        <row r="1">
          <cell r="A1" t="str">
            <v>1월 생산실적</v>
          </cell>
        </row>
      </sheetData>
      <sheetData sheetId="4655">
        <row r="1">
          <cell r="A1" t="str">
            <v>1월 생산실적</v>
          </cell>
        </row>
      </sheetData>
      <sheetData sheetId="4656">
        <row r="1">
          <cell r="A1" t="str">
            <v>1월 생산실적</v>
          </cell>
        </row>
      </sheetData>
      <sheetData sheetId="4657">
        <row r="1">
          <cell r="A1" t="str">
            <v>1월 생산실적</v>
          </cell>
        </row>
      </sheetData>
      <sheetData sheetId="4658">
        <row r="1">
          <cell r="A1" t="str">
            <v>1월 생산실적</v>
          </cell>
        </row>
      </sheetData>
      <sheetData sheetId="4659">
        <row r="1">
          <cell r="A1" t="str">
            <v>1월 생산실적</v>
          </cell>
        </row>
      </sheetData>
      <sheetData sheetId="4660">
        <row r="1">
          <cell r="A1" t="str">
            <v>1월 생산실적</v>
          </cell>
        </row>
      </sheetData>
      <sheetData sheetId="4661">
        <row r="1">
          <cell r="A1" t="str">
            <v>1월 생산실적</v>
          </cell>
        </row>
      </sheetData>
      <sheetData sheetId="4662">
        <row r="1">
          <cell r="A1" t="str">
            <v>1월 생산실적</v>
          </cell>
        </row>
      </sheetData>
      <sheetData sheetId="4663">
        <row r="1">
          <cell r="A1" t="str">
            <v>1월 생산실적</v>
          </cell>
        </row>
      </sheetData>
      <sheetData sheetId="4664">
        <row r="1">
          <cell r="A1" t="str">
            <v>1월 생산실적</v>
          </cell>
        </row>
      </sheetData>
      <sheetData sheetId="4665">
        <row r="1">
          <cell r="A1" t="str">
            <v>1월 생산실적</v>
          </cell>
        </row>
      </sheetData>
      <sheetData sheetId="4666">
        <row r="1">
          <cell r="A1" t="str">
            <v>1월 생산실적</v>
          </cell>
        </row>
      </sheetData>
      <sheetData sheetId="4667">
        <row r="1">
          <cell r="A1" t="str">
            <v>1월 생산실적</v>
          </cell>
        </row>
      </sheetData>
      <sheetData sheetId="4668">
        <row r="1">
          <cell r="A1" t="str">
            <v>1월 생산실적</v>
          </cell>
        </row>
      </sheetData>
      <sheetData sheetId="4669">
        <row r="1">
          <cell r="A1" t="str">
            <v>1월 생산실적</v>
          </cell>
        </row>
      </sheetData>
      <sheetData sheetId="4670">
        <row r="1">
          <cell r="A1" t="str">
            <v>1월 생산실적</v>
          </cell>
        </row>
      </sheetData>
      <sheetData sheetId="4671">
        <row r="1">
          <cell r="A1" t="str">
            <v>1월 생산실적</v>
          </cell>
        </row>
      </sheetData>
      <sheetData sheetId="4672">
        <row r="1">
          <cell r="A1" t="str">
            <v>1월 생산실적</v>
          </cell>
        </row>
      </sheetData>
      <sheetData sheetId="4673">
        <row r="1">
          <cell r="A1" t="str">
            <v>1월 생산실적</v>
          </cell>
        </row>
      </sheetData>
      <sheetData sheetId="4674">
        <row r="1">
          <cell r="A1" t="str">
            <v>1월 생산실적</v>
          </cell>
        </row>
      </sheetData>
      <sheetData sheetId="4675">
        <row r="1">
          <cell r="A1" t="str">
            <v>1월 생산실적</v>
          </cell>
        </row>
      </sheetData>
      <sheetData sheetId="4676">
        <row r="1">
          <cell r="A1" t="str">
            <v>1월 생산실적</v>
          </cell>
        </row>
      </sheetData>
      <sheetData sheetId="4677">
        <row r="1">
          <cell r="A1" t="str">
            <v>1월 생산실적</v>
          </cell>
        </row>
      </sheetData>
      <sheetData sheetId="4678">
        <row r="1">
          <cell r="A1" t="str">
            <v>1월 생산실적</v>
          </cell>
        </row>
      </sheetData>
      <sheetData sheetId="4679">
        <row r="1">
          <cell r="A1" t="str">
            <v>1월 생산실적</v>
          </cell>
        </row>
      </sheetData>
      <sheetData sheetId="4680">
        <row r="1">
          <cell r="A1" t="str">
            <v>1월 생산실적</v>
          </cell>
        </row>
      </sheetData>
      <sheetData sheetId="4681">
        <row r="1">
          <cell r="A1" t="str">
            <v>1월 생산실적</v>
          </cell>
        </row>
      </sheetData>
      <sheetData sheetId="4682">
        <row r="1">
          <cell r="A1" t="str">
            <v>1월 생산실적</v>
          </cell>
        </row>
      </sheetData>
      <sheetData sheetId="4683">
        <row r="1">
          <cell r="A1" t="str">
            <v>1월 생산실적</v>
          </cell>
        </row>
      </sheetData>
      <sheetData sheetId="4684">
        <row r="1">
          <cell r="A1" t="str">
            <v>1월 생산실적</v>
          </cell>
        </row>
      </sheetData>
      <sheetData sheetId="4685">
        <row r="1">
          <cell r="A1" t="str">
            <v>1월 생산실적</v>
          </cell>
        </row>
      </sheetData>
      <sheetData sheetId="4686">
        <row r="1">
          <cell r="A1" t="str">
            <v>1월 생산실적</v>
          </cell>
        </row>
      </sheetData>
      <sheetData sheetId="4687">
        <row r="1">
          <cell r="A1" t="str">
            <v>1월 생산실적</v>
          </cell>
        </row>
      </sheetData>
      <sheetData sheetId="4688">
        <row r="1">
          <cell r="A1" t="str">
            <v>1월 생산실적</v>
          </cell>
        </row>
      </sheetData>
      <sheetData sheetId="4689">
        <row r="1">
          <cell r="A1" t="str">
            <v>1월 생산실적</v>
          </cell>
        </row>
      </sheetData>
      <sheetData sheetId="4690">
        <row r="1">
          <cell r="A1" t="str">
            <v>1월 생산실적</v>
          </cell>
        </row>
      </sheetData>
      <sheetData sheetId="4691">
        <row r="1">
          <cell r="A1" t="str">
            <v>1월 생산실적</v>
          </cell>
        </row>
      </sheetData>
      <sheetData sheetId="4692">
        <row r="1">
          <cell r="A1" t="str">
            <v>1월 생산실적</v>
          </cell>
        </row>
      </sheetData>
      <sheetData sheetId="4693">
        <row r="1">
          <cell r="A1" t="str">
            <v>1월 생산실적</v>
          </cell>
        </row>
      </sheetData>
      <sheetData sheetId="4694">
        <row r="1">
          <cell r="A1" t="str">
            <v>1월 생산실적</v>
          </cell>
        </row>
      </sheetData>
      <sheetData sheetId="4695">
        <row r="1">
          <cell r="A1" t="str">
            <v>1월 생산실적</v>
          </cell>
        </row>
      </sheetData>
      <sheetData sheetId="4696">
        <row r="1">
          <cell r="A1" t="str">
            <v>1월 생산실적</v>
          </cell>
        </row>
      </sheetData>
      <sheetData sheetId="4697">
        <row r="1">
          <cell r="A1" t="str">
            <v>1월 생산실적</v>
          </cell>
        </row>
      </sheetData>
      <sheetData sheetId="4698">
        <row r="1">
          <cell r="A1" t="str">
            <v>1월 생산실적</v>
          </cell>
        </row>
      </sheetData>
      <sheetData sheetId="4699">
        <row r="1">
          <cell r="A1" t="str">
            <v>1월 생산실적</v>
          </cell>
        </row>
      </sheetData>
      <sheetData sheetId="4700">
        <row r="1">
          <cell r="A1" t="str">
            <v>1월 생산실적</v>
          </cell>
        </row>
      </sheetData>
      <sheetData sheetId="4701">
        <row r="1">
          <cell r="A1" t="str">
            <v>1월 생산실적</v>
          </cell>
        </row>
      </sheetData>
      <sheetData sheetId="4702">
        <row r="1">
          <cell r="A1" t="str">
            <v>1월 생산실적</v>
          </cell>
        </row>
      </sheetData>
      <sheetData sheetId="4703">
        <row r="1">
          <cell r="A1" t="str">
            <v>1월 생산실적</v>
          </cell>
        </row>
      </sheetData>
      <sheetData sheetId="4704">
        <row r="1">
          <cell r="A1" t="str">
            <v>1월 생산실적</v>
          </cell>
        </row>
      </sheetData>
      <sheetData sheetId="4705">
        <row r="1">
          <cell r="A1" t="str">
            <v>1월 생산실적</v>
          </cell>
        </row>
      </sheetData>
      <sheetData sheetId="4706">
        <row r="1">
          <cell r="A1" t="str">
            <v>1월 생산실적</v>
          </cell>
        </row>
      </sheetData>
      <sheetData sheetId="4707">
        <row r="1">
          <cell r="A1" t="str">
            <v>1월 생산실적</v>
          </cell>
        </row>
      </sheetData>
      <sheetData sheetId="4708">
        <row r="1">
          <cell r="A1" t="str">
            <v>1월 생산실적</v>
          </cell>
        </row>
      </sheetData>
      <sheetData sheetId="4709">
        <row r="1">
          <cell r="A1" t="str">
            <v>1월 생산실적</v>
          </cell>
        </row>
      </sheetData>
      <sheetData sheetId="4710">
        <row r="1">
          <cell r="A1" t="str">
            <v>1월 생산실적</v>
          </cell>
        </row>
      </sheetData>
      <sheetData sheetId="4711">
        <row r="1">
          <cell r="A1" t="str">
            <v>1월 생산실적</v>
          </cell>
        </row>
      </sheetData>
      <sheetData sheetId="4712">
        <row r="1">
          <cell r="A1" t="str">
            <v>1월 생산실적</v>
          </cell>
        </row>
      </sheetData>
      <sheetData sheetId="4713">
        <row r="1">
          <cell r="A1" t="str">
            <v>1월 생산실적</v>
          </cell>
        </row>
      </sheetData>
      <sheetData sheetId="4714">
        <row r="1">
          <cell r="A1" t="str">
            <v>1월 생산실적</v>
          </cell>
        </row>
      </sheetData>
      <sheetData sheetId="4715">
        <row r="1">
          <cell r="A1" t="str">
            <v>1월 생산실적</v>
          </cell>
        </row>
      </sheetData>
      <sheetData sheetId="4716">
        <row r="1">
          <cell r="A1" t="str">
            <v>1월 생산실적</v>
          </cell>
        </row>
      </sheetData>
      <sheetData sheetId="4717">
        <row r="1">
          <cell r="A1" t="str">
            <v>1월 생산실적</v>
          </cell>
        </row>
      </sheetData>
      <sheetData sheetId="4718">
        <row r="1">
          <cell r="A1" t="str">
            <v>1월 생산실적</v>
          </cell>
        </row>
      </sheetData>
      <sheetData sheetId="4719">
        <row r="1">
          <cell r="A1" t="str">
            <v>1월 생산실적</v>
          </cell>
        </row>
      </sheetData>
      <sheetData sheetId="4720">
        <row r="1">
          <cell r="A1" t="str">
            <v>1월 생산실적</v>
          </cell>
        </row>
      </sheetData>
      <sheetData sheetId="4721">
        <row r="1">
          <cell r="A1" t="str">
            <v>1월 생산실적</v>
          </cell>
        </row>
      </sheetData>
      <sheetData sheetId="4722">
        <row r="1">
          <cell r="A1" t="str">
            <v>1월 생산실적</v>
          </cell>
        </row>
      </sheetData>
      <sheetData sheetId="4723">
        <row r="1">
          <cell r="A1" t="str">
            <v>1월 생산실적</v>
          </cell>
        </row>
      </sheetData>
      <sheetData sheetId="4724">
        <row r="1">
          <cell r="A1" t="str">
            <v>1월 생산실적</v>
          </cell>
        </row>
      </sheetData>
      <sheetData sheetId="4725">
        <row r="1">
          <cell r="A1" t="str">
            <v>1월 생산실적</v>
          </cell>
        </row>
      </sheetData>
      <sheetData sheetId="4726">
        <row r="1">
          <cell r="A1" t="str">
            <v>1월 생산실적</v>
          </cell>
        </row>
      </sheetData>
      <sheetData sheetId="4727">
        <row r="1">
          <cell r="A1" t="str">
            <v>1월 생산실적</v>
          </cell>
        </row>
      </sheetData>
      <sheetData sheetId="4728">
        <row r="1">
          <cell r="A1" t="str">
            <v>1월 생산실적</v>
          </cell>
        </row>
      </sheetData>
      <sheetData sheetId="4729">
        <row r="1">
          <cell r="A1" t="str">
            <v>1월 생산실적</v>
          </cell>
        </row>
      </sheetData>
      <sheetData sheetId="4730">
        <row r="1">
          <cell r="A1" t="str">
            <v>1월 생산실적</v>
          </cell>
        </row>
      </sheetData>
      <sheetData sheetId="4731">
        <row r="1">
          <cell r="A1" t="str">
            <v>1월 생산실적</v>
          </cell>
        </row>
      </sheetData>
      <sheetData sheetId="4732">
        <row r="1">
          <cell r="A1" t="str">
            <v>1월 생산실적</v>
          </cell>
        </row>
      </sheetData>
      <sheetData sheetId="4733">
        <row r="1">
          <cell r="A1" t="str">
            <v>1월 생산실적</v>
          </cell>
        </row>
      </sheetData>
      <sheetData sheetId="4734">
        <row r="1">
          <cell r="A1" t="str">
            <v>1월 생산실적</v>
          </cell>
        </row>
      </sheetData>
      <sheetData sheetId="4735">
        <row r="1">
          <cell r="A1" t="str">
            <v>1월 생산실적</v>
          </cell>
        </row>
      </sheetData>
      <sheetData sheetId="4736">
        <row r="1">
          <cell r="A1" t="str">
            <v>1월 생산실적</v>
          </cell>
        </row>
      </sheetData>
      <sheetData sheetId="4737">
        <row r="1">
          <cell r="A1" t="str">
            <v>1월 생산실적</v>
          </cell>
        </row>
      </sheetData>
      <sheetData sheetId="4738">
        <row r="1">
          <cell r="A1" t="str">
            <v>1월 생산실적</v>
          </cell>
        </row>
      </sheetData>
      <sheetData sheetId="4739">
        <row r="1">
          <cell r="A1" t="str">
            <v>1월 생산실적</v>
          </cell>
        </row>
      </sheetData>
      <sheetData sheetId="4740">
        <row r="1">
          <cell r="A1" t="str">
            <v>1월 생산실적</v>
          </cell>
        </row>
      </sheetData>
      <sheetData sheetId="4741">
        <row r="1">
          <cell r="A1" t="str">
            <v>1월 생산실적</v>
          </cell>
        </row>
      </sheetData>
      <sheetData sheetId="4742">
        <row r="1">
          <cell r="A1" t="str">
            <v>1월 생산실적</v>
          </cell>
        </row>
      </sheetData>
      <sheetData sheetId="4743">
        <row r="1">
          <cell r="A1" t="str">
            <v>1월 생산실적</v>
          </cell>
        </row>
      </sheetData>
      <sheetData sheetId="4744">
        <row r="1">
          <cell r="A1" t="str">
            <v>1월 생산실적</v>
          </cell>
        </row>
      </sheetData>
      <sheetData sheetId="4745">
        <row r="1">
          <cell r="A1" t="str">
            <v>1월 생산실적</v>
          </cell>
        </row>
      </sheetData>
      <sheetData sheetId="4746">
        <row r="1">
          <cell r="A1" t="str">
            <v>1월 생산실적</v>
          </cell>
        </row>
      </sheetData>
      <sheetData sheetId="4747">
        <row r="1">
          <cell r="A1" t="str">
            <v>1월 생산실적</v>
          </cell>
        </row>
      </sheetData>
      <sheetData sheetId="4748">
        <row r="1">
          <cell r="A1" t="str">
            <v>1월 생산실적</v>
          </cell>
        </row>
      </sheetData>
      <sheetData sheetId="4749">
        <row r="1">
          <cell r="A1" t="str">
            <v>1월 생산실적</v>
          </cell>
        </row>
      </sheetData>
      <sheetData sheetId="4750">
        <row r="1">
          <cell r="A1" t="str">
            <v>1월 생산실적</v>
          </cell>
        </row>
      </sheetData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>
        <row r="1">
          <cell r="A1" t="str">
            <v>1월 생산실적</v>
          </cell>
        </row>
      </sheetData>
      <sheetData sheetId="4864">
        <row r="1">
          <cell r="A1" t="str">
            <v>1월 생산실적</v>
          </cell>
        </row>
      </sheetData>
      <sheetData sheetId="4865">
        <row r="1">
          <cell r="A1" t="str">
            <v>1월 생산실적</v>
          </cell>
        </row>
      </sheetData>
      <sheetData sheetId="4866" refreshError="1"/>
      <sheetData sheetId="4867">
        <row r="1">
          <cell r="A1" t="str">
            <v>1월 생산실적</v>
          </cell>
        </row>
      </sheetData>
      <sheetData sheetId="4868" refreshError="1"/>
      <sheetData sheetId="4869" refreshError="1"/>
      <sheetData sheetId="4870">
        <row r="1">
          <cell r="A1" t="str">
            <v>1월 생산실적</v>
          </cell>
        </row>
      </sheetData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>
        <row r="1">
          <cell r="A1" t="str">
            <v>1월 생산실적</v>
          </cell>
        </row>
      </sheetData>
      <sheetData sheetId="4884">
        <row r="1">
          <cell r="A1" t="str">
            <v>1월 생산실적</v>
          </cell>
        </row>
      </sheetData>
      <sheetData sheetId="4885">
        <row r="1">
          <cell r="A1" t="str">
            <v>1월 생산실적</v>
          </cell>
        </row>
      </sheetData>
      <sheetData sheetId="4886">
        <row r="1">
          <cell r="A1" t="str">
            <v>1월 생산실적</v>
          </cell>
        </row>
      </sheetData>
      <sheetData sheetId="4887">
        <row r="1">
          <cell r="A1" t="str">
            <v>1월 생산실적</v>
          </cell>
        </row>
      </sheetData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>
        <row r="1">
          <cell r="A1" t="str">
            <v>1월 생산실적</v>
          </cell>
        </row>
      </sheetData>
      <sheetData sheetId="4901">
        <row r="1">
          <cell r="A1" t="str">
            <v>1월 생산실적</v>
          </cell>
        </row>
      </sheetData>
      <sheetData sheetId="4902">
        <row r="1">
          <cell r="A1" t="str">
            <v>1월 생산실적</v>
          </cell>
        </row>
      </sheetData>
      <sheetData sheetId="4903">
        <row r="1">
          <cell r="A1" t="str">
            <v>1월 생산실적</v>
          </cell>
        </row>
      </sheetData>
      <sheetData sheetId="4904">
        <row r="1">
          <cell r="A1" t="str">
            <v>1월 생산실적</v>
          </cell>
        </row>
      </sheetData>
      <sheetData sheetId="4905">
        <row r="1">
          <cell r="A1" t="str">
            <v>1월 생산실적</v>
          </cell>
        </row>
      </sheetData>
      <sheetData sheetId="4906" refreshError="1"/>
      <sheetData sheetId="4907">
        <row r="1">
          <cell r="A1" t="str">
            <v>1월 생산실적</v>
          </cell>
        </row>
      </sheetData>
      <sheetData sheetId="4908">
        <row r="1">
          <cell r="A1" t="str">
            <v>1월 생산실적</v>
          </cell>
        </row>
      </sheetData>
      <sheetData sheetId="4909">
        <row r="1">
          <cell r="A1" t="str">
            <v>1월 생산실적</v>
          </cell>
        </row>
      </sheetData>
      <sheetData sheetId="4910">
        <row r="1">
          <cell r="A1" t="str">
            <v>1월 생산실적</v>
          </cell>
        </row>
      </sheetData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>
        <row r="1">
          <cell r="A1" t="str">
            <v>1월 생산실적</v>
          </cell>
        </row>
      </sheetData>
      <sheetData sheetId="4919">
        <row r="1">
          <cell r="A1" t="str">
            <v>1월 생산실적</v>
          </cell>
        </row>
      </sheetData>
      <sheetData sheetId="4920">
        <row r="1">
          <cell r="A1" t="str">
            <v>1월 생산실적</v>
          </cell>
        </row>
      </sheetData>
      <sheetData sheetId="4921" refreshError="1"/>
      <sheetData sheetId="4922">
        <row r="1">
          <cell r="A1" t="str">
            <v>1월 생산실적</v>
          </cell>
        </row>
      </sheetData>
      <sheetData sheetId="4923" refreshError="1"/>
      <sheetData sheetId="4924" refreshError="1"/>
      <sheetData sheetId="4925">
        <row r="1">
          <cell r="A1" t="str">
            <v>1월 생산실적</v>
          </cell>
        </row>
      </sheetData>
      <sheetData sheetId="4926" refreshError="1"/>
      <sheetData sheetId="4927">
        <row r="1">
          <cell r="A1" t="str">
            <v>1월 생산실적</v>
          </cell>
        </row>
      </sheetData>
      <sheetData sheetId="4928">
        <row r="1">
          <cell r="A1" t="str">
            <v>1월 생산실적</v>
          </cell>
        </row>
      </sheetData>
      <sheetData sheetId="4929">
        <row r="1">
          <cell r="A1" t="str">
            <v>1월 생산실적</v>
          </cell>
        </row>
      </sheetData>
      <sheetData sheetId="4930">
        <row r="1">
          <cell r="A1" t="str">
            <v>1월 생산실적</v>
          </cell>
        </row>
      </sheetData>
      <sheetData sheetId="4931">
        <row r="1">
          <cell r="A1" t="str">
            <v>1월 생산실적</v>
          </cell>
        </row>
      </sheetData>
      <sheetData sheetId="4932">
        <row r="1">
          <cell r="A1" t="str">
            <v>1월 생산실적</v>
          </cell>
        </row>
      </sheetData>
      <sheetData sheetId="4933">
        <row r="1">
          <cell r="A1" t="str">
            <v>1월 생산실적</v>
          </cell>
        </row>
      </sheetData>
      <sheetData sheetId="4934">
        <row r="1">
          <cell r="A1" t="str">
            <v>1월 생산실적</v>
          </cell>
        </row>
      </sheetData>
      <sheetData sheetId="4935">
        <row r="1">
          <cell r="A1" t="str">
            <v>1월 생산실적</v>
          </cell>
        </row>
      </sheetData>
      <sheetData sheetId="4936">
        <row r="1">
          <cell r="A1" t="str">
            <v>1월 생산실적</v>
          </cell>
        </row>
      </sheetData>
      <sheetData sheetId="4937">
        <row r="1">
          <cell r="A1" t="str">
            <v>1월 생산실적</v>
          </cell>
        </row>
      </sheetData>
      <sheetData sheetId="4938">
        <row r="1">
          <cell r="A1" t="str">
            <v>1월 생산실적</v>
          </cell>
        </row>
      </sheetData>
      <sheetData sheetId="4939">
        <row r="1">
          <cell r="A1" t="str">
            <v>1월 생산실적</v>
          </cell>
        </row>
      </sheetData>
      <sheetData sheetId="4940">
        <row r="1">
          <cell r="A1" t="str">
            <v>1월 생산실적</v>
          </cell>
        </row>
      </sheetData>
      <sheetData sheetId="4941">
        <row r="1">
          <cell r="A1" t="str">
            <v>1월 생산실적</v>
          </cell>
        </row>
      </sheetData>
      <sheetData sheetId="4942">
        <row r="1">
          <cell r="A1" t="str">
            <v>1월 생산실적</v>
          </cell>
        </row>
      </sheetData>
      <sheetData sheetId="4943">
        <row r="1">
          <cell r="A1" t="str">
            <v>1월 생산실적</v>
          </cell>
        </row>
      </sheetData>
      <sheetData sheetId="4944">
        <row r="1">
          <cell r="A1" t="str">
            <v>1월 생산실적</v>
          </cell>
        </row>
      </sheetData>
      <sheetData sheetId="4945">
        <row r="1">
          <cell r="A1" t="str">
            <v>1월 생산실적</v>
          </cell>
        </row>
      </sheetData>
      <sheetData sheetId="4946">
        <row r="1">
          <cell r="A1" t="str">
            <v>1월 생산실적</v>
          </cell>
        </row>
      </sheetData>
      <sheetData sheetId="4947">
        <row r="1">
          <cell r="A1" t="str">
            <v>1월 생산실적</v>
          </cell>
        </row>
      </sheetData>
      <sheetData sheetId="4948">
        <row r="1">
          <cell r="A1" t="str">
            <v>1월 생산실적</v>
          </cell>
        </row>
      </sheetData>
      <sheetData sheetId="4949">
        <row r="1">
          <cell r="A1" t="str">
            <v>1월 생산실적</v>
          </cell>
        </row>
      </sheetData>
      <sheetData sheetId="4950">
        <row r="1">
          <cell r="A1" t="str">
            <v>1월 생산실적</v>
          </cell>
        </row>
      </sheetData>
      <sheetData sheetId="4951">
        <row r="1">
          <cell r="A1" t="str">
            <v>1월 생산실적</v>
          </cell>
        </row>
      </sheetData>
      <sheetData sheetId="4952">
        <row r="1">
          <cell r="A1" t="str">
            <v>1월 생산실적</v>
          </cell>
        </row>
      </sheetData>
      <sheetData sheetId="4953">
        <row r="1">
          <cell r="A1" t="str">
            <v>1월 생산실적</v>
          </cell>
        </row>
      </sheetData>
      <sheetData sheetId="4954">
        <row r="1">
          <cell r="A1" t="str">
            <v>1월 생산실적</v>
          </cell>
        </row>
      </sheetData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>
        <row r="1">
          <cell r="A1" t="str">
            <v>1월 생산실적</v>
          </cell>
        </row>
      </sheetData>
      <sheetData sheetId="4968">
        <row r="1">
          <cell r="A1" t="str">
            <v>1월 생산실적</v>
          </cell>
        </row>
      </sheetData>
      <sheetData sheetId="4969">
        <row r="1">
          <cell r="A1" t="str">
            <v>1월 생산실적</v>
          </cell>
        </row>
      </sheetData>
      <sheetData sheetId="4970">
        <row r="1">
          <cell r="A1" t="str">
            <v>1월 생산실적</v>
          </cell>
        </row>
      </sheetData>
      <sheetData sheetId="4971">
        <row r="1">
          <cell r="A1" t="str">
            <v>1월 생산실적</v>
          </cell>
        </row>
      </sheetData>
      <sheetData sheetId="4972">
        <row r="1">
          <cell r="A1" t="str">
            <v>1월 생산실적</v>
          </cell>
        </row>
      </sheetData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>
        <row r="1">
          <cell r="A1" t="str">
            <v>1월 생산실적</v>
          </cell>
        </row>
      </sheetData>
      <sheetData sheetId="4986">
        <row r="1">
          <cell r="A1" t="str">
            <v>1월 생산실적</v>
          </cell>
        </row>
      </sheetData>
      <sheetData sheetId="4987">
        <row r="1">
          <cell r="A1" t="str">
            <v>1월 생산실적</v>
          </cell>
        </row>
      </sheetData>
      <sheetData sheetId="4988">
        <row r="1">
          <cell r="A1" t="str">
            <v>1월 생산실적</v>
          </cell>
        </row>
      </sheetData>
      <sheetData sheetId="4989">
        <row r="1">
          <cell r="A1" t="str">
            <v>1월 생산실적</v>
          </cell>
        </row>
      </sheetData>
      <sheetData sheetId="4990" refreshError="1"/>
      <sheetData sheetId="4991" refreshError="1"/>
      <sheetData sheetId="4992">
        <row r="1">
          <cell r="A1" t="str">
            <v>1월 생산실적</v>
          </cell>
        </row>
      </sheetData>
      <sheetData sheetId="4993" refreshError="1"/>
      <sheetData sheetId="4994">
        <row r="1">
          <cell r="A1" t="str">
            <v>1월 생산실적</v>
          </cell>
        </row>
      </sheetData>
      <sheetData sheetId="4995">
        <row r="1">
          <cell r="A1" t="str">
            <v>1월 생산실적</v>
          </cell>
        </row>
      </sheetData>
      <sheetData sheetId="4996">
        <row r="1">
          <cell r="A1" t="str">
            <v>1월 생산실적</v>
          </cell>
        </row>
      </sheetData>
      <sheetData sheetId="4997">
        <row r="1">
          <cell r="A1" t="str">
            <v>1월 생산실적</v>
          </cell>
        </row>
      </sheetData>
      <sheetData sheetId="4998">
        <row r="1">
          <cell r="A1" t="str">
            <v>1월 생산실적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>
        <row r="1">
          <cell r="A1" t="str">
            <v>1월 생산실적</v>
          </cell>
        </row>
      </sheetData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>
        <row r="1">
          <cell r="A1" t="str">
            <v>1월 생산실적</v>
          </cell>
        </row>
      </sheetData>
      <sheetData sheetId="5033">
        <row r="1">
          <cell r="A1" t="str">
            <v>1월 생산실적</v>
          </cell>
        </row>
      </sheetData>
      <sheetData sheetId="5034">
        <row r="1">
          <cell r="A1" t="str">
            <v>1월 생산실적</v>
          </cell>
        </row>
      </sheetData>
      <sheetData sheetId="5035">
        <row r="1">
          <cell r="A1" t="str">
            <v>1월 생산실적</v>
          </cell>
        </row>
      </sheetData>
      <sheetData sheetId="5036" refreshError="1"/>
      <sheetData sheetId="5037">
        <row r="1">
          <cell r="A1" t="str">
            <v>1월 생산실적</v>
          </cell>
        </row>
      </sheetData>
      <sheetData sheetId="5038">
        <row r="1">
          <cell r="A1" t="str">
            <v>1월 생산실적</v>
          </cell>
        </row>
      </sheetData>
      <sheetData sheetId="5039">
        <row r="1">
          <cell r="A1" t="str">
            <v>1월 생산실적</v>
          </cell>
        </row>
      </sheetData>
      <sheetData sheetId="5040">
        <row r="1">
          <cell r="A1" t="str">
            <v>1월 생산실적</v>
          </cell>
        </row>
      </sheetData>
      <sheetData sheetId="5041">
        <row r="1">
          <cell r="A1" t="str">
            <v>1월 생산실적</v>
          </cell>
        </row>
      </sheetData>
      <sheetData sheetId="5042">
        <row r="1">
          <cell r="A1" t="str">
            <v>1월 생산실적</v>
          </cell>
        </row>
      </sheetData>
      <sheetData sheetId="5043">
        <row r="1">
          <cell r="A1" t="str">
            <v>1월 생산실적</v>
          </cell>
        </row>
      </sheetData>
      <sheetData sheetId="5044">
        <row r="1">
          <cell r="A1" t="str">
            <v>1월 생산실적</v>
          </cell>
        </row>
      </sheetData>
      <sheetData sheetId="5045">
        <row r="1">
          <cell r="A1" t="str">
            <v>1월 생산실적</v>
          </cell>
        </row>
      </sheetData>
      <sheetData sheetId="5046">
        <row r="1">
          <cell r="A1" t="str">
            <v>1월 생산실적</v>
          </cell>
        </row>
      </sheetData>
      <sheetData sheetId="5047">
        <row r="1">
          <cell r="A1" t="str">
            <v>1월 생산실적</v>
          </cell>
        </row>
      </sheetData>
      <sheetData sheetId="5048">
        <row r="1">
          <cell r="A1" t="str">
            <v>1월 생산실적</v>
          </cell>
        </row>
      </sheetData>
      <sheetData sheetId="5049">
        <row r="1">
          <cell r="A1" t="str">
            <v>1월 생산실적</v>
          </cell>
        </row>
      </sheetData>
      <sheetData sheetId="5050">
        <row r="1">
          <cell r="A1" t="str">
            <v>1월 생산실적</v>
          </cell>
        </row>
      </sheetData>
      <sheetData sheetId="5051">
        <row r="1">
          <cell r="A1" t="str">
            <v>1월 생산실적</v>
          </cell>
        </row>
      </sheetData>
      <sheetData sheetId="5052">
        <row r="1">
          <cell r="A1" t="str">
            <v>1월 생산실적</v>
          </cell>
        </row>
      </sheetData>
      <sheetData sheetId="5053">
        <row r="1">
          <cell r="A1" t="str">
            <v>1월 생산실적</v>
          </cell>
        </row>
      </sheetData>
      <sheetData sheetId="5054">
        <row r="1">
          <cell r="A1" t="str">
            <v>1월 생산실적</v>
          </cell>
        </row>
      </sheetData>
      <sheetData sheetId="5055">
        <row r="1">
          <cell r="A1" t="str">
            <v>1월 생산실적</v>
          </cell>
        </row>
      </sheetData>
      <sheetData sheetId="5056">
        <row r="1">
          <cell r="A1" t="str">
            <v>1월 생산실적</v>
          </cell>
        </row>
      </sheetData>
      <sheetData sheetId="5057">
        <row r="1">
          <cell r="A1" t="str">
            <v>1월 생산실적</v>
          </cell>
        </row>
      </sheetData>
      <sheetData sheetId="5058">
        <row r="1">
          <cell r="A1" t="str">
            <v>1월 생산실적</v>
          </cell>
        </row>
      </sheetData>
      <sheetData sheetId="5059">
        <row r="1">
          <cell r="A1" t="str">
            <v>1월 생산실적</v>
          </cell>
        </row>
      </sheetData>
      <sheetData sheetId="5060">
        <row r="1">
          <cell r="A1" t="str">
            <v>1월 생산실적</v>
          </cell>
        </row>
      </sheetData>
      <sheetData sheetId="5061">
        <row r="1">
          <cell r="A1" t="str">
            <v>1월 생산실적</v>
          </cell>
        </row>
      </sheetData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>
        <row r="1">
          <cell r="A1" t="str">
            <v>1월 생산실적</v>
          </cell>
        </row>
      </sheetData>
      <sheetData sheetId="5140">
        <row r="1">
          <cell r="A1" t="str">
            <v>1월 생산실적</v>
          </cell>
        </row>
      </sheetData>
      <sheetData sheetId="5141">
        <row r="1">
          <cell r="A1" t="str">
            <v>1월 생산실적</v>
          </cell>
        </row>
      </sheetData>
      <sheetData sheetId="5142">
        <row r="1">
          <cell r="A1" t="str">
            <v>1월 생산실적</v>
          </cell>
        </row>
      </sheetData>
      <sheetData sheetId="5143">
        <row r="1">
          <cell r="A1" t="str">
            <v>1월 생산실적</v>
          </cell>
        </row>
      </sheetData>
      <sheetData sheetId="5144">
        <row r="1">
          <cell r="A1" t="str">
            <v>1월 생산실적</v>
          </cell>
        </row>
      </sheetData>
      <sheetData sheetId="5145">
        <row r="1">
          <cell r="A1" t="str">
            <v>1월 생산실적</v>
          </cell>
        </row>
      </sheetData>
      <sheetData sheetId="5146">
        <row r="1">
          <cell r="A1" t="str">
            <v>1월 생산실적</v>
          </cell>
        </row>
      </sheetData>
      <sheetData sheetId="5147">
        <row r="1">
          <cell r="A1" t="str">
            <v>1월 생산실적</v>
          </cell>
        </row>
      </sheetData>
      <sheetData sheetId="5148">
        <row r="1">
          <cell r="A1" t="str">
            <v>1월 생산실적</v>
          </cell>
        </row>
      </sheetData>
      <sheetData sheetId="5149">
        <row r="1">
          <cell r="A1" t="str">
            <v>1월 생산실적</v>
          </cell>
        </row>
      </sheetData>
      <sheetData sheetId="5150">
        <row r="1">
          <cell r="A1" t="str">
            <v>1월 생산실적</v>
          </cell>
        </row>
      </sheetData>
      <sheetData sheetId="5151">
        <row r="1">
          <cell r="A1" t="str">
            <v>1월 생산실적</v>
          </cell>
        </row>
      </sheetData>
      <sheetData sheetId="5152">
        <row r="1">
          <cell r="A1" t="str">
            <v>1월 생산실적</v>
          </cell>
        </row>
      </sheetData>
      <sheetData sheetId="5153">
        <row r="1">
          <cell r="A1" t="str">
            <v>1월 생산실적</v>
          </cell>
        </row>
      </sheetData>
      <sheetData sheetId="5154">
        <row r="1">
          <cell r="A1" t="str">
            <v>1월 생산실적</v>
          </cell>
        </row>
      </sheetData>
      <sheetData sheetId="5155">
        <row r="1">
          <cell r="A1" t="str">
            <v>1월 생산실적</v>
          </cell>
        </row>
      </sheetData>
      <sheetData sheetId="5156">
        <row r="1">
          <cell r="A1" t="str">
            <v>1월 생산실적</v>
          </cell>
        </row>
      </sheetData>
      <sheetData sheetId="5157">
        <row r="1">
          <cell r="A1" t="str">
            <v>1월 생산실적</v>
          </cell>
        </row>
      </sheetData>
      <sheetData sheetId="5158">
        <row r="1">
          <cell r="A1" t="str">
            <v>1월 생산실적</v>
          </cell>
        </row>
      </sheetData>
      <sheetData sheetId="5159">
        <row r="1">
          <cell r="A1" t="str">
            <v>1월 생산실적</v>
          </cell>
        </row>
      </sheetData>
      <sheetData sheetId="5160">
        <row r="1">
          <cell r="A1" t="str">
            <v>1월 생산실적</v>
          </cell>
        </row>
      </sheetData>
      <sheetData sheetId="5161">
        <row r="1">
          <cell r="A1" t="str">
            <v>1월 생산실적</v>
          </cell>
        </row>
      </sheetData>
      <sheetData sheetId="5162">
        <row r="1">
          <cell r="A1" t="str">
            <v>1월 생산실적</v>
          </cell>
        </row>
      </sheetData>
      <sheetData sheetId="5163">
        <row r="1">
          <cell r="A1" t="str">
            <v>1월 생산실적</v>
          </cell>
        </row>
      </sheetData>
      <sheetData sheetId="5164">
        <row r="1">
          <cell r="A1" t="str">
            <v>1월 생산실적</v>
          </cell>
        </row>
      </sheetData>
      <sheetData sheetId="5165">
        <row r="1">
          <cell r="A1" t="str">
            <v>1월 생산실적</v>
          </cell>
        </row>
      </sheetData>
      <sheetData sheetId="5166">
        <row r="1">
          <cell r="A1" t="str">
            <v>1월 생산실적</v>
          </cell>
        </row>
      </sheetData>
      <sheetData sheetId="5167">
        <row r="1">
          <cell r="A1" t="str">
            <v>1월 생산실적</v>
          </cell>
        </row>
      </sheetData>
      <sheetData sheetId="5168">
        <row r="1">
          <cell r="A1" t="str">
            <v>1월 생산실적</v>
          </cell>
        </row>
      </sheetData>
      <sheetData sheetId="5169">
        <row r="1">
          <cell r="A1" t="str">
            <v>1월 생산실적</v>
          </cell>
        </row>
      </sheetData>
      <sheetData sheetId="5170">
        <row r="1">
          <cell r="A1" t="str">
            <v>1월 생산실적</v>
          </cell>
        </row>
      </sheetData>
      <sheetData sheetId="5171">
        <row r="1">
          <cell r="A1" t="str">
            <v>1월 생산실적</v>
          </cell>
        </row>
      </sheetData>
      <sheetData sheetId="5172">
        <row r="1">
          <cell r="A1" t="str">
            <v>1월 생산실적</v>
          </cell>
        </row>
      </sheetData>
      <sheetData sheetId="5173">
        <row r="1">
          <cell r="A1" t="str">
            <v>1월 생산실적</v>
          </cell>
        </row>
      </sheetData>
      <sheetData sheetId="5174">
        <row r="1">
          <cell r="A1" t="str">
            <v>1월 생산실적</v>
          </cell>
        </row>
      </sheetData>
      <sheetData sheetId="5175">
        <row r="1">
          <cell r="A1" t="str">
            <v>1월 생산실적</v>
          </cell>
        </row>
      </sheetData>
      <sheetData sheetId="5176">
        <row r="1">
          <cell r="A1" t="str">
            <v>1월 생산실적</v>
          </cell>
        </row>
      </sheetData>
      <sheetData sheetId="5177">
        <row r="1">
          <cell r="A1" t="str">
            <v>1월 생산실적</v>
          </cell>
        </row>
      </sheetData>
      <sheetData sheetId="5178">
        <row r="1">
          <cell r="A1" t="str">
            <v>1월 생산실적</v>
          </cell>
        </row>
      </sheetData>
      <sheetData sheetId="5179">
        <row r="1">
          <cell r="A1" t="str">
            <v>1월 생산실적</v>
          </cell>
        </row>
      </sheetData>
      <sheetData sheetId="5180">
        <row r="1">
          <cell r="A1" t="str">
            <v>1월 생산실적</v>
          </cell>
        </row>
      </sheetData>
      <sheetData sheetId="5181">
        <row r="1">
          <cell r="A1" t="str">
            <v>1월 생산실적</v>
          </cell>
        </row>
      </sheetData>
      <sheetData sheetId="5182">
        <row r="1">
          <cell r="A1" t="str">
            <v>1월 생산실적</v>
          </cell>
        </row>
      </sheetData>
      <sheetData sheetId="5183">
        <row r="1">
          <cell r="A1" t="str">
            <v>1월 생산실적</v>
          </cell>
        </row>
      </sheetData>
      <sheetData sheetId="5184">
        <row r="1">
          <cell r="A1" t="str">
            <v>1월 생산실적</v>
          </cell>
        </row>
      </sheetData>
      <sheetData sheetId="5185">
        <row r="1">
          <cell r="A1" t="str">
            <v>1월 생산실적</v>
          </cell>
        </row>
      </sheetData>
      <sheetData sheetId="5186">
        <row r="1">
          <cell r="A1" t="str">
            <v>1월 생산실적</v>
          </cell>
        </row>
      </sheetData>
      <sheetData sheetId="5187">
        <row r="1">
          <cell r="A1" t="str">
            <v>1월 생산실적</v>
          </cell>
        </row>
      </sheetData>
      <sheetData sheetId="5188">
        <row r="1">
          <cell r="A1" t="str">
            <v>1월 생산실적</v>
          </cell>
        </row>
      </sheetData>
      <sheetData sheetId="5189">
        <row r="1">
          <cell r="A1" t="str">
            <v>1월 생산실적</v>
          </cell>
        </row>
      </sheetData>
      <sheetData sheetId="5190">
        <row r="1">
          <cell r="A1" t="str">
            <v>1월 생산실적</v>
          </cell>
        </row>
      </sheetData>
      <sheetData sheetId="5191">
        <row r="1">
          <cell r="A1" t="str">
            <v>1월 생산실적</v>
          </cell>
        </row>
      </sheetData>
      <sheetData sheetId="5192">
        <row r="1">
          <cell r="A1" t="str">
            <v>1월 생산실적</v>
          </cell>
        </row>
      </sheetData>
      <sheetData sheetId="5193">
        <row r="1">
          <cell r="A1" t="str">
            <v>1월 생산실적</v>
          </cell>
        </row>
      </sheetData>
      <sheetData sheetId="5194">
        <row r="1">
          <cell r="A1" t="str">
            <v>1월 생산실적</v>
          </cell>
        </row>
      </sheetData>
      <sheetData sheetId="5195">
        <row r="1">
          <cell r="A1" t="str">
            <v>1월 생산실적</v>
          </cell>
        </row>
      </sheetData>
      <sheetData sheetId="5196">
        <row r="1">
          <cell r="A1" t="str">
            <v>1월 생산실적</v>
          </cell>
        </row>
      </sheetData>
      <sheetData sheetId="5197">
        <row r="1">
          <cell r="A1" t="str">
            <v>1월 생산실적</v>
          </cell>
        </row>
      </sheetData>
      <sheetData sheetId="5198">
        <row r="1">
          <cell r="A1" t="str">
            <v>1월 생산실적</v>
          </cell>
        </row>
      </sheetData>
      <sheetData sheetId="5199">
        <row r="1">
          <cell r="A1" t="str">
            <v>1월 생산실적</v>
          </cell>
        </row>
      </sheetData>
      <sheetData sheetId="5200">
        <row r="1">
          <cell r="A1" t="str">
            <v>1월 생산실적</v>
          </cell>
        </row>
      </sheetData>
      <sheetData sheetId="5201">
        <row r="1">
          <cell r="A1" t="str">
            <v>1월 생산실적</v>
          </cell>
        </row>
      </sheetData>
      <sheetData sheetId="5202">
        <row r="1">
          <cell r="A1" t="str">
            <v>1월 생산실적</v>
          </cell>
        </row>
      </sheetData>
      <sheetData sheetId="5203">
        <row r="1">
          <cell r="A1" t="str">
            <v>1월 생산실적</v>
          </cell>
        </row>
      </sheetData>
      <sheetData sheetId="5204">
        <row r="1">
          <cell r="A1" t="str">
            <v>1월 생산실적</v>
          </cell>
        </row>
      </sheetData>
      <sheetData sheetId="5205">
        <row r="1">
          <cell r="A1" t="str">
            <v>1월 생산실적</v>
          </cell>
        </row>
      </sheetData>
      <sheetData sheetId="5206">
        <row r="1">
          <cell r="A1" t="str">
            <v>1월 생산실적</v>
          </cell>
        </row>
      </sheetData>
      <sheetData sheetId="5207">
        <row r="1">
          <cell r="A1" t="str">
            <v>1월 생산실적</v>
          </cell>
        </row>
      </sheetData>
      <sheetData sheetId="5208">
        <row r="1">
          <cell r="A1" t="str">
            <v>1월 생산실적</v>
          </cell>
        </row>
      </sheetData>
      <sheetData sheetId="5209">
        <row r="1">
          <cell r="A1" t="str">
            <v>1월 생산실적</v>
          </cell>
        </row>
      </sheetData>
      <sheetData sheetId="5210">
        <row r="1">
          <cell r="A1" t="str">
            <v>1월 생산실적</v>
          </cell>
        </row>
      </sheetData>
      <sheetData sheetId="5211">
        <row r="1">
          <cell r="A1" t="str">
            <v>1월 생산실적</v>
          </cell>
        </row>
      </sheetData>
      <sheetData sheetId="5212">
        <row r="1">
          <cell r="A1" t="str">
            <v>1월 생산실적</v>
          </cell>
        </row>
      </sheetData>
      <sheetData sheetId="5213">
        <row r="1">
          <cell r="A1" t="str">
            <v>1월 생산실적</v>
          </cell>
        </row>
      </sheetData>
      <sheetData sheetId="5214">
        <row r="1">
          <cell r="A1" t="str">
            <v>1월 생산실적</v>
          </cell>
        </row>
      </sheetData>
      <sheetData sheetId="5215">
        <row r="1">
          <cell r="A1" t="str">
            <v>1월 생산실적</v>
          </cell>
        </row>
      </sheetData>
      <sheetData sheetId="5216">
        <row r="1">
          <cell r="A1" t="str">
            <v>1월 생산실적</v>
          </cell>
        </row>
      </sheetData>
      <sheetData sheetId="5217">
        <row r="1">
          <cell r="A1" t="str">
            <v>1월 생산실적</v>
          </cell>
        </row>
      </sheetData>
      <sheetData sheetId="5218">
        <row r="1">
          <cell r="A1" t="str">
            <v>1월 생산실적</v>
          </cell>
        </row>
      </sheetData>
      <sheetData sheetId="5219">
        <row r="1">
          <cell r="A1" t="str">
            <v>1월 생산실적</v>
          </cell>
        </row>
      </sheetData>
      <sheetData sheetId="5220">
        <row r="1">
          <cell r="A1" t="str">
            <v>1월 생산실적</v>
          </cell>
        </row>
      </sheetData>
      <sheetData sheetId="5221">
        <row r="1">
          <cell r="A1" t="str">
            <v>1월 생산실적</v>
          </cell>
        </row>
      </sheetData>
      <sheetData sheetId="5222">
        <row r="1">
          <cell r="A1" t="str">
            <v>1월 생산실적</v>
          </cell>
        </row>
      </sheetData>
      <sheetData sheetId="5223">
        <row r="1">
          <cell r="A1" t="str">
            <v>1월 생산실적</v>
          </cell>
        </row>
      </sheetData>
      <sheetData sheetId="5224">
        <row r="1">
          <cell r="A1" t="str">
            <v>1월 생산실적</v>
          </cell>
        </row>
      </sheetData>
      <sheetData sheetId="5225">
        <row r="1">
          <cell r="A1" t="str">
            <v>1월 생산실적</v>
          </cell>
        </row>
      </sheetData>
      <sheetData sheetId="5226">
        <row r="1">
          <cell r="A1" t="str">
            <v>1월 생산실적</v>
          </cell>
        </row>
      </sheetData>
      <sheetData sheetId="5227">
        <row r="1">
          <cell r="A1" t="str">
            <v>1월 생산실적</v>
          </cell>
        </row>
      </sheetData>
      <sheetData sheetId="5228">
        <row r="1">
          <cell r="A1" t="str">
            <v>1월 생산실적</v>
          </cell>
        </row>
      </sheetData>
      <sheetData sheetId="5229">
        <row r="1">
          <cell r="A1" t="str">
            <v>1월 생산실적</v>
          </cell>
        </row>
      </sheetData>
      <sheetData sheetId="5230">
        <row r="1">
          <cell r="A1" t="str">
            <v>1월 생산실적</v>
          </cell>
        </row>
      </sheetData>
      <sheetData sheetId="5231">
        <row r="1">
          <cell r="A1" t="str">
            <v>1월 생산실적</v>
          </cell>
        </row>
      </sheetData>
      <sheetData sheetId="5232">
        <row r="1">
          <cell r="A1" t="str">
            <v>1월 생산실적</v>
          </cell>
        </row>
      </sheetData>
      <sheetData sheetId="5233">
        <row r="1">
          <cell r="A1" t="str">
            <v>1월 생산실적</v>
          </cell>
        </row>
      </sheetData>
      <sheetData sheetId="5234">
        <row r="1">
          <cell r="A1" t="str">
            <v>1월 생산실적</v>
          </cell>
        </row>
      </sheetData>
      <sheetData sheetId="5235">
        <row r="1">
          <cell r="A1" t="str">
            <v>1월 생산실적</v>
          </cell>
        </row>
      </sheetData>
      <sheetData sheetId="5236">
        <row r="1">
          <cell r="A1" t="str">
            <v>1월 생산실적</v>
          </cell>
        </row>
      </sheetData>
      <sheetData sheetId="5237">
        <row r="1">
          <cell r="A1" t="str">
            <v>1월 생산실적</v>
          </cell>
        </row>
      </sheetData>
      <sheetData sheetId="5238">
        <row r="1">
          <cell r="A1" t="str">
            <v>1월 생산실적</v>
          </cell>
        </row>
      </sheetData>
      <sheetData sheetId="5239">
        <row r="1">
          <cell r="A1" t="str">
            <v>1월 생산실적</v>
          </cell>
        </row>
      </sheetData>
      <sheetData sheetId="5240">
        <row r="1">
          <cell r="A1" t="str">
            <v>1월 생산실적</v>
          </cell>
        </row>
      </sheetData>
      <sheetData sheetId="5241">
        <row r="1">
          <cell r="A1" t="str">
            <v>1월 생산실적</v>
          </cell>
        </row>
      </sheetData>
      <sheetData sheetId="5242">
        <row r="1">
          <cell r="A1" t="str">
            <v>1월 생산실적</v>
          </cell>
        </row>
      </sheetData>
      <sheetData sheetId="5243">
        <row r="1">
          <cell r="A1" t="str">
            <v>1월 생산실적</v>
          </cell>
        </row>
      </sheetData>
      <sheetData sheetId="5244">
        <row r="1">
          <cell r="A1" t="str">
            <v>1월 생산실적</v>
          </cell>
        </row>
      </sheetData>
      <sheetData sheetId="5245">
        <row r="1">
          <cell r="A1" t="str">
            <v>1월 생산실적</v>
          </cell>
        </row>
      </sheetData>
      <sheetData sheetId="5246">
        <row r="1">
          <cell r="A1" t="str">
            <v>1월 생산실적</v>
          </cell>
        </row>
      </sheetData>
      <sheetData sheetId="5247">
        <row r="1">
          <cell r="A1" t="str">
            <v>1월 생산실적</v>
          </cell>
        </row>
      </sheetData>
      <sheetData sheetId="5248">
        <row r="1">
          <cell r="A1" t="str">
            <v>1월 생산실적</v>
          </cell>
        </row>
      </sheetData>
      <sheetData sheetId="5249">
        <row r="1">
          <cell r="A1" t="str">
            <v>1월 생산실적</v>
          </cell>
        </row>
      </sheetData>
      <sheetData sheetId="5250">
        <row r="1">
          <cell r="A1" t="str">
            <v>1월 생산실적</v>
          </cell>
        </row>
      </sheetData>
      <sheetData sheetId="5251">
        <row r="1">
          <cell r="A1" t="str">
            <v>1월 생산실적</v>
          </cell>
        </row>
      </sheetData>
      <sheetData sheetId="5252">
        <row r="1">
          <cell r="A1" t="str">
            <v>1월 생산실적</v>
          </cell>
        </row>
      </sheetData>
      <sheetData sheetId="5253">
        <row r="1">
          <cell r="A1" t="str">
            <v>1월 생산실적</v>
          </cell>
        </row>
      </sheetData>
      <sheetData sheetId="5254">
        <row r="1">
          <cell r="A1" t="str">
            <v>1월 생산실적</v>
          </cell>
        </row>
      </sheetData>
      <sheetData sheetId="5255">
        <row r="1">
          <cell r="A1" t="str">
            <v>1월 생산실적</v>
          </cell>
        </row>
      </sheetData>
      <sheetData sheetId="5256">
        <row r="1">
          <cell r="A1" t="str">
            <v>1월 생산실적</v>
          </cell>
        </row>
      </sheetData>
      <sheetData sheetId="5257">
        <row r="1">
          <cell r="A1" t="str">
            <v>1월 생산실적</v>
          </cell>
        </row>
      </sheetData>
      <sheetData sheetId="5258">
        <row r="1">
          <cell r="A1" t="str">
            <v>1월 생산실적</v>
          </cell>
        </row>
      </sheetData>
      <sheetData sheetId="5259">
        <row r="1">
          <cell r="A1" t="str">
            <v>1월 생산실적</v>
          </cell>
        </row>
      </sheetData>
      <sheetData sheetId="5260">
        <row r="1">
          <cell r="A1" t="str">
            <v>1월 생산실적</v>
          </cell>
        </row>
      </sheetData>
      <sheetData sheetId="5261">
        <row r="1">
          <cell r="A1" t="str">
            <v>1월 생산실적</v>
          </cell>
        </row>
      </sheetData>
      <sheetData sheetId="5262">
        <row r="1">
          <cell r="A1" t="str">
            <v>1월 생산실적</v>
          </cell>
        </row>
      </sheetData>
      <sheetData sheetId="5263">
        <row r="1">
          <cell r="A1" t="str">
            <v>1월 생산실적</v>
          </cell>
        </row>
      </sheetData>
      <sheetData sheetId="5264">
        <row r="1">
          <cell r="A1" t="str">
            <v>1월 생산실적</v>
          </cell>
        </row>
      </sheetData>
      <sheetData sheetId="5265">
        <row r="1">
          <cell r="A1" t="str">
            <v>1월 생산실적</v>
          </cell>
        </row>
      </sheetData>
      <sheetData sheetId="5266">
        <row r="1">
          <cell r="A1" t="str">
            <v>1월 생산실적</v>
          </cell>
        </row>
      </sheetData>
      <sheetData sheetId="5267">
        <row r="1">
          <cell r="A1" t="str">
            <v>1월 생산실적</v>
          </cell>
        </row>
      </sheetData>
      <sheetData sheetId="5268">
        <row r="1">
          <cell r="A1" t="str">
            <v>1월 생산실적</v>
          </cell>
        </row>
      </sheetData>
      <sheetData sheetId="5269">
        <row r="1">
          <cell r="A1" t="str">
            <v>1월 생산실적</v>
          </cell>
        </row>
      </sheetData>
      <sheetData sheetId="5270">
        <row r="1">
          <cell r="A1" t="str">
            <v>1월 생산실적</v>
          </cell>
        </row>
      </sheetData>
      <sheetData sheetId="5271">
        <row r="1">
          <cell r="A1" t="str">
            <v>1월 생산실적</v>
          </cell>
        </row>
      </sheetData>
      <sheetData sheetId="5272">
        <row r="1">
          <cell r="A1" t="str">
            <v>1월 생산실적</v>
          </cell>
        </row>
      </sheetData>
      <sheetData sheetId="5273">
        <row r="1">
          <cell r="A1" t="str">
            <v>1월 생산실적</v>
          </cell>
        </row>
      </sheetData>
      <sheetData sheetId="5274">
        <row r="1">
          <cell r="A1" t="str">
            <v>1월 생산실적</v>
          </cell>
        </row>
      </sheetData>
      <sheetData sheetId="5275">
        <row r="1">
          <cell r="A1" t="str">
            <v>1월 생산실적</v>
          </cell>
        </row>
      </sheetData>
      <sheetData sheetId="5276">
        <row r="1">
          <cell r="A1" t="str">
            <v>1월 생산실적</v>
          </cell>
        </row>
      </sheetData>
      <sheetData sheetId="5277">
        <row r="1">
          <cell r="A1" t="str">
            <v>1월 생산실적</v>
          </cell>
        </row>
      </sheetData>
      <sheetData sheetId="5278">
        <row r="1">
          <cell r="A1" t="str">
            <v>1월 생산실적</v>
          </cell>
        </row>
      </sheetData>
      <sheetData sheetId="5279">
        <row r="1">
          <cell r="A1" t="str">
            <v>1월 생산실적</v>
          </cell>
        </row>
      </sheetData>
      <sheetData sheetId="5280">
        <row r="1">
          <cell r="A1" t="str">
            <v>1월 생산실적</v>
          </cell>
        </row>
      </sheetData>
      <sheetData sheetId="5281">
        <row r="1">
          <cell r="A1" t="str">
            <v>1월 생산실적</v>
          </cell>
        </row>
      </sheetData>
      <sheetData sheetId="5282">
        <row r="1">
          <cell r="A1" t="str">
            <v>1월 생산실적</v>
          </cell>
        </row>
      </sheetData>
      <sheetData sheetId="5283">
        <row r="1">
          <cell r="A1" t="str">
            <v>1월 생산실적</v>
          </cell>
        </row>
      </sheetData>
      <sheetData sheetId="5284">
        <row r="1">
          <cell r="A1" t="str">
            <v>1월 생산실적</v>
          </cell>
        </row>
      </sheetData>
      <sheetData sheetId="5285">
        <row r="1">
          <cell r="A1" t="str">
            <v>1월 생산실적</v>
          </cell>
        </row>
      </sheetData>
      <sheetData sheetId="5286">
        <row r="1">
          <cell r="A1" t="str">
            <v>1월 생산실적</v>
          </cell>
        </row>
      </sheetData>
      <sheetData sheetId="5287">
        <row r="1">
          <cell r="A1" t="str">
            <v>1월 생산실적</v>
          </cell>
        </row>
      </sheetData>
      <sheetData sheetId="5288">
        <row r="1">
          <cell r="A1" t="str">
            <v>1월 생산실적</v>
          </cell>
        </row>
      </sheetData>
      <sheetData sheetId="5289">
        <row r="1">
          <cell r="A1" t="str">
            <v>1월 생산실적</v>
          </cell>
        </row>
      </sheetData>
      <sheetData sheetId="5290">
        <row r="1">
          <cell r="A1" t="str">
            <v>1월 생산실적</v>
          </cell>
        </row>
      </sheetData>
      <sheetData sheetId="5291">
        <row r="1">
          <cell r="A1" t="str">
            <v>1월 생산실적</v>
          </cell>
        </row>
      </sheetData>
      <sheetData sheetId="5292">
        <row r="1">
          <cell r="A1" t="str">
            <v>1월 생산실적</v>
          </cell>
        </row>
      </sheetData>
      <sheetData sheetId="5293">
        <row r="1">
          <cell r="A1" t="str">
            <v>1월 생산실적</v>
          </cell>
        </row>
      </sheetData>
      <sheetData sheetId="5294">
        <row r="1">
          <cell r="A1" t="str">
            <v>1월 생산실적</v>
          </cell>
        </row>
      </sheetData>
      <sheetData sheetId="5295">
        <row r="1">
          <cell r="A1" t="str">
            <v>1월 생산실적</v>
          </cell>
        </row>
      </sheetData>
      <sheetData sheetId="5296">
        <row r="1">
          <cell r="A1" t="str">
            <v>1월 생산실적</v>
          </cell>
        </row>
      </sheetData>
      <sheetData sheetId="5297">
        <row r="1">
          <cell r="A1" t="str">
            <v>1월 생산실적</v>
          </cell>
        </row>
      </sheetData>
      <sheetData sheetId="5298">
        <row r="1">
          <cell r="A1" t="str">
            <v>1월 생산실적</v>
          </cell>
        </row>
      </sheetData>
      <sheetData sheetId="5299">
        <row r="1">
          <cell r="A1" t="str">
            <v>1월 생산실적</v>
          </cell>
        </row>
      </sheetData>
      <sheetData sheetId="5300">
        <row r="1">
          <cell r="A1" t="str">
            <v>1월 생산실적</v>
          </cell>
        </row>
      </sheetData>
      <sheetData sheetId="5301">
        <row r="1">
          <cell r="A1" t="str">
            <v>1월 생산실적</v>
          </cell>
        </row>
      </sheetData>
      <sheetData sheetId="5302">
        <row r="1">
          <cell r="A1" t="str">
            <v>1월 생산실적</v>
          </cell>
        </row>
      </sheetData>
      <sheetData sheetId="5303">
        <row r="1">
          <cell r="A1" t="str">
            <v>1월 생산실적</v>
          </cell>
        </row>
      </sheetData>
      <sheetData sheetId="5304">
        <row r="1">
          <cell r="A1" t="str">
            <v>1월 생산실적</v>
          </cell>
        </row>
      </sheetData>
      <sheetData sheetId="5305">
        <row r="1">
          <cell r="A1" t="str">
            <v>1월 생산실적</v>
          </cell>
        </row>
      </sheetData>
      <sheetData sheetId="5306">
        <row r="1">
          <cell r="A1" t="str">
            <v>1월 생산실적</v>
          </cell>
        </row>
      </sheetData>
      <sheetData sheetId="5307">
        <row r="1">
          <cell r="A1" t="str">
            <v>1월 생산실적</v>
          </cell>
        </row>
      </sheetData>
      <sheetData sheetId="5308">
        <row r="1">
          <cell r="A1" t="str">
            <v>1월 생산실적</v>
          </cell>
        </row>
      </sheetData>
      <sheetData sheetId="5309">
        <row r="1">
          <cell r="A1" t="str">
            <v>1월 생산실적</v>
          </cell>
        </row>
      </sheetData>
      <sheetData sheetId="5310">
        <row r="1">
          <cell r="A1" t="str">
            <v>1월 생산실적</v>
          </cell>
        </row>
      </sheetData>
      <sheetData sheetId="5311">
        <row r="1">
          <cell r="A1" t="str">
            <v>1월 생산실적</v>
          </cell>
        </row>
      </sheetData>
      <sheetData sheetId="5312">
        <row r="1">
          <cell r="A1" t="str">
            <v>1월 생산실적</v>
          </cell>
        </row>
      </sheetData>
      <sheetData sheetId="5313">
        <row r="1">
          <cell r="A1" t="str">
            <v>1월 생산실적</v>
          </cell>
        </row>
      </sheetData>
      <sheetData sheetId="5314">
        <row r="1">
          <cell r="A1" t="str">
            <v>1월 생산실적</v>
          </cell>
        </row>
      </sheetData>
      <sheetData sheetId="5315">
        <row r="1">
          <cell r="A1" t="str">
            <v>1월 생산실적</v>
          </cell>
        </row>
      </sheetData>
      <sheetData sheetId="5316">
        <row r="1">
          <cell r="A1" t="str">
            <v>1월 생산실적</v>
          </cell>
        </row>
      </sheetData>
      <sheetData sheetId="5317">
        <row r="1">
          <cell r="A1" t="str">
            <v>1월 생산실적</v>
          </cell>
        </row>
      </sheetData>
      <sheetData sheetId="5318">
        <row r="1">
          <cell r="A1" t="str">
            <v>1월 생산실적</v>
          </cell>
        </row>
      </sheetData>
      <sheetData sheetId="5319">
        <row r="1">
          <cell r="A1" t="str">
            <v>1월 생산실적</v>
          </cell>
        </row>
      </sheetData>
      <sheetData sheetId="5320">
        <row r="1">
          <cell r="A1" t="str">
            <v>1월 생산실적</v>
          </cell>
        </row>
      </sheetData>
      <sheetData sheetId="5321">
        <row r="1">
          <cell r="A1" t="str">
            <v>1월 생산실적</v>
          </cell>
        </row>
      </sheetData>
      <sheetData sheetId="5322">
        <row r="1">
          <cell r="A1" t="str">
            <v>1월 생산실적</v>
          </cell>
        </row>
      </sheetData>
      <sheetData sheetId="5323">
        <row r="1">
          <cell r="A1" t="str">
            <v>1월 생산실적</v>
          </cell>
        </row>
      </sheetData>
      <sheetData sheetId="5324">
        <row r="1">
          <cell r="A1" t="str">
            <v>1월 생산실적</v>
          </cell>
        </row>
      </sheetData>
      <sheetData sheetId="5325">
        <row r="1">
          <cell r="A1" t="str">
            <v>1월 생산실적</v>
          </cell>
        </row>
      </sheetData>
      <sheetData sheetId="5326">
        <row r="1">
          <cell r="A1" t="str">
            <v>1월 생산실적</v>
          </cell>
        </row>
      </sheetData>
      <sheetData sheetId="5327">
        <row r="1">
          <cell r="A1" t="str">
            <v>1월 생산실적</v>
          </cell>
        </row>
      </sheetData>
      <sheetData sheetId="5328">
        <row r="1">
          <cell r="A1" t="str">
            <v>1월 생산실적</v>
          </cell>
        </row>
      </sheetData>
      <sheetData sheetId="5329">
        <row r="1">
          <cell r="A1" t="str">
            <v>1월 생산실적</v>
          </cell>
        </row>
      </sheetData>
      <sheetData sheetId="5330">
        <row r="1">
          <cell r="A1" t="str">
            <v>1월 생산실적</v>
          </cell>
        </row>
      </sheetData>
      <sheetData sheetId="5331">
        <row r="1">
          <cell r="A1" t="str">
            <v>1월 생산실적</v>
          </cell>
        </row>
      </sheetData>
      <sheetData sheetId="5332">
        <row r="1">
          <cell r="A1" t="str">
            <v>1월 생산실적</v>
          </cell>
        </row>
      </sheetData>
      <sheetData sheetId="5333">
        <row r="1">
          <cell r="A1" t="str">
            <v>1월 생산실적</v>
          </cell>
        </row>
      </sheetData>
      <sheetData sheetId="5334">
        <row r="1">
          <cell r="A1" t="str">
            <v>1월 생산실적</v>
          </cell>
        </row>
      </sheetData>
      <sheetData sheetId="5335">
        <row r="1">
          <cell r="A1" t="str">
            <v>1월 생산실적</v>
          </cell>
        </row>
      </sheetData>
      <sheetData sheetId="5336">
        <row r="1">
          <cell r="A1" t="str">
            <v>1월 생산실적</v>
          </cell>
        </row>
      </sheetData>
      <sheetData sheetId="5337">
        <row r="1">
          <cell r="A1" t="str">
            <v>1월 생산실적</v>
          </cell>
        </row>
      </sheetData>
      <sheetData sheetId="5338">
        <row r="1">
          <cell r="A1" t="str">
            <v>1월 생산실적</v>
          </cell>
        </row>
      </sheetData>
      <sheetData sheetId="5339">
        <row r="1">
          <cell r="A1" t="str">
            <v>1월 생산실적</v>
          </cell>
        </row>
      </sheetData>
      <sheetData sheetId="5340">
        <row r="1">
          <cell r="A1" t="str">
            <v>1월 생산실적</v>
          </cell>
        </row>
      </sheetData>
      <sheetData sheetId="5341">
        <row r="1">
          <cell r="A1" t="str">
            <v>1월 생산실적</v>
          </cell>
        </row>
      </sheetData>
      <sheetData sheetId="5342">
        <row r="1">
          <cell r="A1" t="str">
            <v>1월 생산실적</v>
          </cell>
        </row>
      </sheetData>
      <sheetData sheetId="5343">
        <row r="1">
          <cell r="A1" t="str">
            <v>1월 생산실적</v>
          </cell>
        </row>
      </sheetData>
      <sheetData sheetId="5344">
        <row r="1">
          <cell r="A1" t="str">
            <v>1월 생산실적</v>
          </cell>
        </row>
      </sheetData>
      <sheetData sheetId="5345">
        <row r="1">
          <cell r="A1" t="str">
            <v>1월 생산실적</v>
          </cell>
        </row>
      </sheetData>
      <sheetData sheetId="5346">
        <row r="1">
          <cell r="A1" t="str">
            <v>1월 생산실적</v>
          </cell>
        </row>
      </sheetData>
      <sheetData sheetId="5347">
        <row r="1">
          <cell r="A1" t="str">
            <v>1월 생산실적</v>
          </cell>
        </row>
      </sheetData>
      <sheetData sheetId="5348">
        <row r="1">
          <cell r="A1" t="str">
            <v>1월 생산실적</v>
          </cell>
        </row>
      </sheetData>
      <sheetData sheetId="5349">
        <row r="1">
          <cell r="A1" t="str">
            <v>1월 생산실적</v>
          </cell>
        </row>
      </sheetData>
      <sheetData sheetId="5350">
        <row r="1">
          <cell r="A1" t="str">
            <v>1월 생산실적</v>
          </cell>
        </row>
      </sheetData>
      <sheetData sheetId="5351">
        <row r="1">
          <cell r="A1" t="str">
            <v>1월 생산실적</v>
          </cell>
        </row>
      </sheetData>
      <sheetData sheetId="5352">
        <row r="1">
          <cell r="A1" t="str">
            <v>1월 생산실적</v>
          </cell>
        </row>
      </sheetData>
      <sheetData sheetId="5353">
        <row r="1">
          <cell r="A1" t="str">
            <v>1월 생산실적</v>
          </cell>
        </row>
      </sheetData>
      <sheetData sheetId="5354">
        <row r="1">
          <cell r="A1" t="str">
            <v>1월 생산실적</v>
          </cell>
        </row>
      </sheetData>
      <sheetData sheetId="5355">
        <row r="1">
          <cell r="A1" t="str">
            <v>1월 생산실적</v>
          </cell>
        </row>
      </sheetData>
      <sheetData sheetId="5356">
        <row r="1">
          <cell r="A1" t="str">
            <v>1월 생산실적</v>
          </cell>
        </row>
      </sheetData>
      <sheetData sheetId="5357">
        <row r="1">
          <cell r="A1" t="str">
            <v>1월 생산실적</v>
          </cell>
        </row>
      </sheetData>
      <sheetData sheetId="5358">
        <row r="1">
          <cell r="A1" t="str">
            <v>1월 생산실적</v>
          </cell>
        </row>
      </sheetData>
      <sheetData sheetId="5359">
        <row r="1">
          <cell r="A1" t="str">
            <v>1월 생산실적</v>
          </cell>
        </row>
      </sheetData>
      <sheetData sheetId="5360">
        <row r="1">
          <cell r="A1" t="str">
            <v>1월 생산실적</v>
          </cell>
        </row>
      </sheetData>
      <sheetData sheetId="5361">
        <row r="1">
          <cell r="A1" t="str">
            <v>1월 생산실적</v>
          </cell>
        </row>
      </sheetData>
      <sheetData sheetId="5362">
        <row r="1">
          <cell r="A1" t="str">
            <v>1월 생산실적</v>
          </cell>
        </row>
      </sheetData>
      <sheetData sheetId="5363">
        <row r="1">
          <cell r="A1" t="str">
            <v>1월 생산실적</v>
          </cell>
        </row>
      </sheetData>
      <sheetData sheetId="5364">
        <row r="1">
          <cell r="A1" t="str">
            <v>1월 생산실적</v>
          </cell>
        </row>
      </sheetData>
      <sheetData sheetId="5365">
        <row r="1">
          <cell r="A1" t="str">
            <v>1월 생산실적</v>
          </cell>
        </row>
      </sheetData>
      <sheetData sheetId="5366">
        <row r="1">
          <cell r="A1" t="str">
            <v>1월 생산실적</v>
          </cell>
        </row>
      </sheetData>
      <sheetData sheetId="5367">
        <row r="1">
          <cell r="A1" t="str">
            <v>1월 생산실적</v>
          </cell>
        </row>
      </sheetData>
      <sheetData sheetId="5368">
        <row r="1">
          <cell r="A1" t="str">
            <v>1월 생산실적</v>
          </cell>
        </row>
      </sheetData>
      <sheetData sheetId="5369">
        <row r="1">
          <cell r="A1" t="str">
            <v>1월 생산실적</v>
          </cell>
        </row>
      </sheetData>
      <sheetData sheetId="5370">
        <row r="1">
          <cell r="A1" t="str">
            <v>1월 생산실적</v>
          </cell>
        </row>
      </sheetData>
      <sheetData sheetId="5371">
        <row r="1">
          <cell r="A1" t="str">
            <v>1월 생산실적</v>
          </cell>
        </row>
      </sheetData>
      <sheetData sheetId="5372">
        <row r="1">
          <cell r="A1" t="str">
            <v>1월 생산실적</v>
          </cell>
        </row>
      </sheetData>
      <sheetData sheetId="5373">
        <row r="1">
          <cell r="A1" t="str">
            <v>1월 생산실적</v>
          </cell>
        </row>
      </sheetData>
      <sheetData sheetId="5374">
        <row r="1">
          <cell r="A1" t="str">
            <v>1월 생산실적</v>
          </cell>
        </row>
      </sheetData>
      <sheetData sheetId="5375">
        <row r="1">
          <cell r="A1" t="str">
            <v>1월 생산실적</v>
          </cell>
        </row>
      </sheetData>
      <sheetData sheetId="5376">
        <row r="1">
          <cell r="A1" t="str">
            <v>1월 생산실적</v>
          </cell>
        </row>
      </sheetData>
      <sheetData sheetId="5377">
        <row r="1">
          <cell r="A1" t="str">
            <v>1월 생산실적</v>
          </cell>
        </row>
      </sheetData>
      <sheetData sheetId="5378">
        <row r="1">
          <cell r="A1" t="str">
            <v>1월 생산실적</v>
          </cell>
        </row>
      </sheetData>
      <sheetData sheetId="5379">
        <row r="1">
          <cell r="A1" t="str">
            <v>1월 생산실적</v>
          </cell>
        </row>
      </sheetData>
      <sheetData sheetId="5380">
        <row r="1">
          <cell r="A1" t="str">
            <v>1월 생산실적</v>
          </cell>
        </row>
      </sheetData>
      <sheetData sheetId="5381">
        <row r="1">
          <cell r="A1" t="str">
            <v>1월 생산실적</v>
          </cell>
        </row>
      </sheetData>
      <sheetData sheetId="5382">
        <row r="1">
          <cell r="A1" t="str">
            <v>1월 생산실적</v>
          </cell>
        </row>
      </sheetData>
      <sheetData sheetId="5383">
        <row r="1">
          <cell r="A1" t="str">
            <v>1월 생산실적</v>
          </cell>
        </row>
      </sheetData>
      <sheetData sheetId="5384">
        <row r="1">
          <cell r="A1" t="str">
            <v>1월 생산실적</v>
          </cell>
        </row>
      </sheetData>
      <sheetData sheetId="5385">
        <row r="1">
          <cell r="A1" t="str">
            <v>1월 생산실적</v>
          </cell>
        </row>
      </sheetData>
      <sheetData sheetId="5386">
        <row r="1">
          <cell r="A1" t="str">
            <v>1월 생산실적</v>
          </cell>
        </row>
      </sheetData>
      <sheetData sheetId="5387">
        <row r="1">
          <cell r="A1" t="str">
            <v>1월 생산실적</v>
          </cell>
        </row>
      </sheetData>
      <sheetData sheetId="5388">
        <row r="1">
          <cell r="A1" t="str">
            <v>1월 생산실적</v>
          </cell>
        </row>
      </sheetData>
      <sheetData sheetId="5389">
        <row r="1">
          <cell r="A1" t="str">
            <v>1월 생산실적</v>
          </cell>
        </row>
      </sheetData>
      <sheetData sheetId="5390">
        <row r="1">
          <cell r="A1" t="str">
            <v>1월 생산실적</v>
          </cell>
        </row>
      </sheetData>
      <sheetData sheetId="5391">
        <row r="1">
          <cell r="A1" t="str">
            <v>1월 생산실적</v>
          </cell>
        </row>
      </sheetData>
      <sheetData sheetId="5392">
        <row r="1">
          <cell r="A1" t="str">
            <v>1월 생산실적</v>
          </cell>
        </row>
      </sheetData>
      <sheetData sheetId="5393">
        <row r="1">
          <cell r="A1" t="str">
            <v>1월 생산실적</v>
          </cell>
        </row>
      </sheetData>
      <sheetData sheetId="5394">
        <row r="1">
          <cell r="A1" t="str">
            <v>1월 생산실적</v>
          </cell>
        </row>
      </sheetData>
      <sheetData sheetId="5395">
        <row r="1">
          <cell r="A1" t="str">
            <v>1월 생산실적</v>
          </cell>
        </row>
      </sheetData>
      <sheetData sheetId="5396">
        <row r="1">
          <cell r="A1" t="str">
            <v>1월 생산실적</v>
          </cell>
        </row>
      </sheetData>
      <sheetData sheetId="5397">
        <row r="1">
          <cell r="A1" t="str">
            <v>1월 생산실적</v>
          </cell>
        </row>
      </sheetData>
      <sheetData sheetId="5398">
        <row r="1">
          <cell r="A1" t="str">
            <v>1월 생산실적</v>
          </cell>
        </row>
      </sheetData>
      <sheetData sheetId="5399">
        <row r="1">
          <cell r="A1" t="str">
            <v>1월 생산실적</v>
          </cell>
        </row>
      </sheetData>
      <sheetData sheetId="5400">
        <row r="1">
          <cell r="A1" t="str">
            <v>1월 생산실적</v>
          </cell>
        </row>
      </sheetData>
      <sheetData sheetId="5401">
        <row r="1">
          <cell r="A1" t="str">
            <v>1월 생산실적</v>
          </cell>
        </row>
      </sheetData>
      <sheetData sheetId="5402">
        <row r="1">
          <cell r="A1" t="str">
            <v>1월 생산실적</v>
          </cell>
        </row>
      </sheetData>
      <sheetData sheetId="5403">
        <row r="1">
          <cell r="A1" t="str">
            <v>1월 생산실적</v>
          </cell>
        </row>
      </sheetData>
      <sheetData sheetId="5404">
        <row r="1">
          <cell r="A1" t="str">
            <v>1월 생산실적</v>
          </cell>
        </row>
      </sheetData>
      <sheetData sheetId="5405">
        <row r="1">
          <cell r="A1" t="str">
            <v>1월 생산실적</v>
          </cell>
        </row>
      </sheetData>
      <sheetData sheetId="5406">
        <row r="1">
          <cell r="A1" t="str">
            <v>1월 생산실적</v>
          </cell>
        </row>
      </sheetData>
      <sheetData sheetId="5407">
        <row r="1">
          <cell r="A1" t="str">
            <v>1월 생산실적</v>
          </cell>
        </row>
      </sheetData>
      <sheetData sheetId="5408">
        <row r="1">
          <cell r="A1" t="str">
            <v>1월 생산실적</v>
          </cell>
        </row>
      </sheetData>
      <sheetData sheetId="5409">
        <row r="1">
          <cell r="A1" t="str">
            <v>1월 생산실적</v>
          </cell>
        </row>
      </sheetData>
      <sheetData sheetId="5410">
        <row r="1">
          <cell r="A1" t="str">
            <v>1월 생산실적</v>
          </cell>
        </row>
      </sheetData>
      <sheetData sheetId="5411">
        <row r="1">
          <cell r="A1" t="str">
            <v>1월 생산실적</v>
          </cell>
        </row>
      </sheetData>
      <sheetData sheetId="5412">
        <row r="1">
          <cell r="A1" t="str">
            <v>1월 생산실적</v>
          </cell>
        </row>
      </sheetData>
      <sheetData sheetId="5413">
        <row r="1">
          <cell r="A1" t="str">
            <v>1월 생산실적</v>
          </cell>
        </row>
      </sheetData>
      <sheetData sheetId="5414">
        <row r="1">
          <cell r="A1" t="str">
            <v>1월 생산실적</v>
          </cell>
        </row>
      </sheetData>
      <sheetData sheetId="5415">
        <row r="1">
          <cell r="A1" t="str">
            <v>1월 생산실적</v>
          </cell>
        </row>
      </sheetData>
      <sheetData sheetId="5416">
        <row r="1">
          <cell r="A1" t="str">
            <v>1월 생산실적</v>
          </cell>
        </row>
      </sheetData>
      <sheetData sheetId="5417">
        <row r="1">
          <cell r="A1" t="str">
            <v>1월 생산실적</v>
          </cell>
        </row>
      </sheetData>
      <sheetData sheetId="5418">
        <row r="1">
          <cell r="A1" t="str">
            <v>1월 생산실적</v>
          </cell>
        </row>
      </sheetData>
      <sheetData sheetId="5419">
        <row r="1">
          <cell r="A1" t="str">
            <v>1월 생산실적</v>
          </cell>
        </row>
      </sheetData>
      <sheetData sheetId="5420">
        <row r="1">
          <cell r="A1" t="str">
            <v>1월 생산실적</v>
          </cell>
        </row>
      </sheetData>
      <sheetData sheetId="5421">
        <row r="1">
          <cell r="A1" t="str">
            <v>1월 생산실적</v>
          </cell>
        </row>
      </sheetData>
      <sheetData sheetId="5422">
        <row r="1">
          <cell r="A1" t="str">
            <v>1월 생산실적</v>
          </cell>
        </row>
      </sheetData>
      <sheetData sheetId="5423">
        <row r="1">
          <cell r="A1" t="str">
            <v>1월 생산실적</v>
          </cell>
        </row>
      </sheetData>
      <sheetData sheetId="5424">
        <row r="1">
          <cell r="A1" t="str">
            <v>1월 생산실적</v>
          </cell>
        </row>
      </sheetData>
      <sheetData sheetId="5425">
        <row r="1">
          <cell r="A1" t="str">
            <v>1월 생산실적</v>
          </cell>
        </row>
      </sheetData>
      <sheetData sheetId="5426">
        <row r="1">
          <cell r="A1" t="str">
            <v>1월 생산실적</v>
          </cell>
        </row>
      </sheetData>
      <sheetData sheetId="5427">
        <row r="1">
          <cell r="A1" t="str">
            <v>1월 생산실적</v>
          </cell>
        </row>
      </sheetData>
      <sheetData sheetId="5428">
        <row r="1">
          <cell r="A1" t="str">
            <v>1월 생산실적</v>
          </cell>
        </row>
      </sheetData>
      <sheetData sheetId="5429">
        <row r="1">
          <cell r="A1" t="str">
            <v>1월 생산실적</v>
          </cell>
        </row>
      </sheetData>
      <sheetData sheetId="5430">
        <row r="1">
          <cell r="A1" t="str">
            <v>1월 생산실적</v>
          </cell>
        </row>
      </sheetData>
      <sheetData sheetId="5431">
        <row r="1">
          <cell r="A1" t="str">
            <v>1월 생산실적</v>
          </cell>
        </row>
      </sheetData>
      <sheetData sheetId="5432">
        <row r="1">
          <cell r="A1" t="str">
            <v>1월 생산실적</v>
          </cell>
        </row>
      </sheetData>
      <sheetData sheetId="5433">
        <row r="1">
          <cell r="A1" t="str">
            <v>1월 생산실적</v>
          </cell>
        </row>
      </sheetData>
      <sheetData sheetId="5434">
        <row r="1">
          <cell r="A1" t="str">
            <v>1월 생산실적</v>
          </cell>
        </row>
      </sheetData>
      <sheetData sheetId="5435">
        <row r="1">
          <cell r="A1" t="str">
            <v>1월 생산실적</v>
          </cell>
        </row>
      </sheetData>
      <sheetData sheetId="5436">
        <row r="1">
          <cell r="A1" t="str">
            <v>1월 생산실적</v>
          </cell>
        </row>
      </sheetData>
      <sheetData sheetId="5437">
        <row r="1">
          <cell r="A1" t="str">
            <v>1월 생산실적</v>
          </cell>
        </row>
      </sheetData>
      <sheetData sheetId="5438">
        <row r="1">
          <cell r="A1" t="str">
            <v>1월 생산실적</v>
          </cell>
        </row>
      </sheetData>
      <sheetData sheetId="5439">
        <row r="1">
          <cell r="A1" t="str">
            <v>1월 생산실적</v>
          </cell>
        </row>
      </sheetData>
      <sheetData sheetId="5440">
        <row r="1">
          <cell r="A1" t="str">
            <v>1월 생산실적</v>
          </cell>
        </row>
      </sheetData>
      <sheetData sheetId="5441">
        <row r="1">
          <cell r="A1" t="str">
            <v>1월 생산실적</v>
          </cell>
        </row>
      </sheetData>
      <sheetData sheetId="5442">
        <row r="1">
          <cell r="A1" t="str">
            <v>1월 생산실적</v>
          </cell>
        </row>
      </sheetData>
      <sheetData sheetId="5443">
        <row r="1">
          <cell r="A1" t="str">
            <v>1월 생산실적</v>
          </cell>
        </row>
      </sheetData>
      <sheetData sheetId="5444">
        <row r="1">
          <cell r="A1" t="str">
            <v>1월 생산실적</v>
          </cell>
        </row>
      </sheetData>
      <sheetData sheetId="5445">
        <row r="1">
          <cell r="A1" t="str">
            <v>1월 생산실적</v>
          </cell>
        </row>
      </sheetData>
      <sheetData sheetId="5446">
        <row r="1">
          <cell r="A1" t="str">
            <v>1월 생산실적</v>
          </cell>
        </row>
      </sheetData>
      <sheetData sheetId="5447">
        <row r="1">
          <cell r="A1" t="str">
            <v>1월 생산실적</v>
          </cell>
        </row>
      </sheetData>
      <sheetData sheetId="5448">
        <row r="1">
          <cell r="A1" t="str">
            <v>1월 생산실적</v>
          </cell>
        </row>
      </sheetData>
      <sheetData sheetId="5449">
        <row r="1">
          <cell r="A1" t="str">
            <v>1월 생산실적</v>
          </cell>
        </row>
      </sheetData>
      <sheetData sheetId="5450">
        <row r="1">
          <cell r="A1" t="str">
            <v>1월 생산실적</v>
          </cell>
        </row>
      </sheetData>
      <sheetData sheetId="5451">
        <row r="1">
          <cell r="A1" t="str">
            <v>1월 생산실적</v>
          </cell>
        </row>
      </sheetData>
      <sheetData sheetId="5452">
        <row r="1">
          <cell r="A1" t="str">
            <v>1월 생산실적</v>
          </cell>
        </row>
      </sheetData>
      <sheetData sheetId="5453">
        <row r="1">
          <cell r="A1" t="str">
            <v>1월 생산실적</v>
          </cell>
        </row>
      </sheetData>
      <sheetData sheetId="5454">
        <row r="1">
          <cell r="A1" t="str">
            <v>1월 생산실적</v>
          </cell>
        </row>
      </sheetData>
      <sheetData sheetId="5455">
        <row r="1">
          <cell r="A1" t="str">
            <v>1월 생산실적</v>
          </cell>
        </row>
      </sheetData>
      <sheetData sheetId="5456">
        <row r="1">
          <cell r="A1" t="str">
            <v>1월 생산실적</v>
          </cell>
        </row>
      </sheetData>
      <sheetData sheetId="5457">
        <row r="1">
          <cell r="A1" t="str">
            <v>1월 생산실적</v>
          </cell>
        </row>
      </sheetData>
      <sheetData sheetId="5458">
        <row r="1">
          <cell r="A1" t="str">
            <v>1월 생산실적</v>
          </cell>
        </row>
      </sheetData>
      <sheetData sheetId="5459">
        <row r="1">
          <cell r="A1" t="str">
            <v>1월 생산실적</v>
          </cell>
        </row>
      </sheetData>
      <sheetData sheetId="5460">
        <row r="1">
          <cell r="A1" t="str">
            <v>1월 생산실적</v>
          </cell>
        </row>
      </sheetData>
      <sheetData sheetId="5461">
        <row r="1">
          <cell r="A1" t="str">
            <v>1월 생산실적</v>
          </cell>
        </row>
      </sheetData>
      <sheetData sheetId="5462">
        <row r="1">
          <cell r="A1" t="str">
            <v>1월 생산실적</v>
          </cell>
        </row>
      </sheetData>
      <sheetData sheetId="5463">
        <row r="1">
          <cell r="A1" t="str">
            <v>1월 생산실적</v>
          </cell>
        </row>
      </sheetData>
      <sheetData sheetId="5464">
        <row r="1">
          <cell r="A1" t="str">
            <v>1월 생산실적</v>
          </cell>
        </row>
      </sheetData>
      <sheetData sheetId="5465">
        <row r="1">
          <cell r="A1" t="str">
            <v>1월 생산실적</v>
          </cell>
        </row>
      </sheetData>
      <sheetData sheetId="5466">
        <row r="1">
          <cell r="A1" t="str">
            <v>1월 생산실적</v>
          </cell>
        </row>
      </sheetData>
      <sheetData sheetId="5467">
        <row r="1">
          <cell r="A1" t="str">
            <v>1월 생산실적</v>
          </cell>
        </row>
      </sheetData>
      <sheetData sheetId="5468">
        <row r="1">
          <cell r="A1" t="str">
            <v>1월 생산실적</v>
          </cell>
        </row>
      </sheetData>
      <sheetData sheetId="5469">
        <row r="1">
          <cell r="A1" t="str">
            <v>1월 생산실적</v>
          </cell>
        </row>
      </sheetData>
      <sheetData sheetId="5470">
        <row r="1">
          <cell r="A1" t="str">
            <v>1월 생산실적</v>
          </cell>
        </row>
      </sheetData>
      <sheetData sheetId="5471">
        <row r="1">
          <cell r="A1" t="str">
            <v>1월 생산실적</v>
          </cell>
        </row>
      </sheetData>
      <sheetData sheetId="5472">
        <row r="1">
          <cell r="A1" t="str">
            <v>1월 생산실적</v>
          </cell>
        </row>
      </sheetData>
      <sheetData sheetId="5473">
        <row r="1">
          <cell r="A1" t="str">
            <v>1월 생산실적</v>
          </cell>
        </row>
      </sheetData>
      <sheetData sheetId="5474">
        <row r="1">
          <cell r="A1" t="str">
            <v>1월 생산실적</v>
          </cell>
        </row>
      </sheetData>
      <sheetData sheetId="5475">
        <row r="1">
          <cell r="A1" t="str">
            <v>1월 생산실적</v>
          </cell>
        </row>
      </sheetData>
      <sheetData sheetId="5476">
        <row r="1">
          <cell r="A1" t="str">
            <v>1월 생산실적</v>
          </cell>
        </row>
      </sheetData>
      <sheetData sheetId="5477">
        <row r="1">
          <cell r="A1" t="str">
            <v>1월 생산실적</v>
          </cell>
        </row>
      </sheetData>
      <sheetData sheetId="5478">
        <row r="1">
          <cell r="A1" t="str">
            <v>1월 생산실적</v>
          </cell>
        </row>
      </sheetData>
      <sheetData sheetId="5479">
        <row r="1">
          <cell r="A1" t="str">
            <v>1월 생산실적</v>
          </cell>
        </row>
      </sheetData>
      <sheetData sheetId="5480">
        <row r="1">
          <cell r="A1" t="str">
            <v>1월 생산실적</v>
          </cell>
        </row>
      </sheetData>
      <sheetData sheetId="5481">
        <row r="1">
          <cell r="A1" t="str">
            <v>1월 생산실적</v>
          </cell>
        </row>
      </sheetData>
      <sheetData sheetId="5482">
        <row r="1">
          <cell r="A1" t="str">
            <v>1월 생산실적</v>
          </cell>
        </row>
      </sheetData>
      <sheetData sheetId="5483">
        <row r="1">
          <cell r="A1" t="str">
            <v>1월 생산실적</v>
          </cell>
        </row>
      </sheetData>
      <sheetData sheetId="5484">
        <row r="1">
          <cell r="A1" t="str">
            <v>1월 생산실적</v>
          </cell>
        </row>
      </sheetData>
      <sheetData sheetId="5485">
        <row r="1">
          <cell r="A1" t="str">
            <v>1월 생산실적</v>
          </cell>
        </row>
      </sheetData>
      <sheetData sheetId="5486">
        <row r="1">
          <cell r="A1" t="str">
            <v>1월 생산실적</v>
          </cell>
        </row>
      </sheetData>
      <sheetData sheetId="5487">
        <row r="1">
          <cell r="A1" t="str">
            <v>1월 생산실적</v>
          </cell>
        </row>
      </sheetData>
      <sheetData sheetId="5488">
        <row r="1">
          <cell r="A1" t="str">
            <v>1월 생산실적</v>
          </cell>
        </row>
      </sheetData>
      <sheetData sheetId="5489">
        <row r="1">
          <cell r="A1" t="str">
            <v>1월 생산실적</v>
          </cell>
        </row>
      </sheetData>
      <sheetData sheetId="5490">
        <row r="1">
          <cell r="A1" t="str">
            <v>1월 생산실적</v>
          </cell>
        </row>
      </sheetData>
      <sheetData sheetId="5491">
        <row r="1">
          <cell r="A1" t="str">
            <v>1월 생산실적</v>
          </cell>
        </row>
      </sheetData>
      <sheetData sheetId="5492">
        <row r="1">
          <cell r="A1" t="str">
            <v>1월 생산실적</v>
          </cell>
        </row>
      </sheetData>
      <sheetData sheetId="5493">
        <row r="1">
          <cell r="A1" t="str">
            <v>1월 생산실적</v>
          </cell>
        </row>
      </sheetData>
      <sheetData sheetId="5494">
        <row r="1">
          <cell r="A1" t="str">
            <v>1월 생산실적</v>
          </cell>
        </row>
      </sheetData>
      <sheetData sheetId="5495">
        <row r="1">
          <cell r="A1" t="str">
            <v>1월 생산실적</v>
          </cell>
        </row>
      </sheetData>
      <sheetData sheetId="5496">
        <row r="1">
          <cell r="A1" t="str">
            <v>1월 생산실적</v>
          </cell>
        </row>
      </sheetData>
      <sheetData sheetId="5497">
        <row r="1">
          <cell r="A1" t="str">
            <v>1월 생산실적</v>
          </cell>
        </row>
      </sheetData>
      <sheetData sheetId="5498">
        <row r="1">
          <cell r="A1" t="str">
            <v>1월 생산실적</v>
          </cell>
        </row>
      </sheetData>
      <sheetData sheetId="5499">
        <row r="1">
          <cell r="A1" t="str">
            <v>1월 생산실적</v>
          </cell>
        </row>
      </sheetData>
      <sheetData sheetId="5500">
        <row r="1">
          <cell r="A1" t="str">
            <v>1월 생산실적</v>
          </cell>
        </row>
      </sheetData>
      <sheetData sheetId="5501">
        <row r="1">
          <cell r="A1" t="str">
            <v>1월 생산실적</v>
          </cell>
        </row>
      </sheetData>
      <sheetData sheetId="5502">
        <row r="1">
          <cell r="A1" t="str">
            <v>1월 생산실적</v>
          </cell>
        </row>
      </sheetData>
      <sheetData sheetId="5503">
        <row r="1">
          <cell r="A1" t="str">
            <v>1월 생산실적</v>
          </cell>
        </row>
      </sheetData>
      <sheetData sheetId="5504">
        <row r="1">
          <cell r="A1" t="str">
            <v>1월 생산실적</v>
          </cell>
        </row>
      </sheetData>
      <sheetData sheetId="5505">
        <row r="1">
          <cell r="A1" t="str">
            <v>1월 생산실적</v>
          </cell>
        </row>
      </sheetData>
      <sheetData sheetId="5506">
        <row r="1">
          <cell r="A1" t="str">
            <v>1월 생산실적</v>
          </cell>
        </row>
      </sheetData>
      <sheetData sheetId="5507">
        <row r="1">
          <cell r="A1" t="str">
            <v>1월 생산실적</v>
          </cell>
        </row>
      </sheetData>
      <sheetData sheetId="5508">
        <row r="1">
          <cell r="A1" t="str">
            <v>1월 생산실적</v>
          </cell>
        </row>
      </sheetData>
      <sheetData sheetId="5509">
        <row r="1">
          <cell r="A1" t="str">
            <v>1월 생산실적</v>
          </cell>
        </row>
      </sheetData>
      <sheetData sheetId="5510">
        <row r="1">
          <cell r="A1" t="str">
            <v>1월 생산실적</v>
          </cell>
        </row>
      </sheetData>
      <sheetData sheetId="5511">
        <row r="1">
          <cell r="A1" t="str">
            <v>1월 생산실적</v>
          </cell>
        </row>
      </sheetData>
      <sheetData sheetId="5512">
        <row r="1">
          <cell r="A1" t="str">
            <v>1월 생산실적</v>
          </cell>
        </row>
      </sheetData>
      <sheetData sheetId="5513">
        <row r="1">
          <cell r="A1" t="str">
            <v>1월 생산실적</v>
          </cell>
        </row>
      </sheetData>
      <sheetData sheetId="5514">
        <row r="1">
          <cell r="A1" t="str">
            <v>1월 생산실적</v>
          </cell>
        </row>
      </sheetData>
      <sheetData sheetId="5515">
        <row r="1">
          <cell r="A1" t="str">
            <v>1월 생산실적</v>
          </cell>
        </row>
      </sheetData>
      <sheetData sheetId="5516">
        <row r="1">
          <cell r="A1" t="str">
            <v>1월 생산실적</v>
          </cell>
        </row>
      </sheetData>
      <sheetData sheetId="5517">
        <row r="1">
          <cell r="A1" t="str">
            <v>1월 생산실적</v>
          </cell>
        </row>
      </sheetData>
      <sheetData sheetId="5518">
        <row r="1">
          <cell r="A1" t="str">
            <v>1월 생산실적</v>
          </cell>
        </row>
      </sheetData>
      <sheetData sheetId="5519">
        <row r="1">
          <cell r="A1" t="str">
            <v>1월 생산실적</v>
          </cell>
        </row>
      </sheetData>
      <sheetData sheetId="5520">
        <row r="1">
          <cell r="A1" t="str">
            <v>1월 생산실적</v>
          </cell>
        </row>
      </sheetData>
      <sheetData sheetId="5521">
        <row r="1">
          <cell r="A1" t="str">
            <v>1월 생산실적</v>
          </cell>
        </row>
      </sheetData>
      <sheetData sheetId="5522">
        <row r="1">
          <cell r="A1" t="str">
            <v>1월 생산실적</v>
          </cell>
        </row>
      </sheetData>
      <sheetData sheetId="5523">
        <row r="1">
          <cell r="A1" t="str">
            <v>1월 생산실적</v>
          </cell>
        </row>
      </sheetData>
      <sheetData sheetId="5524">
        <row r="1">
          <cell r="A1" t="str">
            <v>1월 생산실적</v>
          </cell>
        </row>
      </sheetData>
      <sheetData sheetId="5525">
        <row r="1">
          <cell r="A1" t="str">
            <v>1월 생산실적</v>
          </cell>
        </row>
      </sheetData>
      <sheetData sheetId="5526">
        <row r="1">
          <cell r="A1" t="str">
            <v>1월 생산실적</v>
          </cell>
        </row>
      </sheetData>
      <sheetData sheetId="5527">
        <row r="1">
          <cell r="A1" t="str">
            <v>1월 생산실적</v>
          </cell>
        </row>
      </sheetData>
      <sheetData sheetId="5528">
        <row r="1">
          <cell r="A1" t="str">
            <v>1월 생산실적</v>
          </cell>
        </row>
      </sheetData>
      <sheetData sheetId="5529">
        <row r="1">
          <cell r="A1" t="str">
            <v>1월 생산실적</v>
          </cell>
        </row>
      </sheetData>
      <sheetData sheetId="5530">
        <row r="1">
          <cell r="A1" t="str">
            <v>1월 생산실적</v>
          </cell>
        </row>
      </sheetData>
      <sheetData sheetId="5531">
        <row r="1">
          <cell r="A1" t="str">
            <v>1월 생산실적</v>
          </cell>
        </row>
      </sheetData>
      <sheetData sheetId="5532">
        <row r="1">
          <cell r="A1" t="str">
            <v>1월 생산실적</v>
          </cell>
        </row>
      </sheetData>
      <sheetData sheetId="5533">
        <row r="1">
          <cell r="A1" t="str">
            <v>1월 생산실적</v>
          </cell>
        </row>
      </sheetData>
      <sheetData sheetId="5534">
        <row r="1">
          <cell r="A1" t="str">
            <v>1월 생산실적</v>
          </cell>
        </row>
      </sheetData>
      <sheetData sheetId="5535">
        <row r="1">
          <cell r="A1" t="str">
            <v>1월 생산실적</v>
          </cell>
        </row>
      </sheetData>
      <sheetData sheetId="5536">
        <row r="1">
          <cell r="A1" t="str">
            <v>1월 생산실적</v>
          </cell>
        </row>
      </sheetData>
      <sheetData sheetId="5537">
        <row r="1">
          <cell r="A1" t="str">
            <v>1월 생산실적</v>
          </cell>
        </row>
      </sheetData>
      <sheetData sheetId="5538">
        <row r="1">
          <cell r="A1" t="str">
            <v>1월 생산실적</v>
          </cell>
        </row>
      </sheetData>
      <sheetData sheetId="5539">
        <row r="1">
          <cell r="A1" t="str">
            <v>1월 생산실적</v>
          </cell>
        </row>
      </sheetData>
      <sheetData sheetId="5540">
        <row r="1">
          <cell r="A1" t="str">
            <v>1월 생산실적</v>
          </cell>
        </row>
      </sheetData>
      <sheetData sheetId="5541">
        <row r="1">
          <cell r="A1" t="str">
            <v>1월 생산실적</v>
          </cell>
        </row>
      </sheetData>
      <sheetData sheetId="5542">
        <row r="1">
          <cell r="A1" t="str">
            <v>1월 생산실적</v>
          </cell>
        </row>
      </sheetData>
      <sheetData sheetId="5543">
        <row r="1">
          <cell r="A1" t="str">
            <v>1월 생산실적</v>
          </cell>
        </row>
      </sheetData>
      <sheetData sheetId="5544">
        <row r="1">
          <cell r="A1" t="str">
            <v>1월 생산실적</v>
          </cell>
        </row>
      </sheetData>
      <sheetData sheetId="5545">
        <row r="1">
          <cell r="A1" t="str">
            <v>1월 생산실적</v>
          </cell>
        </row>
      </sheetData>
      <sheetData sheetId="5546">
        <row r="1">
          <cell r="A1" t="str">
            <v>1월 생산실적</v>
          </cell>
        </row>
      </sheetData>
      <sheetData sheetId="5547">
        <row r="1">
          <cell r="A1" t="str">
            <v>1월 생산실적</v>
          </cell>
        </row>
      </sheetData>
      <sheetData sheetId="5548">
        <row r="1">
          <cell r="A1" t="str">
            <v>1월 생산실적</v>
          </cell>
        </row>
      </sheetData>
      <sheetData sheetId="5549">
        <row r="1">
          <cell r="A1" t="str">
            <v>1월 생산실적</v>
          </cell>
        </row>
      </sheetData>
      <sheetData sheetId="5550">
        <row r="1">
          <cell r="A1" t="str">
            <v>1월 생산실적</v>
          </cell>
        </row>
      </sheetData>
      <sheetData sheetId="5551">
        <row r="1">
          <cell r="A1" t="str">
            <v>1월 생산실적</v>
          </cell>
        </row>
      </sheetData>
      <sheetData sheetId="5552">
        <row r="1">
          <cell r="A1" t="str">
            <v>1월 생산실적</v>
          </cell>
        </row>
      </sheetData>
      <sheetData sheetId="5553">
        <row r="1">
          <cell r="A1" t="str">
            <v>1월 생산실적</v>
          </cell>
        </row>
      </sheetData>
      <sheetData sheetId="5554">
        <row r="1">
          <cell r="A1" t="str">
            <v>1월 생산실적</v>
          </cell>
        </row>
      </sheetData>
      <sheetData sheetId="5555">
        <row r="1">
          <cell r="A1" t="str">
            <v>1월 생산실적</v>
          </cell>
        </row>
      </sheetData>
      <sheetData sheetId="5556">
        <row r="1">
          <cell r="A1" t="str">
            <v>1월 생산실적</v>
          </cell>
        </row>
      </sheetData>
      <sheetData sheetId="5557">
        <row r="1">
          <cell r="A1" t="str">
            <v>1월 생산실적</v>
          </cell>
        </row>
      </sheetData>
      <sheetData sheetId="5558">
        <row r="1">
          <cell r="A1" t="str">
            <v>1월 생산실적</v>
          </cell>
        </row>
      </sheetData>
      <sheetData sheetId="5559">
        <row r="1">
          <cell r="A1" t="str">
            <v>1월 생산실적</v>
          </cell>
        </row>
      </sheetData>
      <sheetData sheetId="5560">
        <row r="1">
          <cell r="A1" t="str">
            <v>1월 생산실적</v>
          </cell>
        </row>
      </sheetData>
      <sheetData sheetId="5561">
        <row r="1">
          <cell r="A1" t="str">
            <v>1월 생산실적</v>
          </cell>
        </row>
      </sheetData>
      <sheetData sheetId="5562">
        <row r="1">
          <cell r="A1" t="str">
            <v>1월 생산실적</v>
          </cell>
        </row>
      </sheetData>
      <sheetData sheetId="5563">
        <row r="1">
          <cell r="A1" t="str">
            <v>1월 생산실적</v>
          </cell>
        </row>
      </sheetData>
      <sheetData sheetId="5564">
        <row r="1">
          <cell r="A1" t="str">
            <v>1월 생산실적</v>
          </cell>
        </row>
      </sheetData>
      <sheetData sheetId="5565">
        <row r="1">
          <cell r="A1" t="str">
            <v>1월 생산실적</v>
          </cell>
        </row>
      </sheetData>
      <sheetData sheetId="5566">
        <row r="1">
          <cell r="A1" t="str">
            <v>1월 생산실적</v>
          </cell>
        </row>
      </sheetData>
      <sheetData sheetId="5567">
        <row r="1">
          <cell r="A1" t="str">
            <v>1월 생산실적</v>
          </cell>
        </row>
      </sheetData>
      <sheetData sheetId="5568">
        <row r="1">
          <cell r="A1" t="str">
            <v>1월 생산실적</v>
          </cell>
        </row>
      </sheetData>
      <sheetData sheetId="5569">
        <row r="1">
          <cell r="A1" t="str">
            <v>1월 생산실적</v>
          </cell>
        </row>
      </sheetData>
      <sheetData sheetId="5570">
        <row r="1">
          <cell r="A1" t="str">
            <v>1월 생산실적</v>
          </cell>
        </row>
      </sheetData>
      <sheetData sheetId="5571">
        <row r="1">
          <cell r="A1" t="str">
            <v>1월 생산실적</v>
          </cell>
        </row>
      </sheetData>
      <sheetData sheetId="5572">
        <row r="1">
          <cell r="A1" t="str">
            <v>1월 생산실적</v>
          </cell>
        </row>
      </sheetData>
      <sheetData sheetId="5573">
        <row r="1">
          <cell r="A1" t="str">
            <v>1월 생산실적</v>
          </cell>
        </row>
      </sheetData>
      <sheetData sheetId="5574">
        <row r="1">
          <cell r="A1" t="str">
            <v>1월 생산실적</v>
          </cell>
        </row>
      </sheetData>
      <sheetData sheetId="5575">
        <row r="1">
          <cell r="A1" t="str">
            <v>1월 생산실적</v>
          </cell>
        </row>
      </sheetData>
      <sheetData sheetId="5576">
        <row r="1">
          <cell r="A1" t="str">
            <v>1월 생산실적</v>
          </cell>
        </row>
      </sheetData>
      <sheetData sheetId="5577">
        <row r="1">
          <cell r="A1" t="str">
            <v>1월 생산실적</v>
          </cell>
        </row>
      </sheetData>
      <sheetData sheetId="5578">
        <row r="1">
          <cell r="A1" t="str">
            <v>1월 생산실적</v>
          </cell>
        </row>
      </sheetData>
      <sheetData sheetId="5579">
        <row r="1">
          <cell r="A1" t="str">
            <v>1월 생산실적</v>
          </cell>
        </row>
      </sheetData>
      <sheetData sheetId="5580">
        <row r="1">
          <cell r="A1" t="str">
            <v>1월 생산실적</v>
          </cell>
        </row>
      </sheetData>
      <sheetData sheetId="5581">
        <row r="1">
          <cell r="A1" t="str">
            <v>1월 생산실적</v>
          </cell>
        </row>
      </sheetData>
      <sheetData sheetId="5582">
        <row r="1">
          <cell r="A1" t="str">
            <v>1월 생산실적</v>
          </cell>
        </row>
      </sheetData>
      <sheetData sheetId="5583">
        <row r="1">
          <cell r="A1" t="str">
            <v>1월 생산실적</v>
          </cell>
        </row>
      </sheetData>
      <sheetData sheetId="5584">
        <row r="1">
          <cell r="A1" t="str">
            <v>1월 생산실적</v>
          </cell>
        </row>
      </sheetData>
      <sheetData sheetId="5585">
        <row r="1">
          <cell r="A1" t="str">
            <v>1월 생산실적</v>
          </cell>
        </row>
      </sheetData>
      <sheetData sheetId="5586">
        <row r="1">
          <cell r="A1" t="str">
            <v>1월 생산실적</v>
          </cell>
        </row>
      </sheetData>
      <sheetData sheetId="5587">
        <row r="1">
          <cell r="A1" t="str">
            <v>1월 생산실적</v>
          </cell>
        </row>
      </sheetData>
      <sheetData sheetId="5588">
        <row r="1">
          <cell r="A1" t="str">
            <v>1월 생산실적</v>
          </cell>
        </row>
      </sheetData>
      <sheetData sheetId="5589">
        <row r="1">
          <cell r="A1" t="str">
            <v>1월 생산실적</v>
          </cell>
        </row>
      </sheetData>
      <sheetData sheetId="5590">
        <row r="1">
          <cell r="A1" t="str">
            <v>1월 생산실적</v>
          </cell>
        </row>
      </sheetData>
      <sheetData sheetId="5591">
        <row r="1">
          <cell r="A1" t="str">
            <v>1월 생산실적</v>
          </cell>
        </row>
      </sheetData>
      <sheetData sheetId="5592">
        <row r="1">
          <cell r="A1" t="str">
            <v>1월 생산실적</v>
          </cell>
        </row>
      </sheetData>
      <sheetData sheetId="5593">
        <row r="1">
          <cell r="A1" t="str">
            <v>1월 생산실적</v>
          </cell>
        </row>
      </sheetData>
      <sheetData sheetId="5594">
        <row r="1">
          <cell r="A1" t="str">
            <v>1월 생산실적</v>
          </cell>
        </row>
      </sheetData>
      <sheetData sheetId="5595">
        <row r="1">
          <cell r="A1" t="str">
            <v>1월 생산실적</v>
          </cell>
        </row>
      </sheetData>
      <sheetData sheetId="5596">
        <row r="1">
          <cell r="A1" t="str">
            <v>1월 생산실적</v>
          </cell>
        </row>
      </sheetData>
      <sheetData sheetId="5597">
        <row r="1">
          <cell r="A1" t="str">
            <v>1월 생산실적</v>
          </cell>
        </row>
      </sheetData>
      <sheetData sheetId="5598">
        <row r="1">
          <cell r="A1" t="str">
            <v>1월 생산실적</v>
          </cell>
        </row>
      </sheetData>
      <sheetData sheetId="5599">
        <row r="1">
          <cell r="A1" t="str">
            <v>1월 생산실적</v>
          </cell>
        </row>
      </sheetData>
      <sheetData sheetId="5600">
        <row r="1">
          <cell r="A1" t="str">
            <v>1월 생산실적</v>
          </cell>
        </row>
      </sheetData>
      <sheetData sheetId="5601">
        <row r="1">
          <cell r="A1" t="str">
            <v>1월 생산실적</v>
          </cell>
        </row>
      </sheetData>
      <sheetData sheetId="5602">
        <row r="1">
          <cell r="A1" t="str">
            <v>1월 생산실적</v>
          </cell>
        </row>
      </sheetData>
      <sheetData sheetId="5603">
        <row r="1">
          <cell r="A1" t="str">
            <v>1월 생산실적</v>
          </cell>
        </row>
      </sheetData>
      <sheetData sheetId="5604">
        <row r="1">
          <cell r="A1" t="str">
            <v>1월 생산실적</v>
          </cell>
        </row>
      </sheetData>
      <sheetData sheetId="5605">
        <row r="1">
          <cell r="A1" t="str">
            <v>1월 생산실적</v>
          </cell>
        </row>
      </sheetData>
      <sheetData sheetId="5606">
        <row r="1">
          <cell r="A1" t="str">
            <v>1월 생산실적</v>
          </cell>
        </row>
      </sheetData>
      <sheetData sheetId="5607">
        <row r="1">
          <cell r="A1" t="str">
            <v>1월 생산실적</v>
          </cell>
        </row>
      </sheetData>
      <sheetData sheetId="5608">
        <row r="1">
          <cell r="A1" t="str">
            <v>1월 생산실적</v>
          </cell>
        </row>
      </sheetData>
      <sheetData sheetId="5609">
        <row r="1">
          <cell r="A1" t="str">
            <v>1월 생산실적</v>
          </cell>
        </row>
      </sheetData>
      <sheetData sheetId="5610">
        <row r="1">
          <cell r="A1" t="str">
            <v>1월 생산실적</v>
          </cell>
        </row>
      </sheetData>
      <sheetData sheetId="5611">
        <row r="1">
          <cell r="A1" t="str">
            <v>1월 생산실적</v>
          </cell>
        </row>
      </sheetData>
      <sheetData sheetId="5612">
        <row r="1">
          <cell r="A1" t="str">
            <v>1월 생산실적</v>
          </cell>
        </row>
      </sheetData>
      <sheetData sheetId="5613">
        <row r="1">
          <cell r="A1" t="str">
            <v>1월 생산실적</v>
          </cell>
        </row>
      </sheetData>
      <sheetData sheetId="5614">
        <row r="1">
          <cell r="A1" t="str">
            <v>1월 생산실적</v>
          </cell>
        </row>
      </sheetData>
      <sheetData sheetId="5615">
        <row r="1">
          <cell r="A1" t="str">
            <v>1월 생산실적</v>
          </cell>
        </row>
      </sheetData>
      <sheetData sheetId="5616">
        <row r="1">
          <cell r="A1" t="str">
            <v>1월 생산실적</v>
          </cell>
        </row>
      </sheetData>
      <sheetData sheetId="5617">
        <row r="1">
          <cell r="A1" t="str">
            <v>1월 생산실적</v>
          </cell>
        </row>
      </sheetData>
      <sheetData sheetId="5618">
        <row r="1">
          <cell r="A1" t="str">
            <v>1월 생산실적</v>
          </cell>
        </row>
      </sheetData>
      <sheetData sheetId="5619">
        <row r="1">
          <cell r="A1" t="str">
            <v>1월 생산실적</v>
          </cell>
        </row>
      </sheetData>
      <sheetData sheetId="5620">
        <row r="1">
          <cell r="A1" t="str">
            <v>1월 생산실적</v>
          </cell>
        </row>
      </sheetData>
      <sheetData sheetId="5621">
        <row r="1">
          <cell r="A1" t="str">
            <v>1월 생산실적</v>
          </cell>
        </row>
      </sheetData>
      <sheetData sheetId="5622">
        <row r="1">
          <cell r="A1" t="str">
            <v>1월 생산실적</v>
          </cell>
        </row>
      </sheetData>
      <sheetData sheetId="5623">
        <row r="1">
          <cell r="A1" t="str">
            <v>1월 생산실적</v>
          </cell>
        </row>
      </sheetData>
      <sheetData sheetId="5624">
        <row r="1">
          <cell r="A1" t="str">
            <v>1월 생산실적</v>
          </cell>
        </row>
      </sheetData>
      <sheetData sheetId="5625">
        <row r="1">
          <cell r="A1" t="str">
            <v>1월 생산실적</v>
          </cell>
        </row>
      </sheetData>
      <sheetData sheetId="5626">
        <row r="1">
          <cell r="A1" t="str">
            <v>1월 생산실적</v>
          </cell>
        </row>
      </sheetData>
      <sheetData sheetId="5627">
        <row r="1">
          <cell r="A1" t="str">
            <v>1월 생산실적</v>
          </cell>
        </row>
      </sheetData>
      <sheetData sheetId="5628">
        <row r="1">
          <cell r="A1" t="str">
            <v>1월 생산실적</v>
          </cell>
        </row>
      </sheetData>
      <sheetData sheetId="5629">
        <row r="1">
          <cell r="A1" t="str">
            <v>1월 생산실적</v>
          </cell>
        </row>
      </sheetData>
      <sheetData sheetId="5630">
        <row r="1">
          <cell r="A1" t="str">
            <v>1월 생산실적</v>
          </cell>
        </row>
      </sheetData>
      <sheetData sheetId="5631">
        <row r="1">
          <cell r="A1" t="str">
            <v>1월 생산실적</v>
          </cell>
        </row>
      </sheetData>
      <sheetData sheetId="5632">
        <row r="1">
          <cell r="A1" t="str">
            <v>1월 생산실적</v>
          </cell>
        </row>
      </sheetData>
      <sheetData sheetId="5633">
        <row r="1">
          <cell r="A1" t="str">
            <v>1월 생산실적</v>
          </cell>
        </row>
      </sheetData>
      <sheetData sheetId="5634">
        <row r="1">
          <cell r="A1" t="str">
            <v>1월 생산실적</v>
          </cell>
        </row>
      </sheetData>
      <sheetData sheetId="5635">
        <row r="1">
          <cell r="A1" t="str">
            <v>1월 생산실적</v>
          </cell>
        </row>
      </sheetData>
      <sheetData sheetId="5636">
        <row r="1">
          <cell r="A1" t="str">
            <v>1월 생산실적</v>
          </cell>
        </row>
      </sheetData>
      <sheetData sheetId="5637">
        <row r="1">
          <cell r="A1" t="str">
            <v>1월 생산실적</v>
          </cell>
        </row>
      </sheetData>
      <sheetData sheetId="5638">
        <row r="1">
          <cell r="A1" t="str">
            <v>1월 생산실적</v>
          </cell>
        </row>
      </sheetData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>
        <row r="1">
          <cell r="A1" t="str">
            <v>1월 생산실적</v>
          </cell>
        </row>
      </sheetData>
      <sheetData sheetId="5655">
        <row r="1">
          <cell r="A1" t="str">
            <v>1월 생산실적</v>
          </cell>
        </row>
      </sheetData>
      <sheetData sheetId="5656">
        <row r="1">
          <cell r="A1" t="str">
            <v>1월 생산실적</v>
          </cell>
        </row>
      </sheetData>
      <sheetData sheetId="5657">
        <row r="1">
          <cell r="A1" t="str">
            <v>1월 생산실적</v>
          </cell>
        </row>
      </sheetData>
      <sheetData sheetId="5658">
        <row r="1">
          <cell r="A1" t="str">
            <v>1월 생산실적</v>
          </cell>
        </row>
      </sheetData>
      <sheetData sheetId="5659">
        <row r="1">
          <cell r="A1" t="str">
            <v>1월 생산실적</v>
          </cell>
        </row>
      </sheetData>
      <sheetData sheetId="5660">
        <row r="1">
          <cell r="A1" t="str">
            <v>1월 생산실적</v>
          </cell>
        </row>
      </sheetData>
      <sheetData sheetId="5661">
        <row r="1">
          <cell r="A1" t="str">
            <v>1월 생산실적</v>
          </cell>
        </row>
      </sheetData>
      <sheetData sheetId="5662">
        <row r="1">
          <cell r="A1" t="str">
            <v>1월 생산실적</v>
          </cell>
        </row>
      </sheetData>
      <sheetData sheetId="5663">
        <row r="1">
          <cell r="A1" t="str">
            <v>1월 생산실적</v>
          </cell>
        </row>
      </sheetData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>
        <row r="1">
          <cell r="A1" t="str">
            <v>1월 생산실적</v>
          </cell>
        </row>
      </sheetData>
      <sheetData sheetId="5704">
        <row r="1">
          <cell r="A1" t="str">
            <v>1월 생산실적</v>
          </cell>
        </row>
      </sheetData>
      <sheetData sheetId="5705">
        <row r="1">
          <cell r="A1" t="str">
            <v>1월 생산실적</v>
          </cell>
        </row>
      </sheetData>
      <sheetData sheetId="5706">
        <row r="1">
          <cell r="A1" t="str">
            <v>1월 생산실적</v>
          </cell>
        </row>
      </sheetData>
      <sheetData sheetId="5707">
        <row r="1">
          <cell r="A1" t="str">
            <v>1월 생산실적</v>
          </cell>
        </row>
      </sheetData>
      <sheetData sheetId="5708">
        <row r="1">
          <cell r="A1" t="str">
            <v>1월 생산실적</v>
          </cell>
        </row>
      </sheetData>
      <sheetData sheetId="5709">
        <row r="1">
          <cell r="A1" t="str">
            <v>1월 생산실적</v>
          </cell>
        </row>
      </sheetData>
      <sheetData sheetId="5710">
        <row r="1">
          <cell r="A1" t="str">
            <v>1월 생산실적</v>
          </cell>
        </row>
      </sheetData>
      <sheetData sheetId="5711">
        <row r="1">
          <cell r="A1" t="str">
            <v>1월 생산실적</v>
          </cell>
        </row>
      </sheetData>
      <sheetData sheetId="5712">
        <row r="1">
          <cell r="A1" t="str">
            <v>1월 생산실적</v>
          </cell>
        </row>
      </sheetData>
      <sheetData sheetId="5713">
        <row r="1">
          <cell r="A1" t="str">
            <v>1월 생산실적</v>
          </cell>
        </row>
      </sheetData>
      <sheetData sheetId="5714">
        <row r="1">
          <cell r="A1" t="str">
            <v>1월 생산실적</v>
          </cell>
        </row>
      </sheetData>
      <sheetData sheetId="5715">
        <row r="1">
          <cell r="A1" t="str">
            <v>1월 생산실적</v>
          </cell>
        </row>
      </sheetData>
      <sheetData sheetId="5716">
        <row r="1">
          <cell r="A1" t="str">
            <v>1월 생산실적</v>
          </cell>
        </row>
      </sheetData>
      <sheetData sheetId="5717">
        <row r="1">
          <cell r="A1" t="str">
            <v>1월 생산실적</v>
          </cell>
        </row>
      </sheetData>
      <sheetData sheetId="5718">
        <row r="1">
          <cell r="A1" t="str">
            <v>1월 생산실적</v>
          </cell>
        </row>
      </sheetData>
      <sheetData sheetId="5719">
        <row r="1">
          <cell r="A1" t="str">
            <v>1월 생산실적</v>
          </cell>
        </row>
      </sheetData>
      <sheetData sheetId="5720">
        <row r="1">
          <cell r="A1" t="str">
            <v>1월 생산실적</v>
          </cell>
        </row>
      </sheetData>
      <sheetData sheetId="5721">
        <row r="1">
          <cell r="A1" t="str">
            <v>1월 생산실적</v>
          </cell>
        </row>
      </sheetData>
      <sheetData sheetId="5722">
        <row r="1">
          <cell r="A1" t="str">
            <v>1월 생산실적</v>
          </cell>
        </row>
      </sheetData>
      <sheetData sheetId="5723">
        <row r="1">
          <cell r="A1" t="str">
            <v>1월 생산실적</v>
          </cell>
        </row>
      </sheetData>
      <sheetData sheetId="5724">
        <row r="1">
          <cell r="A1" t="str">
            <v>1월 생산실적</v>
          </cell>
        </row>
      </sheetData>
      <sheetData sheetId="5725">
        <row r="1">
          <cell r="A1" t="str">
            <v>1월 생산실적</v>
          </cell>
        </row>
      </sheetData>
      <sheetData sheetId="5726">
        <row r="1">
          <cell r="A1" t="str">
            <v>1월 생산실적</v>
          </cell>
        </row>
      </sheetData>
      <sheetData sheetId="5727">
        <row r="1">
          <cell r="A1" t="str">
            <v>1월 생산실적</v>
          </cell>
        </row>
      </sheetData>
      <sheetData sheetId="5728">
        <row r="1">
          <cell r="A1" t="str">
            <v>1월 생산실적</v>
          </cell>
        </row>
      </sheetData>
      <sheetData sheetId="5729">
        <row r="1">
          <cell r="A1" t="str">
            <v>1월 생산실적</v>
          </cell>
        </row>
      </sheetData>
      <sheetData sheetId="5730">
        <row r="1">
          <cell r="A1" t="str">
            <v>1월 생산실적</v>
          </cell>
        </row>
      </sheetData>
      <sheetData sheetId="5731">
        <row r="1">
          <cell r="A1" t="str">
            <v>1월 생산실적</v>
          </cell>
        </row>
      </sheetData>
      <sheetData sheetId="5732">
        <row r="1">
          <cell r="A1" t="str">
            <v>1월 생산실적</v>
          </cell>
        </row>
      </sheetData>
      <sheetData sheetId="5733">
        <row r="1">
          <cell r="A1" t="str">
            <v>1월 생산실적</v>
          </cell>
        </row>
      </sheetData>
      <sheetData sheetId="5734">
        <row r="1">
          <cell r="A1" t="str">
            <v>1월 생산실적</v>
          </cell>
        </row>
      </sheetData>
      <sheetData sheetId="5735">
        <row r="1">
          <cell r="A1" t="str">
            <v>1월 생산실적</v>
          </cell>
        </row>
      </sheetData>
      <sheetData sheetId="5736">
        <row r="1">
          <cell r="A1" t="str">
            <v>1월 생산실적</v>
          </cell>
        </row>
      </sheetData>
      <sheetData sheetId="5737">
        <row r="1">
          <cell r="A1" t="str">
            <v>1월 생산실적</v>
          </cell>
        </row>
      </sheetData>
      <sheetData sheetId="5738">
        <row r="1">
          <cell r="A1" t="str">
            <v>1월 생산실적</v>
          </cell>
        </row>
      </sheetData>
      <sheetData sheetId="5739">
        <row r="1">
          <cell r="A1" t="str">
            <v>1월 생산실적</v>
          </cell>
        </row>
      </sheetData>
      <sheetData sheetId="5740">
        <row r="1">
          <cell r="A1" t="str">
            <v>1월 생산실적</v>
          </cell>
        </row>
      </sheetData>
      <sheetData sheetId="5741">
        <row r="1">
          <cell r="A1" t="str">
            <v>1월 생산실적</v>
          </cell>
        </row>
      </sheetData>
      <sheetData sheetId="5742">
        <row r="1">
          <cell r="A1" t="str">
            <v>1월 생산실적</v>
          </cell>
        </row>
      </sheetData>
      <sheetData sheetId="5743">
        <row r="1">
          <cell r="A1" t="str">
            <v>1월 생산실적</v>
          </cell>
        </row>
      </sheetData>
      <sheetData sheetId="5744">
        <row r="1">
          <cell r="A1" t="str">
            <v>1월 생산실적</v>
          </cell>
        </row>
      </sheetData>
      <sheetData sheetId="5745">
        <row r="1">
          <cell r="A1" t="str">
            <v>1월 생산실적</v>
          </cell>
        </row>
      </sheetData>
      <sheetData sheetId="5746">
        <row r="1">
          <cell r="A1" t="str">
            <v>1월 생산실적</v>
          </cell>
        </row>
      </sheetData>
      <sheetData sheetId="5747">
        <row r="1">
          <cell r="A1" t="str">
            <v>1월 생산실적</v>
          </cell>
        </row>
      </sheetData>
      <sheetData sheetId="5748">
        <row r="1">
          <cell r="A1" t="str">
            <v>1월 생산실적</v>
          </cell>
        </row>
      </sheetData>
      <sheetData sheetId="5749">
        <row r="1">
          <cell r="A1" t="str">
            <v>1월 생산실적</v>
          </cell>
        </row>
      </sheetData>
      <sheetData sheetId="5750">
        <row r="1">
          <cell r="A1" t="str">
            <v>1월 생산실적</v>
          </cell>
        </row>
      </sheetData>
      <sheetData sheetId="5751">
        <row r="1">
          <cell r="A1" t="str">
            <v>1월 생산실적</v>
          </cell>
        </row>
      </sheetData>
      <sheetData sheetId="5752">
        <row r="1">
          <cell r="A1" t="str">
            <v>1월 생산실적</v>
          </cell>
        </row>
      </sheetData>
      <sheetData sheetId="5753">
        <row r="1">
          <cell r="A1" t="str">
            <v>1월 생산실적</v>
          </cell>
        </row>
      </sheetData>
      <sheetData sheetId="5754">
        <row r="1">
          <cell r="A1" t="str">
            <v>1월 생산실적</v>
          </cell>
        </row>
      </sheetData>
      <sheetData sheetId="5755">
        <row r="1">
          <cell r="A1" t="str">
            <v>1월 생산실적</v>
          </cell>
        </row>
      </sheetData>
      <sheetData sheetId="5756">
        <row r="1">
          <cell r="A1" t="str">
            <v>1월 생산실적</v>
          </cell>
        </row>
      </sheetData>
      <sheetData sheetId="5757">
        <row r="1">
          <cell r="A1" t="str">
            <v>1월 생산실적</v>
          </cell>
        </row>
      </sheetData>
      <sheetData sheetId="5758">
        <row r="1">
          <cell r="A1" t="str">
            <v>1월 생산실적</v>
          </cell>
        </row>
      </sheetData>
      <sheetData sheetId="5759">
        <row r="1">
          <cell r="A1" t="str">
            <v>1월 생산실적</v>
          </cell>
        </row>
      </sheetData>
      <sheetData sheetId="5760">
        <row r="1">
          <cell r="A1" t="str">
            <v>1월 생산실적</v>
          </cell>
        </row>
      </sheetData>
      <sheetData sheetId="5761">
        <row r="1">
          <cell r="A1" t="str">
            <v>1월 생산실적</v>
          </cell>
        </row>
      </sheetData>
      <sheetData sheetId="5762">
        <row r="1">
          <cell r="A1" t="str">
            <v>1월 생산실적</v>
          </cell>
        </row>
      </sheetData>
      <sheetData sheetId="5763">
        <row r="1">
          <cell r="A1" t="str">
            <v>1월 생산실적</v>
          </cell>
        </row>
      </sheetData>
      <sheetData sheetId="5764">
        <row r="1">
          <cell r="A1" t="str">
            <v>1월 생산실적</v>
          </cell>
        </row>
      </sheetData>
      <sheetData sheetId="5765">
        <row r="1">
          <cell r="A1" t="str">
            <v>1월 생산실적</v>
          </cell>
        </row>
      </sheetData>
      <sheetData sheetId="5766">
        <row r="1">
          <cell r="A1" t="str">
            <v>1월 생산실적</v>
          </cell>
        </row>
      </sheetData>
      <sheetData sheetId="5767">
        <row r="1">
          <cell r="A1" t="str">
            <v>1월 생산실적</v>
          </cell>
        </row>
      </sheetData>
      <sheetData sheetId="5768">
        <row r="1">
          <cell r="A1" t="str">
            <v>1월 생산실적</v>
          </cell>
        </row>
      </sheetData>
      <sheetData sheetId="5769">
        <row r="1">
          <cell r="A1" t="str">
            <v>1월 생산실적</v>
          </cell>
        </row>
      </sheetData>
      <sheetData sheetId="5770">
        <row r="1">
          <cell r="A1" t="str">
            <v>1월 생산실적</v>
          </cell>
        </row>
      </sheetData>
      <sheetData sheetId="5771">
        <row r="1">
          <cell r="A1" t="str">
            <v>1월 생산실적</v>
          </cell>
        </row>
      </sheetData>
      <sheetData sheetId="5772">
        <row r="1">
          <cell r="A1" t="str">
            <v>1월 생산실적</v>
          </cell>
        </row>
      </sheetData>
      <sheetData sheetId="5773">
        <row r="1">
          <cell r="A1" t="str">
            <v>1월 생산실적</v>
          </cell>
        </row>
      </sheetData>
      <sheetData sheetId="5774">
        <row r="1">
          <cell r="A1" t="str">
            <v>1월 생산실적</v>
          </cell>
        </row>
      </sheetData>
      <sheetData sheetId="5775">
        <row r="1">
          <cell r="A1" t="str">
            <v>1월 생산실적</v>
          </cell>
        </row>
      </sheetData>
      <sheetData sheetId="5776">
        <row r="1">
          <cell r="A1" t="str">
            <v>1월 생산실적</v>
          </cell>
        </row>
      </sheetData>
      <sheetData sheetId="5777">
        <row r="1">
          <cell r="A1" t="str">
            <v>1월 생산실적</v>
          </cell>
        </row>
      </sheetData>
      <sheetData sheetId="5778">
        <row r="1">
          <cell r="A1" t="str">
            <v>1월 생산실적</v>
          </cell>
        </row>
      </sheetData>
      <sheetData sheetId="5779">
        <row r="1">
          <cell r="A1" t="str">
            <v>1월 생산실적</v>
          </cell>
        </row>
      </sheetData>
      <sheetData sheetId="5780">
        <row r="1">
          <cell r="A1" t="str">
            <v>1월 생산실적</v>
          </cell>
        </row>
      </sheetData>
      <sheetData sheetId="5781">
        <row r="1">
          <cell r="A1" t="str">
            <v>1월 생산실적</v>
          </cell>
        </row>
      </sheetData>
      <sheetData sheetId="5782">
        <row r="1">
          <cell r="A1" t="str">
            <v>1월 생산실적</v>
          </cell>
        </row>
      </sheetData>
      <sheetData sheetId="5783">
        <row r="1">
          <cell r="A1" t="str">
            <v>1월 생산실적</v>
          </cell>
        </row>
      </sheetData>
      <sheetData sheetId="5784">
        <row r="1">
          <cell r="A1" t="str">
            <v>1월 생산실적</v>
          </cell>
        </row>
      </sheetData>
      <sheetData sheetId="5785">
        <row r="1">
          <cell r="A1" t="str">
            <v>1월 생산실적</v>
          </cell>
        </row>
      </sheetData>
      <sheetData sheetId="5786">
        <row r="1">
          <cell r="A1" t="str">
            <v>1월 생산실적</v>
          </cell>
        </row>
      </sheetData>
      <sheetData sheetId="5787">
        <row r="1">
          <cell r="A1" t="str">
            <v>1월 생산실적</v>
          </cell>
        </row>
      </sheetData>
      <sheetData sheetId="5788">
        <row r="1">
          <cell r="A1" t="str">
            <v>1월 생산실적</v>
          </cell>
        </row>
      </sheetData>
      <sheetData sheetId="5789">
        <row r="1">
          <cell r="A1" t="str">
            <v>1월 생산실적</v>
          </cell>
        </row>
      </sheetData>
      <sheetData sheetId="5790">
        <row r="1">
          <cell r="A1" t="str">
            <v>1월 생산실적</v>
          </cell>
        </row>
      </sheetData>
      <sheetData sheetId="5791">
        <row r="1">
          <cell r="A1" t="str">
            <v>1월 생산실적</v>
          </cell>
        </row>
      </sheetData>
      <sheetData sheetId="5792">
        <row r="1">
          <cell r="A1" t="str">
            <v>1월 생산실적</v>
          </cell>
        </row>
      </sheetData>
      <sheetData sheetId="5793">
        <row r="1">
          <cell r="A1" t="str">
            <v>1월 생산실적</v>
          </cell>
        </row>
      </sheetData>
      <sheetData sheetId="5794">
        <row r="1">
          <cell r="A1" t="str">
            <v>1월 생산실적</v>
          </cell>
        </row>
      </sheetData>
      <sheetData sheetId="5795">
        <row r="1">
          <cell r="A1" t="str">
            <v>1월 생산실적</v>
          </cell>
        </row>
      </sheetData>
      <sheetData sheetId="5796">
        <row r="1">
          <cell r="A1" t="str">
            <v>1월 생산실적</v>
          </cell>
        </row>
      </sheetData>
      <sheetData sheetId="5797">
        <row r="1">
          <cell r="A1" t="str">
            <v>1월 생산실적</v>
          </cell>
        </row>
      </sheetData>
      <sheetData sheetId="5798">
        <row r="1">
          <cell r="A1" t="str">
            <v>1월 생산실적</v>
          </cell>
        </row>
      </sheetData>
      <sheetData sheetId="5799">
        <row r="1">
          <cell r="A1" t="str">
            <v>1월 생산실적</v>
          </cell>
        </row>
      </sheetData>
      <sheetData sheetId="5800">
        <row r="1">
          <cell r="A1" t="str">
            <v>1월 생산실적</v>
          </cell>
        </row>
      </sheetData>
      <sheetData sheetId="5801">
        <row r="1">
          <cell r="A1" t="str">
            <v>1월 생산실적</v>
          </cell>
        </row>
      </sheetData>
      <sheetData sheetId="5802">
        <row r="1">
          <cell r="A1" t="str">
            <v>1월 생산실적</v>
          </cell>
        </row>
      </sheetData>
      <sheetData sheetId="5803">
        <row r="1">
          <cell r="A1" t="str">
            <v>1월 생산실적</v>
          </cell>
        </row>
      </sheetData>
      <sheetData sheetId="5804">
        <row r="1">
          <cell r="A1" t="str">
            <v>1월 생산실적</v>
          </cell>
        </row>
      </sheetData>
      <sheetData sheetId="5805">
        <row r="1">
          <cell r="A1" t="str">
            <v>1월 생산실적</v>
          </cell>
        </row>
      </sheetData>
      <sheetData sheetId="5806">
        <row r="1">
          <cell r="A1" t="str">
            <v>1월 생산실적</v>
          </cell>
        </row>
      </sheetData>
      <sheetData sheetId="5807">
        <row r="1">
          <cell r="A1" t="str">
            <v>1월 생산실적</v>
          </cell>
        </row>
      </sheetData>
      <sheetData sheetId="5808">
        <row r="1">
          <cell r="A1" t="str">
            <v>1월 생산실적</v>
          </cell>
        </row>
      </sheetData>
      <sheetData sheetId="5809">
        <row r="1">
          <cell r="A1" t="str">
            <v>1월 생산실적</v>
          </cell>
        </row>
      </sheetData>
      <sheetData sheetId="5810">
        <row r="1">
          <cell r="A1" t="str">
            <v>1월 생산실적</v>
          </cell>
        </row>
      </sheetData>
      <sheetData sheetId="5811">
        <row r="1">
          <cell r="A1" t="str">
            <v>1월 생산실적</v>
          </cell>
        </row>
      </sheetData>
      <sheetData sheetId="5812">
        <row r="1">
          <cell r="A1" t="str">
            <v>1월 생산실적</v>
          </cell>
        </row>
      </sheetData>
      <sheetData sheetId="5813">
        <row r="1">
          <cell r="A1" t="str">
            <v>1월 생산실적</v>
          </cell>
        </row>
      </sheetData>
      <sheetData sheetId="5814">
        <row r="1">
          <cell r="A1" t="str">
            <v>1월 생산실적</v>
          </cell>
        </row>
      </sheetData>
      <sheetData sheetId="5815">
        <row r="1">
          <cell r="A1" t="str">
            <v>1월 생산실적</v>
          </cell>
        </row>
      </sheetData>
      <sheetData sheetId="5816">
        <row r="1">
          <cell r="A1" t="str">
            <v>1월 생산실적</v>
          </cell>
        </row>
      </sheetData>
      <sheetData sheetId="5817">
        <row r="1">
          <cell r="A1" t="str">
            <v>1월 생산실적</v>
          </cell>
        </row>
      </sheetData>
      <sheetData sheetId="5818">
        <row r="1">
          <cell r="A1" t="str">
            <v>1월 생산실적</v>
          </cell>
        </row>
      </sheetData>
      <sheetData sheetId="5819">
        <row r="1">
          <cell r="A1" t="str">
            <v>1월 생산실적</v>
          </cell>
        </row>
      </sheetData>
      <sheetData sheetId="5820">
        <row r="1">
          <cell r="A1" t="str">
            <v>1월 생산실적</v>
          </cell>
        </row>
      </sheetData>
      <sheetData sheetId="5821">
        <row r="1">
          <cell r="A1" t="str">
            <v>1월 생산실적</v>
          </cell>
        </row>
      </sheetData>
      <sheetData sheetId="5822">
        <row r="1">
          <cell r="A1" t="str">
            <v>1월 생산실적</v>
          </cell>
        </row>
      </sheetData>
      <sheetData sheetId="5823">
        <row r="1">
          <cell r="A1" t="str">
            <v>1월 생산실적</v>
          </cell>
        </row>
      </sheetData>
      <sheetData sheetId="5824">
        <row r="1">
          <cell r="A1" t="str">
            <v>1월 생산실적</v>
          </cell>
        </row>
      </sheetData>
      <sheetData sheetId="5825">
        <row r="1">
          <cell r="A1" t="str">
            <v>1월 생산실적</v>
          </cell>
        </row>
      </sheetData>
      <sheetData sheetId="5826">
        <row r="1">
          <cell r="A1" t="str">
            <v>1월 생산실적</v>
          </cell>
        </row>
      </sheetData>
      <sheetData sheetId="5827">
        <row r="1">
          <cell r="A1" t="str">
            <v>1월 생산실적</v>
          </cell>
        </row>
      </sheetData>
      <sheetData sheetId="5828">
        <row r="1">
          <cell r="A1" t="str">
            <v>1월 생산실적</v>
          </cell>
        </row>
      </sheetData>
      <sheetData sheetId="5829">
        <row r="1">
          <cell r="A1" t="str">
            <v>1월 생산실적</v>
          </cell>
        </row>
      </sheetData>
      <sheetData sheetId="5830">
        <row r="1">
          <cell r="A1" t="str">
            <v>1월 생산실적</v>
          </cell>
        </row>
      </sheetData>
      <sheetData sheetId="5831">
        <row r="1">
          <cell r="A1" t="str">
            <v>1월 생산실적</v>
          </cell>
        </row>
      </sheetData>
      <sheetData sheetId="5832">
        <row r="1">
          <cell r="A1" t="str">
            <v>1월 생산실적</v>
          </cell>
        </row>
      </sheetData>
      <sheetData sheetId="5833">
        <row r="1">
          <cell r="A1" t="str">
            <v>1월 생산실적</v>
          </cell>
        </row>
      </sheetData>
      <sheetData sheetId="5834">
        <row r="1">
          <cell r="A1" t="str">
            <v>1월 생산실적</v>
          </cell>
        </row>
      </sheetData>
      <sheetData sheetId="5835">
        <row r="1">
          <cell r="A1" t="str">
            <v>1월 생산실적</v>
          </cell>
        </row>
      </sheetData>
      <sheetData sheetId="5836">
        <row r="1">
          <cell r="A1" t="str">
            <v>1월 생산실적</v>
          </cell>
        </row>
      </sheetData>
      <sheetData sheetId="5837">
        <row r="1">
          <cell r="A1" t="str">
            <v>1월 생산실적</v>
          </cell>
        </row>
      </sheetData>
      <sheetData sheetId="5838">
        <row r="1">
          <cell r="A1" t="str">
            <v>1월 생산실적</v>
          </cell>
        </row>
      </sheetData>
      <sheetData sheetId="5839">
        <row r="1">
          <cell r="A1" t="str">
            <v>1월 생산실적</v>
          </cell>
        </row>
      </sheetData>
      <sheetData sheetId="5840">
        <row r="1">
          <cell r="A1" t="str">
            <v>1월 생산실적</v>
          </cell>
        </row>
      </sheetData>
      <sheetData sheetId="5841">
        <row r="1">
          <cell r="A1" t="str">
            <v>1월 생산실적</v>
          </cell>
        </row>
      </sheetData>
      <sheetData sheetId="5842">
        <row r="1">
          <cell r="A1" t="str">
            <v>1월 생산실적</v>
          </cell>
        </row>
      </sheetData>
      <sheetData sheetId="5843">
        <row r="1">
          <cell r="A1" t="str">
            <v>1월 생산실적</v>
          </cell>
        </row>
      </sheetData>
      <sheetData sheetId="5844">
        <row r="1">
          <cell r="A1" t="str">
            <v>1월 생산실적</v>
          </cell>
        </row>
      </sheetData>
      <sheetData sheetId="5845">
        <row r="1">
          <cell r="A1" t="str">
            <v>1월 생산실적</v>
          </cell>
        </row>
      </sheetData>
      <sheetData sheetId="5846">
        <row r="1">
          <cell r="A1" t="str">
            <v>1월 생산실적</v>
          </cell>
        </row>
      </sheetData>
      <sheetData sheetId="5847">
        <row r="1">
          <cell r="A1" t="str">
            <v>1월 생산실적</v>
          </cell>
        </row>
      </sheetData>
      <sheetData sheetId="5848">
        <row r="1">
          <cell r="A1" t="str">
            <v>1월 생산실적</v>
          </cell>
        </row>
      </sheetData>
      <sheetData sheetId="5849">
        <row r="1">
          <cell r="A1" t="str">
            <v>1월 생산실적</v>
          </cell>
        </row>
      </sheetData>
      <sheetData sheetId="5850">
        <row r="1">
          <cell r="A1" t="str">
            <v>1월 생산실적</v>
          </cell>
        </row>
      </sheetData>
      <sheetData sheetId="5851">
        <row r="1">
          <cell r="A1" t="str">
            <v>1월 생산실적</v>
          </cell>
        </row>
      </sheetData>
      <sheetData sheetId="5852">
        <row r="1">
          <cell r="A1" t="str">
            <v>1월 생산실적</v>
          </cell>
        </row>
      </sheetData>
      <sheetData sheetId="5853">
        <row r="1">
          <cell r="A1" t="str">
            <v>1월 생산실적</v>
          </cell>
        </row>
      </sheetData>
      <sheetData sheetId="5854">
        <row r="1">
          <cell r="A1" t="str">
            <v>1월 생산실적</v>
          </cell>
        </row>
      </sheetData>
      <sheetData sheetId="5855">
        <row r="1">
          <cell r="A1" t="str">
            <v>1월 생산실적</v>
          </cell>
        </row>
      </sheetData>
      <sheetData sheetId="5856">
        <row r="1">
          <cell r="A1" t="str">
            <v>1월 생산실적</v>
          </cell>
        </row>
      </sheetData>
      <sheetData sheetId="5857">
        <row r="1">
          <cell r="A1" t="str">
            <v>1월 생산실적</v>
          </cell>
        </row>
      </sheetData>
      <sheetData sheetId="5858">
        <row r="1">
          <cell r="A1" t="str">
            <v>1월 생산실적</v>
          </cell>
        </row>
      </sheetData>
      <sheetData sheetId="5859">
        <row r="1">
          <cell r="A1" t="str">
            <v>1월 생산실적</v>
          </cell>
        </row>
      </sheetData>
      <sheetData sheetId="5860">
        <row r="1">
          <cell r="A1" t="str">
            <v>1월 생산실적</v>
          </cell>
        </row>
      </sheetData>
      <sheetData sheetId="5861">
        <row r="1">
          <cell r="A1" t="str">
            <v>1월 생산실적</v>
          </cell>
        </row>
      </sheetData>
      <sheetData sheetId="5862">
        <row r="1">
          <cell r="A1" t="str">
            <v>1월 생산실적</v>
          </cell>
        </row>
      </sheetData>
      <sheetData sheetId="5863">
        <row r="1">
          <cell r="A1" t="str">
            <v>1월 생산실적</v>
          </cell>
        </row>
      </sheetData>
      <sheetData sheetId="5864">
        <row r="1">
          <cell r="A1" t="str">
            <v>1월 생산실적</v>
          </cell>
        </row>
      </sheetData>
      <sheetData sheetId="5865">
        <row r="1">
          <cell r="A1" t="str">
            <v>1월 생산실적</v>
          </cell>
        </row>
      </sheetData>
      <sheetData sheetId="5866">
        <row r="1">
          <cell r="A1" t="str">
            <v>1월 생산실적</v>
          </cell>
        </row>
      </sheetData>
      <sheetData sheetId="5867">
        <row r="1">
          <cell r="A1" t="str">
            <v>1월 생산실적</v>
          </cell>
        </row>
      </sheetData>
      <sheetData sheetId="5868">
        <row r="1">
          <cell r="A1" t="str">
            <v>1월 생산실적</v>
          </cell>
        </row>
      </sheetData>
      <sheetData sheetId="5869">
        <row r="1">
          <cell r="A1" t="str">
            <v>1월 생산실적</v>
          </cell>
        </row>
      </sheetData>
      <sheetData sheetId="5870">
        <row r="1">
          <cell r="A1" t="str">
            <v>1월 생산실적</v>
          </cell>
        </row>
      </sheetData>
      <sheetData sheetId="5871">
        <row r="1">
          <cell r="A1" t="str">
            <v>1월 생산실적</v>
          </cell>
        </row>
      </sheetData>
      <sheetData sheetId="5872">
        <row r="1">
          <cell r="A1" t="str">
            <v>1월 생산실적</v>
          </cell>
        </row>
      </sheetData>
      <sheetData sheetId="5873">
        <row r="1">
          <cell r="A1" t="str">
            <v>1월 생산실적</v>
          </cell>
        </row>
      </sheetData>
      <sheetData sheetId="5874">
        <row r="1">
          <cell r="A1" t="str">
            <v>1월 생산실적</v>
          </cell>
        </row>
      </sheetData>
      <sheetData sheetId="5875">
        <row r="1">
          <cell r="A1" t="str">
            <v>1월 생산실적</v>
          </cell>
        </row>
      </sheetData>
      <sheetData sheetId="5876">
        <row r="1">
          <cell r="A1" t="str">
            <v>1월 생산실적</v>
          </cell>
        </row>
      </sheetData>
      <sheetData sheetId="5877">
        <row r="1">
          <cell r="A1" t="str">
            <v>1월 생산실적</v>
          </cell>
        </row>
      </sheetData>
      <sheetData sheetId="5878">
        <row r="1">
          <cell r="A1" t="str">
            <v>1월 생산실적</v>
          </cell>
        </row>
      </sheetData>
      <sheetData sheetId="5879">
        <row r="1">
          <cell r="A1" t="str">
            <v>1월 생산실적</v>
          </cell>
        </row>
      </sheetData>
      <sheetData sheetId="5880">
        <row r="1">
          <cell r="A1" t="str">
            <v>1월 생산실적</v>
          </cell>
        </row>
      </sheetData>
      <sheetData sheetId="5881">
        <row r="1">
          <cell r="A1" t="str">
            <v>1월 생산실적</v>
          </cell>
        </row>
      </sheetData>
      <sheetData sheetId="5882">
        <row r="1">
          <cell r="A1" t="str">
            <v>1월 생산실적</v>
          </cell>
        </row>
      </sheetData>
      <sheetData sheetId="5883">
        <row r="1">
          <cell r="A1" t="str">
            <v>1월 생산실적</v>
          </cell>
        </row>
      </sheetData>
      <sheetData sheetId="5884">
        <row r="1">
          <cell r="A1" t="str">
            <v>1월 생산실적</v>
          </cell>
        </row>
      </sheetData>
      <sheetData sheetId="5885">
        <row r="1">
          <cell r="A1" t="str">
            <v>1월 생산실적</v>
          </cell>
        </row>
      </sheetData>
      <sheetData sheetId="5886">
        <row r="1">
          <cell r="A1" t="str">
            <v>1월 생산실적</v>
          </cell>
        </row>
      </sheetData>
      <sheetData sheetId="5887">
        <row r="1">
          <cell r="A1" t="str">
            <v>1월 생산실적</v>
          </cell>
        </row>
      </sheetData>
      <sheetData sheetId="5888">
        <row r="1">
          <cell r="A1" t="str">
            <v>1월 생산실적</v>
          </cell>
        </row>
      </sheetData>
      <sheetData sheetId="5889">
        <row r="1">
          <cell r="A1" t="str">
            <v>1월 생산실적</v>
          </cell>
        </row>
      </sheetData>
      <sheetData sheetId="5890">
        <row r="1">
          <cell r="A1" t="str">
            <v>1월 생산실적</v>
          </cell>
        </row>
      </sheetData>
      <sheetData sheetId="5891">
        <row r="1">
          <cell r="A1" t="str">
            <v>1월 생산실적</v>
          </cell>
        </row>
      </sheetData>
      <sheetData sheetId="5892">
        <row r="1">
          <cell r="A1" t="str">
            <v>1월 생산실적</v>
          </cell>
        </row>
      </sheetData>
      <sheetData sheetId="5893">
        <row r="1">
          <cell r="A1" t="str">
            <v>1월 생산실적</v>
          </cell>
        </row>
      </sheetData>
      <sheetData sheetId="5894">
        <row r="1">
          <cell r="A1" t="str">
            <v>1월 생산실적</v>
          </cell>
        </row>
      </sheetData>
      <sheetData sheetId="5895">
        <row r="1">
          <cell r="A1" t="str">
            <v>1월 생산실적</v>
          </cell>
        </row>
      </sheetData>
      <sheetData sheetId="5896">
        <row r="1">
          <cell r="A1" t="str">
            <v>1월 생산실적</v>
          </cell>
        </row>
      </sheetData>
      <sheetData sheetId="5897">
        <row r="1">
          <cell r="A1" t="str">
            <v>1월 생산실적</v>
          </cell>
        </row>
      </sheetData>
      <sheetData sheetId="5898">
        <row r="1">
          <cell r="A1" t="str">
            <v>1월 생산실적</v>
          </cell>
        </row>
      </sheetData>
      <sheetData sheetId="5899">
        <row r="1">
          <cell r="A1" t="str">
            <v>1월 생산실적</v>
          </cell>
        </row>
      </sheetData>
      <sheetData sheetId="5900">
        <row r="1">
          <cell r="A1" t="str">
            <v>1월 생산실적</v>
          </cell>
        </row>
      </sheetData>
      <sheetData sheetId="5901">
        <row r="1">
          <cell r="A1" t="str">
            <v>1월 생산실적</v>
          </cell>
        </row>
      </sheetData>
      <sheetData sheetId="5902">
        <row r="1">
          <cell r="A1" t="str">
            <v>1월 생산실적</v>
          </cell>
        </row>
      </sheetData>
      <sheetData sheetId="5903">
        <row r="1">
          <cell r="A1" t="str">
            <v>1월 생산실적</v>
          </cell>
        </row>
      </sheetData>
      <sheetData sheetId="5904">
        <row r="1">
          <cell r="A1" t="str">
            <v>1월 생산실적</v>
          </cell>
        </row>
      </sheetData>
      <sheetData sheetId="5905">
        <row r="1">
          <cell r="A1" t="str">
            <v>1월 생산실적</v>
          </cell>
        </row>
      </sheetData>
      <sheetData sheetId="5906">
        <row r="1">
          <cell r="A1" t="str">
            <v>1월 생산실적</v>
          </cell>
        </row>
      </sheetData>
      <sheetData sheetId="5907">
        <row r="1">
          <cell r="A1" t="str">
            <v>1월 생산실적</v>
          </cell>
        </row>
      </sheetData>
      <sheetData sheetId="5908">
        <row r="1">
          <cell r="A1" t="str">
            <v>1월 생산실적</v>
          </cell>
        </row>
      </sheetData>
      <sheetData sheetId="5909">
        <row r="1">
          <cell r="A1" t="str">
            <v>1월 생산실적</v>
          </cell>
        </row>
      </sheetData>
      <sheetData sheetId="5910">
        <row r="1">
          <cell r="A1" t="str">
            <v>1월 생산실적</v>
          </cell>
        </row>
      </sheetData>
      <sheetData sheetId="5911">
        <row r="1">
          <cell r="A1" t="str">
            <v>1월 생산실적</v>
          </cell>
        </row>
      </sheetData>
      <sheetData sheetId="5912">
        <row r="1">
          <cell r="A1" t="str">
            <v>1월 생산실적</v>
          </cell>
        </row>
      </sheetData>
      <sheetData sheetId="5913">
        <row r="1">
          <cell r="A1" t="str">
            <v>1월 생산실적</v>
          </cell>
        </row>
      </sheetData>
      <sheetData sheetId="5914">
        <row r="1">
          <cell r="A1" t="str">
            <v>1월 생산실적</v>
          </cell>
        </row>
      </sheetData>
      <sheetData sheetId="5915">
        <row r="1">
          <cell r="A1" t="str">
            <v>1월 생산실적</v>
          </cell>
        </row>
      </sheetData>
      <sheetData sheetId="5916">
        <row r="1">
          <cell r="A1" t="str">
            <v>1월 생산실적</v>
          </cell>
        </row>
      </sheetData>
      <sheetData sheetId="5917">
        <row r="1">
          <cell r="A1" t="str">
            <v>1월 생산실적</v>
          </cell>
        </row>
      </sheetData>
      <sheetData sheetId="5918">
        <row r="1">
          <cell r="A1" t="str">
            <v>1월 생산실적</v>
          </cell>
        </row>
      </sheetData>
      <sheetData sheetId="5919">
        <row r="1">
          <cell r="A1" t="str">
            <v>1월 생산실적</v>
          </cell>
        </row>
      </sheetData>
      <sheetData sheetId="5920">
        <row r="1">
          <cell r="A1" t="str">
            <v>1월 생산실적</v>
          </cell>
        </row>
      </sheetData>
      <sheetData sheetId="5921">
        <row r="1">
          <cell r="A1" t="str">
            <v>1월 생산실적</v>
          </cell>
        </row>
      </sheetData>
      <sheetData sheetId="5922">
        <row r="1">
          <cell r="A1" t="str">
            <v>1월 생산실적</v>
          </cell>
        </row>
      </sheetData>
      <sheetData sheetId="5923">
        <row r="1">
          <cell r="A1" t="str">
            <v>1월 생산실적</v>
          </cell>
        </row>
      </sheetData>
      <sheetData sheetId="5924">
        <row r="1">
          <cell r="A1" t="str">
            <v>1월 생산실적</v>
          </cell>
        </row>
      </sheetData>
      <sheetData sheetId="5925">
        <row r="1">
          <cell r="A1" t="str">
            <v>1월 생산실적</v>
          </cell>
        </row>
      </sheetData>
      <sheetData sheetId="5926">
        <row r="1">
          <cell r="A1" t="str">
            <v>1월 생산실적</v>
          </cell>
        </row>
      </sheetData>
      <sheetData sheetId="5927">
        <row r="1">
          <cell r="A1" t="str">
            <v>1월 생산실적</v>
          </cell>
        </row>
      </sheetData>
      <sheetData sheetId="5928">
        <row r="1">
          <cell r="A1" t="str">
            <v>1월 생산실적</v>
          </cell>
        </row>
      </sheetData>
      <sheetData sheetId="5929">
        <row r="1">
          <cell r="A1" t="str">
            <v>1월 생산실적</v>
          </cell>
        </row>
      </sheetData>
      <sheetData sheetId="5930">
        <row r="1">
          <cell r="A1" t="str">
            <v>1월 생산실적</v>
          </cell>
        </row>
      </sheetData>
      <sheetData sheetId="5931">
        <row r="1">
          <cell r="A1" t="str">
            <v>1월 생산실적</v>
          </cell>
        </row>
      </sheetData>
      <sheetData sheetId="5932">
        <row r="1">
          <cell r="A1" t="str">
            <v>1월 생산실적</v>
          </cell>
        </row>
      </sheetData>
      <sheetData sheetId="5933">
        <row r="1">
          <cell r="A1" t="str">
            <v>1월 생산실적</v>
          </cell>
        </row>
      </sheetData>
      <sheetData sheetId="5934">
        <row r="1">
          <cell r="A1" t="str">
            <v>1월 생산실적</v>
          </cell>
        </row>
      </sheetData>
      <sheetData sheetId="5935">
        <row r="1">
          <cell r="A1" t="str">
            <v>1월 생산실적</v>
          </cell>
        </row>
      </sheetData>
      <sheetData sheetId="5936">
        <row r="1">
          <cell r="A1" t="str">
            <v>1월 생산실적</v>
          </cell>
        </row>
      </sheetData>
      <sheetData sheetId="5937">
        <row r="1">
          <cell r="A1" t="str">
            <v>1월 생산실적</v>
          </cell>
        </row>
      </sheetData>
      <sheetData sheetId="5938">
        <row r="1">
          <cell r="A1" t="str">
            <v>1월 생산실적</v>
          </cell>
        </row>
      </sheetData>
      <sheetData sheetId="5939">
        <row r="1">
          <cell r="A1" t="str">
            <v>1월 생산실적</v>
          </cell>
        </row>
      </sheetData>
      <sheetData sheetId="5940">
        <row r="1">
          <cell r="A1" t="str">
            <v>1월 생산실적</v>
          </cell>
        </row>
      </sheetData>
      <sheetData sheetId="5941">
        <row r="1">
          <cell r="A1" t="str">
            <v>1월 생산실적</v>
          </cell>
        </row>
      </sheetData>
      <sheetData sheetId="5942">
        <row r="1">
          <cell r="A1" t="str">
            <v>1월 생산실적</v>
          </cell>
        </row>
      </sheetData>
      <sheetData sheetId="5943">
        <row r="1">
          <cell r="A1" t="str">
            <v>1월 생산실적</v>
          </cell>
        </row>
      </sheetData>
      <sheetData sheetId="5944">
        <row r="1">
          <cell r="A1" t="str">
            <v>1월 생산실적</v>
          </cell>
        </row>
      </sheetData>
      <sheetData sheetId="5945">
        <row r="1">
          <cell r="A1" t="str">
            <v>1월 생산실적</v>
          </cell>
        </row>
      </sheetData>
      <sheetData sheetId="5946">
        <row r="1">
          <cell r="A1" t="str">
            <v>1월 생산실적</v>
          </cell>
        </row>
      </sheetData>
      <sheetData sheetId="5947">
        <row r="1">
          <cell r="A1" t="str">
            <v>1월 생산실적</v>
          </cell>
        </row>
      </sheetData>
      <sheetData sheetId="5948">
        <row r="1">
          <cell r="A1" t="str">
            <v>1월 생산실적</v>
          </cell>
        </row>
      </sheetData>
      <sheetData sheetId="5949">
        <row r="1">
          <cell r="A1" t="str">
            <v>1월 생산실적</v>
          </cell>
        </row>
      </sheetData>
      <sheetData sheetId="5950">
        <row r="1">
          <cell r="A1" t="str">
            <v>1월 생산실적</v>
          </cell>
        </row>
      </sheetData>
      <sheetData sheetId="5951">
        <row r="1">
          <cell r="A1" t="str">
            <v>1월 생산실적</v>
          </cell>
        </row>
      </sheetData>
      <sheetData sheetId="5952">
        <row r="1">
          <cell r="A1" t="str">
            <v>1월 생산실적</v>
          </cell>
        </row>
      </sheetData>
      <sheetData sheetId="5953">
        <row r="1">
          <cell r="A1" t="str">
            <v>1월 생산실적</v>
          </cell>
        </row>
      </sheetData>
      <sheetData sheetId="5954">
        <row r="1">
          <cell r="A1" t="str">
            <v>1월 생산실적</v>
          </cell>
        </row>
      </sheetData>
      <sheetData sheetId="5955">
        <row r="1">
          <cell r="A1" t="str">
            <v>1월 생산실적</v>
          </cell>
        </row>
      </sheetData>
      <sheetData sheetId="5956">
        <row r="1">
          <cell r="A1" t="str">
            <v>1월 생산실적</v>
          </cell>
        </row>
      </sheetData>
      <sheetData sheetId="5957">
        <row r="1">
          <cell r="A1" t="str">
            <v>1월 생산실적</v>
          </cell>
        </row>
      </sheetData>
      <sheetData sheetId="5958">
        <row r="1">
          <cell r="A1" t="str">
            <v>1월 생산실적</v>
          </cell>
        </row>
      </sheetData>
      <sheetData sheetId="5959">
        <row r="1">
          <cell r="A1" t="str">
            <v>1월 생산실적</v>
          </cell>
        </row>
      </sheetData>
      <sheetData sheetId="5960">
        <row r="1">
          <cell r="A1" t="str">
            <v>1월 생산실적</v>
          </cell>
        </row>
      </sheetData>
      <sheetData sheetId="5961">
        <row r="1">
          <cell r="A1" t="str">
            <v>1월 생산실적</v>
          </cell>
        </row>
      </sheetData>
      <sheetData sheetId="5962">
        <row r="1">
          <cell r="A1" t="str">
            <v>1월 생산실적</v>
          </cell>
        </row>
      </sheetData>
      <sheetData sheetId="5963">
        <row r="1">
          <cell r="A1" t="str">
            <v>1월 생산실적</v>
          </cell>
        </row>
      </sheetData>
      <sheetData sheetId="5964">
        <row r="1">
          <cell r="A1" t="str">
            <v>1월 생산실적</v>
          </cell>
        </row>
      </sheetData>
      <sheetData sheetId="5965">
        <row r="1">
          <cell r="A1" t="str">
            <v>1월 생산실적</v>
          </cell>
        </row>
      </sheetData>
      <sheetData sheetId="5966">
        <row r="1">
          <cell r="A1" t="str">
            <v>1월 생산실적</v>
          </cell>
        </row>
      </sheetData>
      <sheetData sheetId="5967">
        <row r="1">
          <cell r="A1" t="str">
            <v>1월 생산실적</v>
          </cell>
        </row>
      </sheetData>
      <sheetData sheetId="5968">
        <row r="1">
          <cell r="A1" t="str">
            <v>1월 생산실적</v>
          </cell>
        </row>
      </sheetData>
      <sheetData sheetId="5969">
        <row r="1">
          <cell r="A1" t="str">
            <v>1월 생산실적</v>
          </cell>
        </row>
      </sheetData>
      <sheetData sheetId="5970">
        <row r="1">
          <cell r="A1" t="str">
            <v>1월 생산실적</v>
          </cell>
        </row>
      </sheetData>
      <sheetData sheetId="5971">
        <row r="1">
          <cell r="A1" t="str">
            <v>1월 생산실적</v>
          </cell>
        </row>
      </sheetData>
      <sheetData sheetId="5972">
        <row r="1">
          <cell r="A1" t="str">
            <v>1월 생산실적</v>
          </cell>
        </row>
      </sheetData>
      <sheetData sheetId="5973">
        <row r="1">
          <cell r="A1" t="str">
            <v>1월 생산실적</v>
          </cell>
        </row>
      </sheetData>
      <sheetData sheetId="5974">
        <row r="1">
          <cell r="A1" t="str">
            <v>1월 생산실적</v>
          </cell>
        </row>
      </sheetData>
      <sheetData sheetId="5975">
        <row r="1">
          <cell r="A1" t="str">
            <v>1월 생산실적</v>
          </cell>
        </row>
      </sheetData>
      <sheetData sheetId="5976">
        <row r="1">
          <cell r="A1" t="str">
            <v>1월 생산실적</v>
          </cell>
        </row>
      </sheetData>
      <sheetData sheetId="5977">
        <row r="1">
          <cell r="A1" t="str">
            <v>1월 생산실적</v>
          </cell>
        </row>
      </sheetData>
      <sheetData sheetId="5978">
        <row r="1">
          <cell r="A1" t="str">
            <v>1월 생산실적</v>
          </cell>
        </row>
      </sheetData>
      <sheetData sheetId="5979">
        <row r="1">
          <cell r="A1" t="str">
            <v>1월 생산실적</v>
          </cell>
        </row>
      </sheetData>
      <sheetData sheetId="5980">
        <row r="1">
          <cell r="A1" t="str">
            <v>1월 생산실적</v>
          </cell>
        </row>
      </sheetData>
      <sheetData sheetId="5981">
        <row r="1">
          <cell r="A1" t="str">
            <v>1월 생산실적</v>
          </cell>
        </row>
      </sheetData>
      <sheetData sheetId="5982">
        <row r="1">
          <cell r="A1" t="str">
            <v>1월 생산실적</v>
          </cell>
        </row>
      </sheetData>
      <sheetData sheetId="5983">
        <row r="1">
          <cell r="A1" t="str">
            <v>1월 생산실적</v>
          </cell>
        </row>
      </sheetData>
      <sheetData sheetId="5984">
        <row r="1">
          <cell r="A1" t="str">
            <v>1월 생산실적</v>
          </cell>
        </row>
      </sheetData>
      <sheetData sheetId="5985">
        <row r="1">
          <cell r="A1" t="str">
            <v>1월 생산실적</v>
          </cell>
        </row>
      </sheetData>
      <sheetData sheetId="5986">
        <row r="1">
          <cell r="A1" t="str">
            <v>1월 생산실적</v>
          </cell>
        </row>
      </sheetData>
      <sheetData sheetId="5987">
        <row r="1">
          <cell r="A1" t="str">
            <v>1월 생산실적</v>
          </cell>
        </row>
      </sheetData>
      <sheetData sheetId="5988">
        <row r="1">
          <cell r="A1" t="str">
            <v>1월 생산실적</v>
          </cell>
        </row>
      </sheetData>
      <sheetData sheetId="5989">
        <row r="1">
          <cell r="A1" t="str">
            <v>1월 생산실적</v>
          </cell>
        </row>
      </sheetData>
      <sheetData sheetId="5990">
        <row r="1">
          <cell r="A1" t="str">
            <v>1월 생산실적</v>
          </cell>
        </row>
      </sheetData>
      <sheetData sheetId="5991">
        <row r="1">
          <cell r="A1" t="str">
            <v>1월 생산실적</v>
          </cell>
        </row>
      </sheetData>
      <sheetData sheetId="5992">
        <row r="1">
          <cell r="A1" t="str">
            <v>1월 생산실적</v>
          </cell>
        </row>
      </sheetData>
      <sheetData sheetId="5993">
        <row r="1">
          <cell r="A1" t="str">
            <v>1월 생산실적</v>
          </cell>
        </row>
      </sheetData>
      <sheetData sheetId="5994">
        <row r="1">
          <cell r="A1" t="str">
            <v>1월 생산실적</v>
          </cell>
        </row>
      </sheetData>
      <sheetData sheetId="5995">
        <row r="1">
          <cell r="A1" t="str">
            <v>1월 생산실적</v>
          </cell>
        </row>
      </sheetData>
      <sheetData sheetId="5996">
        <row r="1">
          <cell r="A1" t="str">
            <v>1월 생산실적</v>
          </cell>
        </row>
      </sheetData>
      <sheetData sheetId="5997">
        <row r="1">
          <cell r="A1" t="str">
            <v>1월 생산실적</v>
          </cell>
        </row>
      </sheetData>
      <sheetData sheetId="5998">
        <row r="1">
          <cell r="A1" t="str">
            <v>1월 생산실적</v>
          </cell>
        </row>
      </sheetData>
      <sheetData sheetId="5999">
        <row r="1">
          <cell r="A1" t="str">
            <v>1월 생산실적</v>
          </cell>
        </row>
      </sheetData>
      <sheetData sheetId="6000">
        <row r="1">
          <cell r="A1" t="str">
            <v>1월 생산실적</v>
          </cell>
        </row>
      </sheetData>
      <sheetData sheetId="6001">
        <row r="1">
          <cell r="A1" t="str">
            <v>1월 생산실적</v>
          </cell>
        </row>
      </sheetData>
      <sheetData sheetId="6002">
        <row r="1">
          <cell r="A1" t="str">
            <v>1월 생산실적</v>
          </cell>
        </row>
      </sheetData>
      <sheetData sheetId="6003">
        <row r="1">
          <cell r="A1" t="str">
            <v>1월 생산실적</v>
          </cell>
        </row>
      </sheetData>
      <sheetData sheetId="6004">
        <row r="1">
          <cell r="A1" t="str">
            <v>1월 생산실적</v>
          </cell>
        </row>
      </sheetData>
      <sheetData sheetId="6005">
        <row r="1">
          <cell r="A1" t="str">
            <v>1월 생산실적</v>
          </cell>
        </row>
      </sheetData>
      <sheetData sheetId="6006">
        <row r="1">
          <cell r="A1" t="str">
            <v>1월 생산실적</v>
          </cell>
        </row>
      </sheetData>
      <sheetData sheetId="6007">
        <row r="1">
          <cell r="A1" t="str">
            <v>1월 생산실적</v>
          </cell>
        </row>
      </sheetData>
      <sheetData sheetId="6008">
        <row r="1">
          <cell r="A1" t="str">
            <v>1월 생산실적</v>
          </cell>
        </row>
      </sheetData>
      <sheetData sheetId="6009">
        <row r="1">
          <cell r="A1" t="str">
            <v>1월 생산실적</v>
          </cell>
        </row>
      </sheetData>
      <sheetData sheetId="6010">
        <row r="1">
          <cell r="A1" t="str">
            <v>1월 생산실적</v>
          </cell>
        </row>
      </sheetData>
      <sheetData sheetId="6011">
        <row r="1">
          <cell r="A1" t="str">
            <v>1월 생산실적</v>
          </cell>
        </row>
      </sheetData>
      <sheetData sheetId="6012">
        <row r="1">
          <cell r="A1" t="str">
            <v>1월 생산실적</v>
          </cell>
        </row>
      </sheetData>
      <sheetData sheetId="6013">
        <row r="1">
          <cell r="A1" t="str">
            <v>1월 생산실적</v>
          </cell>
        </row>
      </sheetData>
      <sheetData sheetId="6014">
        <row r="1">
          <cell r="A1" t="str">
            <v>1월 생산실적</v>
          </cell>
        </row>
      </sheetData>
      <sheetData sheetId="6015">
        <row r="1">
          <cell r="A1" t="str">
            <v>1월 생산실적</v>
          </cell>
        </row>
      </sheetData>
      <sheetData sheetId="6016">
        <row r="1">
          <cell r="A1" t="str">
            <v>1월 생산실적</v>
          </cell>
        </row>
      </sheetData>
      <sheetData sheetId="6017">
        <row r="1">
          <cell r="A1" t="str">
            <v>1월 생산실적</v>
          </cell>
        </row>
      </sheetData>
      <sheetData sheetId="6018">
        <row r="1">
          <cell r="A1" t="str">
            <v>1월 생산실적</v>
          </cell>
        </row>
      </sheetData>
      <sheetData sheetId="6019">
        <row r="1">
          <cell r="A1" t="str">
            <v>1월 생산실적</v>
          </cell>
        </row>
      </sheetData>
      <sheetData sheetId="6020">
        <row r="1">
          <cell r="A1" t="str">
            <v>1월 생산실적</v>
          </cell>
        </row>
      </sheetData>
      <sheetData sheetId="6021">
        <row r="1">
          <cell r="A1" t="str">
            <v>1월 생산실적</v>
          </cell>
        </row>
      </sheetData>
      <sheetData sheetId="6022">
        <row r="1">
          <cell r="A1" t="str">
            <v>1월 생산실적</v>
          </cell>
        </row>
      </sheetData>
      <sheetData sheetId="6023">
        <row r="1">
          <cell r="A1" t="str">
            <v>1월 생산실적</v>
          </cell>
        </row>
      </sheetData>
      <sheetData sheetId="6024">
        <row r="1">
          <cell r="A1" t="str">
            <v>1월 생산실적</v>
          </cell>
        </row>
      </sheetData>
      <sheetData sheetId="6025">
        <row r="1">
          <cell r="A1" t="str">
            <v>1월 생산실적</v>
          </cell>
        </row>
      </sheetData>
      <sheetData sheetId="6026">
        <row r="1">
          <cell r="A1" t="str">
            <v>1월 생산실적</v>
          </cell>
        </row>
      </sheetData>
      <sheetData sheetId="6027">
        <row r="1">
          <cell r="A1" t="str">
            <v>1월 생산실적</v>
          </cell>
        </row>
      </sheetData>
      <sheetData sheetId="6028">
        <row r="1">
          <cell r="A1" t="str">
            <v>1월 생산실적</v>
          </cell>
        </row>
      </sheetData>
      <sheetData sheetId="6029">
        <row r="1">
          <cell r="A1" t="str">
            <v>1월 생산실적</v>
          </cell>
        </row>
      </sheetData>
      <sheetData sheetId="6030">
        <row r="1">
          <cell r="A1" t="str">
            <v>1월 생산실적</v>
          </cell>
        </row>
      </sheetData>
      <sheetData sheetId="6031">
        <row r="1">
          <cell r="A1" t="str">
            <v>1월 생산실적</v>
          </cell>
        </row>
      </sheetData>
      <sheetData sheetId="6032">
        <row r="1">
          <cell r="A1" t="str">
            <v>1월 생산실적</v>
          </cell>
        </row>
      </sheetData>
      <sheetData sheetId="6033">
        <row r="1">
          <cell r="A1" t="str">
            <v>1월 생산실적</v>
          </cell>
        </row>
      </sheetData>
      <sheetData sheetId="6034">
        <row r="1">
          <cell r="A1" t="str">
            <v>1월 생산실적</v>
          </cell>
        </row>
      </sheetData>
      <sheetData sheetId="6035">
        <row r="1">
          <cell r="A1" t="str">
            <v>1월 생산실적</v>
          </cell>
        </row>
      </sheetData>
      <sheetData sheetId="6036">
        <row r="1">
          <cell r="A1" t="str">
            <v>1월 생산실적</v>
          </cell>
        </row>
      </sheetData>
      <sheetData sheetId="6037">
        <row r="1">
          <cell r="A1" t="str">
            <v>1월 생산실적</v>
          </cell>
        </row>
      </sheetData>
      <sheetData sheetId="6038">
        <row r="1">
          <cell r="A1" t="str">
            <v>1월 생산실적</v>
          </cell>
        </row>
      </sheetData>
      <sheetData sheetId="6039">
        <row r="1">
          <cell r="A1" t="str">
            <v>1월 생산실적</v>
          </cell>
        </row>
      </sheetData>
      <sheetData sheetId="6040">
        <row r="1">
          <cell r="A1" t="str">
            <v>1월 생산실적</v>
          </cell>
        </row>
      </sheetData>
      <sheetData sheetId="6041">
        <row r="1">
          <cell r="A1" t="str">
            <v>1월 생산실적</v>
          </cell>
        </row>
      </sheetData>
      <sheetData sheetId="6042">
        <row r="1">
          <cell r="A1" t="str">
            <v>1월 생산실적</v>
          </cell>
        </row>
      </sheetData>
      <sheetData sheetId="6043">
        <row r="1">
          <cell r="A1" t="str">
            <v>1월 생산실적</v>
          </cell>
        </row>
      </sheetData>
      <sheetData sheetId="6044">
        <row r="1">
          <cell r="A1" t="str">
            <v>1월 생산실적</v>
          </cell>
        </row>
      </sheetData>
      <sheetData sheetId="6045">
        <row r="1">
          <cell r="A1" t="str">
            <v>1월 생산실적</v>
          </cell>
        </row>
      </sheetData>
      <sheetData sheetId="6046">
        <row r="1">
          <cell r="A1" t="str">
            <v>1월 생산실적</v>
          </cell>
        </row>
      </sheetData>
      <sheetData sheetId="6047">
        <row r="1">
          <cell r="A1" t="str">
            <v>1월 생산실적</v>
          </cell>
        </row>
      </sheetData>
      <sheetData sheetId="6048">
        <row r="1">
          <cell r="A1" t="str">
            <v>1월 생산실적</v>
          </cell>
        </row>
      </sheetData>
      <sheetData sheetId="6049">
        <row r="1">
          <cell r="A1" t="str">
            <v>1월 생산실적</v>
          </cell>
        </row>
      </sheetData>
      <sheetData sheetId="6050">
        <row r="1">
          <cell r="A1" t="str">
            <v>1월 생산실적</v>
          </cell>
        </row>
      </sheetData>
      <sheetData sheetId="6051">
        <row r="1">
          <cell r="A1" t="str">
            <v>1월 생산실적</v>
          </cell>
        </row>
      </sheetData>
      <sheetData sheetId="6052">
        <row r="1">
          <cell r="A1" t="str">
            <v>1월 생산실적</v>
          </cell>
        </row>
      </sheetData>
      <sheetData sheetId="6053">
        <row r="1">
          <cell r="A1" t="str">
            <v>1월 생산실적</v>
          </cell>
        </row>
      </sheetData>
      <sheetData sheetId="6054">
        <row r="1">
          <cell r="A1" t="str">
            <v>1월 생산실적</v>
          </cell>
        </row>
      </sheetData>
      <sheetData sheetId="6055">
        <row r="1">
          <cell r="A1" t="str">
            <v>1월 생산실적</v>
          </cell>
        </row>
      </sheetData>
      <sheetData sheetId="6056">
        <row r="1">
          <cell r="A1" t="str">
            <v>1월 생산실적</v>
          </cell>
        </row>
      </sheetData>
      <sheetData sheetId="6057">
        <row r="1">
          <cell r="A1" t="str">
            <v>1월 생산실적</v>
          </cell>
        </row>
      </sheetData>
      <sheetData sheetId="6058">
        <row r="1">
          <cell r="A1" t="str">
            <v>1월 생산실적</v>
          </cell>
        </row>
      </sheetData>
      <sheetData sheetId="6059">
        <row r="1">
          <cell r="A1" t="str">
            <v>1월 생산실적</v>
          </cell>
        </row>
      </sheetData>
      <sheetData sheetId="6060">
        <row r="1">
          <cell r="A1" t="str">
            <v>1월 생산실적</v>
          </cell>
        </row>
      </sheetData>
      <sheetData sheetId="6061">
        <row r="1">
          <cell r="A1" t="str">
            <v>1월 생산실적</v>
          </cell>
        </row>
      </sheetData>
      <sheetData sheetId="6062">
        <row r="1">
          <cell r="A1" t="str">
            <v>1월 생산실적</v>
          </cell>
        </row>
      </sheetData>
      <sheetData sheetId="6063">
        <row r="1">
          <cell r="A1" t="str">
            <v>1월 생산실적</v>
          </cell>
        </row>
      </sheetData>
      <sheetData sheetId="6064">
        <row r="1">
          <cell r="A1" t="str">
            <v>1월 생산실적</v>
          </cell>
        </row>
      </sheetData>
      <sheetData sheetId="6065">
        <row r="1">
          <cell r="A1" t="str">
            <v>1월 생산실적</v>
          </cell>
        </row>
      </sheetData>
      <sheetData sheetId="6066">
        <row r="1">
          <cell r="A1" t="str">
            <v>1월 생산실적</v>
          </cell>
        </row>
      </sheetData>
      <sheetData sheetId="6067">
        <row r="1">
          <cell r="A1" t="str">
            <v>1월 생산실적</v>
          </cell>
        </row>
      </sheetData>
      <sheetData sheetId="6068">
        <row r="1">
          <cell r="A1" t="str">
            <v>1월 생산실적</v>
          </cell>
        </row>
      </sheetData>
      <sheetData sheetId="6069">
        <row r="1">
          <cell r="A1" t="str">
            <v>1월 생산실적</v>
          </cell>
        </row>
      </sheetData>
      <sheetData sheetId="6070">
        <row r="1">
          <cell r="A1" t="str">
            <v>1월 생산실적</v>
          </cell>
        </row>
      </sheetData>
      <sheetData sheetId="6071">
        <row r="1">
          <cell r="A1" t="str">
            <v>1월 생산실적</v>
          </cell>
        </row>
      </sheetData>
      <sheetData sheetId="6072">
        <row r="1">
          <cell r="A1" t="str">
            <v>1월 생산실적</v>
          </cell>
        </row>
      </sheetData>
      <sheetData sheetId="6073">
        <row r="1">
          <cell r="A1" t="str">
            <v>1월 생산실적</v>
          </cell>
        </row>
      </sheetData>
      <sheetData sheetId="6074">
        <row r="1">
          <cell r="A1" t="str">
            <v>1월 생산실적</v>
          </cell>
        </row>
      </sheetData>
      <sheetData sheetId="6075">
        <row r="1">
          <cell r="A1" t="str">
            <v>1월 생산실적</v>
          </cell>
        </row>
      </sheetData>
      <sheetData sheetId="6076">
        <row r="1">
          <cell r="A1" t="str">
            <v>1월 생산실적</v>
          </cell>
        </row>
      </sheetData>
      <sheetData sheetId="6077">
        <row r="1">
          <cell r="A1" t="str">
            <v>1월 생산실적</v>
          </cell>
        </row>
      </sheetData>
      <sheetData sheetId="6078">
        <row r="1">
          <cell r="A1" t="str">
            <v>1월 생산실적</v>
          </cell>
        </row>
      </sheetData>
      <sheetData sheetId="6079">
        <row r="1">
          <cell r="A1" t="str">
            <v>1월 생산실적</v>
          </cell>
        </row>
      </sheetData>
      <sheetData sheetId="6080">
        <row r="1">
          <cell r="A1" t="str">
            <v>1월 생산실적</v>
          </cell>
        </row>
      </sheetData>
      <sheetData sheetId="6081">
        <row r="1">
          <cell r="A1" t="str">
            <v>1월 생산실적</v>
          </cell>
        </row>
      </sheetData>
      <sheetData sheetId="6082">
        <row r="1">
          <cell r="A1" t="str">
            <v>1월 생산실적</v>
          </cell>
        </row>
      </sheetData>
      <sheetData sheetId="6083">
        <row r="1">
          <cell r="A1" t="str">
            <v>1월 생산실적</v>
          </cell>
        </row>
      </sheetData>
      <sheetData sheetId="6084">
        <row r="1">
          <cell r="A1" t="str">
            <v>1월 생산실적</v>
          </cell>
        </row>
      </sheetData>
      <sheetData sheetId="6085">
        <row r="1">
          <cell r="A1" t="str">
            <v>1월 생산실적</v>
          </cell>
        </row>
      </sheetData>
      <sheetData sheetId="6086">
        <row r="1">
          <cell r="A1" t="str">
            <v>1월 생산실적</v>
          </cell>
        </row>
      </sheetData>
      <sheetData sheetId="6087">
        <row r="1">
          <cell r="A1" t="str">
            <v>1월 생산실적</v>
          </cell>
        </row>
      </sheetData>
      <sheetData sheetId="6088">
        <row r="1">
          <cell r="A1" t="str">
            <v>1월 생산실적</v>
          </cell>
        </row>
      </sheetData>
      <sheetData sheetId="6089">
        <row r="1">
          <cell r="A1" t="str">
            <v>1월 생산실적</v>
          </cell>
        </row>
      </sheetData>
      <sheetData sheetId="6090">
        <row r="1">
          <cell r="A1" t="str">
            <v>1월 생산실적</v>
          </cell>
        </row>
      </sheetData>
      <sheetData sheetId="6091">
        <row r="1">
          <cell r="A1" t="str">
            <v>1월 생산실적</v>
          </cell>
        </row>
      </sheetData>
      <sheetData sheetId="6092">
        <row r="1">
          <cell r="A1" t="str">
            <v>1월 생산실적</v>
          </cell>
        </row>
      </sheetData>
      <sheetData sheetId="6093">
        <row r="1">
          <cell r="A1" t="str">
            <v>1월 생산실적</v>
          </cell>
        </row>
      </sheetData>
      <sheetData sheetId="6094">
        <row r="1">
          <cell r="A1" t="str">
            <v>1월 생산실적</v>
          </cell>
        </row>
      </sheetData>
      <sheetData sheetId="6095">
        <row r="1">
          <cell r="A1" t="str">
            <v>1월 생산실적</v>
          </cell>
        </row>
      </sheetData>
      <sheetData sheetId="6096">
        <row r="1">
          <cell r="A1" t="str">
            <v>1월 생산실적</v>
          </cell>
        </row>
      </sheetData>
      <sheetData sheetId="6097">
        <row r="1">
          <cell r="A1" t="str">
            <v>1월 생산실적</v>
          </cell>
        </row>
      </sheetData>
      <sheetData sheetId="6098">
        <row r="1">
          <cell r="A1" t="str">
            <v>1월 생산실적</v>
          </cell>
        </row>
      </sheetData>
      <sheetData sheetId="6099">
        <row r="1">
          <cell r="A1" t="str">
            <v>1월 생산실적</v>
          </cell>
        </row>
      </sheetData>
      <sheetData sheetId="6100">
        <row r="1">
          <cell r="A1" t="str">
            <v>1월 생산실적</v>
          </cell>
        </row>
      </sheetData>
      <sheetData sheetId="6101">
        <row r="1">
          <cell r="A1" t="str">
            <v>1월 생산실적</v>
          </cell>
        </row>
      </sheetData>
      <sheetData sheetId="6102">
        <row r="1">
          <cell r="A1" t="str">
            <v>1월 생산실적</v>
          </cell>
        </row>
      </sheetData>
      <sheetData sheetId="6103">
        <row r="1">
          <cell r="A1" t="str">
            <v>1월 생산실적</v>
          </cell>
        </row>
      </sheetData>
      <sheetData sheetId="6104">
        <row r="1">
          <cell r="A1" t="str">
            <v>1월 생산실적</v>
          </cell>
        </row>
      </sheetData>
      <sheetData sheetId="6105">
        <row r="1">
          <cell r="A1" t="str">
            <v>1월 생산실적</v>
          </cell>
        </row>
      </sheetData>
      <sheetData sheetId="6106">
        <row r="1">
          <cell r="A1" t="str">
            <v>1월 생산실적</v>
          </cell>
        </row>
      </sheetData>
      <sheetData sheetId="6107">
        <row r="1">
          <cell r="A1" t="str">
            <v>1월 생산실적</v>
          </cell>
        </row>
      </sheetData>
      <sheetData sheetId="6108">
        <row r="1">
          <cell r="A1" t="str">
            <v>1월 생산실적</v>
          </cell>
        </row>
      </sheetData>
      <sheetData sheetId="6109">
        <row r="1">
          <cell r="A1" t="str">
            <v>1월 생산실적</v>
          </cell>
        </row>
      </sheetData>
      <sheetData sheetId="6110">
        <row r="1">
          <cell r="A1" t="str">
            <v>1월 생산실적</v>
          </cell>
        </row>
      </sheetData>
      <sheetData sheetId="6111">
        <row r="1">
          <cell r="A1" t="str">
            <v>1월 생산실적</v>
          </cell>
        </row>
      </sheetData>
      <sheetData sheetId="6112">
        <row r="1">
          <cell r="A1" t="str">
            <v>1월 생산실적</v>
          </cell>
        </row>
      </sheetData>
      <sheetData sheetId="6113">
        <row r="1">
          <cell r="A1" t="str">
            <v>1월 생산실적</v>
          </cell>
        </row>
      </sheetData>
      <sheetData sheetId="6114">
        <row r="1">
          <cell r="A1" t="str">
            <v>1월 생산실적</v>
          </cell>
        </row>
      </sheetData>
      <sheetData sheetId="6115">
        <row r="1">
          <cell r="A1" t="str">
            <v>1월 생산실적</v>
          </cell>
        </row>
      </sheetData>
      <sheetData sheetId="6116">
        <row r="1">
          <cell r="A1" t="str">
            <v>1월 생산실적</v>
          </cell>
        </row>
      </sheetData>
      <sheetData sheetId="6117">
        <row r="1">
          <cell r="A1" t="str">
            <v>1월 생산실적</v>
          </cell>
        </row>
      </sheetData>
      <sheetData sheetId="6118">
        <row r="1">
          <cell r="A1" t="str">
            <v>1월 생산실적</v>
          </cell>
        </row>
      </sheetData>
      <sheetData sheetId="6119">
        <row r="1">
          <cell r="A1" t="str">
            <v>1월 생산실적</v>
          </cell>
        </row>
      </sheetData>
      <sheetData sheetId="6120">
        <row r="1">
          <cell r="A1" t="str">
            <v>1월 생산실적</v>
          </cell>
        </row>
      </sheetData>
      <sheetData sheetId="6121">
        <row r="1">
          <cell r="A1" t="str">
            <v>1월 생산실적</v>
          </cell>
        </row>
      </sheetData>
      <sheetData sheetId="6122">
        <row r="1">
          <cell r="A1" t="str">
            <v>1월 생산실적</v>
          </cell>
        </row>
      </sheetData>
      <sheetData sheetId="6123">
        <row r="1">
          <cell r="A1" t="str">
            <v>1월 생산실적</v>
          </cell>
        </row>
      </sheetData>
      <sheetData sheetId="6124">
        <row r="1">
          <cell r="A1" t="str">
            <v>1월 생산실적</v>
          </cell>
        </row>
      </sheetData>
      <sheetData sheetId="6125">
        <row r="1">
          <cell r="A1" t="str">
            <v>1월 생산실적</v>
          </cell>
        </row>
      </sheetData>
      <sheetData sheetId="6126">
        <row r="1">
          <cell r="A1" t="str">
            <v>1월 생산실적</v>
          </cell>
        </row>
      </sheetData>
      <sheetData sheetId="6127">
        <row r="1">
          <cell r="A1" t="str">
            <v>1월 생산실적</v>
          </cell>
        </row>
      </sheetData>
      <sheetData sheetId="6128">
        <row r="1">
          <cell r="A1" t="str">
            <v>1월 생산실적</v>
          </cell>
        </row>
      </sheetData>
      <sheetData sheetId="6129">
        <row r="1">
          <cell r="A1" t="str">
            <v>1월 생산실적</v>
          </cell>
        </row>
      </sheetData>
      <sheetData sheetId="6130">
        <row r="1">
          <cell r="A1" t="str">
            <v>1월 생산실적</v>
          </cell>
        </row>
      </sheetData>
      <sheetData sheetId="6131">
        <row r="1">
          <cell r="A1" t="str">
            <v>1월 생산실적</v>
          </cell>
        </row>
      </sheetData>
      <sheetData sheetId="6132">
        <row r="1">
          <cell r="A1" t="str">
            <v>1월 생산실적</v>
          </cell>
        </row>
      </sheetData>
      <sheetData sheetId="6133">
        <row r="1">
          <cell r="A1" t="str">
            <v>1월 생산실적</v>
          </cell>
        </row>
      </sheetData>
      <sheetData sheetId="6134">
        <row r="1">
          <cell r="A1" t="str">
            <v>1월 생산실적</v>
          </cell>
        </row>
      </sheetData>
      <sheetData sheetId="6135">
        <row r="1">
          <cell r="A1" t="str">
            <v>1월 생산실적</v>
          </cell>
        </row>
      </sheetData>
      <sheetData sheetId="6136">
        <row r="1">
          <cell r="A1" t="str">
            <v>1월 생산실적</v>
          </cell>
        </row>
      </sheetData>
      <sheetData sheetId="6137">
        <row r="1">
          <cell r="A1" t="str">
            <v>1월 생산실적</v>
          </cell>
        </row>
      </sheetData>
      <sheetData sheetId="6138">
        <row r="1">
          <cell r="A1" t="str">
            <v>1월 생산실적</v>
          </cell>
        </row>
      </sheetData>
      <sheetData sheetId="6139">
        <row r="1">
          <cell r="A1" t="str">
            <v>1월 생산실적</v>
          </cell>
        </row>
      </sheetData>
      <sheetData sheetId="6140">
        <row r="1">
          <cell r="A1" t="str">
            <v>1월 생산실적</v>
          </cell>
        </row>
      </sheetData>
      <sheetData sheetId="6141">
        <row r="1">
          <cell r="A1" t="str">
            <v>1월 생산실적</v>
          </cell>
        </row>
      </sheetData>
      <sheetData sheetId="6142">
        <row r="1">
          <cell r="A1" t="str">
            <v>1월 생산실적</v>
          </cell>
        </row>
      </sheetData>
      <sheetData sheetId="6143">
        <row r="1">
          <cell r="A1" t="str">
            <v>1월 생산실적</v>
          </cell>
        </row>
      </sheetData>
      <sheetData sheetId="6144">
        <row r="1">
          <cell r="A1" t="str">
            <v>1월 생산실적</v>
          </cell>
        </row>
      </sheetData>
      <sheetData sheetId="6145">
        <row r="1">
          <cell r="A1" t="str">
            <v>1월 생산실적</v>
          </cell>
        </row>
      </sheetData>
      <sheetData sheetId="6146">
        <row r="1">
          <cell r="A1" t="str">
            <v>1월 생산실적</v>
          </cell>
        </row>
      </sheetData>
      <sheetData sheetId="6147">
        <row r="1">
          <cell r="A1" t="str">
            <v>1월 생산실적</v>
          </cell>
        </row>
      </sheetData>
      <sheetData sheetId="6148">
        <row r="1">
          <cell r="A1" t="str">
            <v>1월 생산실적</v>
          </cell>
        </row>
      </sheetData>
      <sheetData sheetId="6149">
        <row r="1">
          <cell r="A1" t="str">
            <v>1월 생산실적</v>
          </cell>
        </row>
      </sheetData>
      <sheetData sheetId="6150">
        <row r="1">
          <cell r="A1" t="str">
            <v>1월 생산실적</v>
          </cell>
        </row>
      </sheetData>
      <sheetData sheetId="6151">
        <row r="1">
          <cell r="A1" t="str">
            <v>1월 생산실적</v>
          </cell>
        </row>
      </sheetData>
      <sheetData sheetId="6152">
        <row r="1">
          <cell r="A1" t="str">
            <v>1월 생산실적</v>
          </cell>
        </row>
      </sheetData>
      <sheetData sheetId="6153">
        <row r="1">
          <cell r="A1" t="str">
            <v>1월 생산실적</v>
          </cell>
        </row>
      </sheetData>
      <sheetData sheetId="6154">
        <row r="1">
          <cell r="A1" t="str">
            <v>1월 생산실적</v>
          </cell>
        </row>
      </sheetData>
      <sheetData sheetId="6155">
        <row r="1">
          <cell r="A1" t="str">
            <v>1월 생산실적</v>
          </cell>
        </row>
      </sheetData>
      <sheetData sheetId="6156">
        <row r="1">
          <cell r="A1" t="str">
            <v>1월 생산실적</v>
          </cell>
        </row>
      </sheetData>
      <sheetData sheetId="6157">
        <row r="1">
          <cell r="A1" t="str">
            <v>1월 생산실적</v>
          </cell>
        </row>
      </sheetData>
      <sheetData sheetId="6158">
        <row r="1">
          <cell r="A1" t="str">
            <v>1월 생산실적</v>
          </cell>
        </row>
      </sheetData>
      <sheetData sheetId="6159">
        <row r="1">
          <cell r="A1" t="str">
            <v>1월 생산실적</v>
          </cell>
        </row>
      </sheetData>
      <sheetData sheetId="6160">
        <row r="1">
          <cell r="A1" t="str">
            <v>1월 생산실적</v>
          </cell>
        </row>
      </sheetData>
      <sheetData sheetId="6161">
        <row r="1">
          <cell r="A1" t="str">
            <v>1월 생산실적</v>
          </cell>
        </row>
      </sheetData>
      <sheetData sheetId="6162">
        <row r="1">
          <cell r="A1" t="str">
            <v>1월 생산실적</v>
          </cell>
        </row>
      </sheetData>
      <sheetData sheetId="6163">
        <row r="1">
          <cell r="A1" t="str">
            <v>1월 생산실적</v>
          </cell>
        </row>
      </sheetData>
      <sheetData sheetId="6164">
        <row r="1">
          <cell r="A1" t="str">
            <v>1월 생산실적</v>
          </cell>
        </row>
      </sheetData>
      <sheetData sheetId="6165">
        <row r="1">
          <cell r="A1" t="str">
            <v>1월 생산실적</v>
          </cell>
        </row>
      </sheetData>
      <sheetData sheetId="6166">
        <row r="1">
          <cell r="A1" t="str">
            <v>1월 생산실적</v>
          </cell>
        </row>
      </sheetData>
      <sheetData sheetId="6167">
        <row r="1">
          <cell r="A1" t="str">
            <v>1월 생산실적</v>
          </cell>
        </row>
      </sheetData>
      <sheetData sheetId="6168">
        <row r="1">
          <cell r="A1" t="str">
            <v>1월 생산실적</v>
          </cell>
        </row>
      </sheetData>
      <sheetData sheetId="6169">
        <row r="1">
          <cell r="A1" t="str">
            <v>1월 생산실적</v>
          </cell>
        </row>
      </sheetData>
      <sheetData sheetId="6170">
        <row r="1">
          <cell r="A1" t="str">
            <v>1월 생산실적</v>
          </cell>
        </row>
      </sheetData>
      <sheetData sheetId="6171">
        <row r="1">
          <cell r="A1" t="str">
            <v>1월 생산실적</v>
          </cell>
        </row>
      </sheetData>
      <sheetData sheetId="6172">
        <row r="1">
          <cell r="A1" t="str">
            <v>1월 생산실적</v>
          </cell>
        </row>
      </sheetData>
      <sheetData sheetId="6173">
        <row r="1">
          <cell r="A1" t="str">
            <v>1월 생산실적</v>
          </cell>
        </row>
      </sheetData>
      <sheetData sheetId="6174">
        <row r="1">
          <cell r="A1" t="str">
            <v>1월 생산실적</v>
          </cell>
        </row>
      </sheetData>
      <sheetData sheetId="6175">
        <row r="1">
          <cell r="A1" t="str">
            <v>1월 생산실적</v>
          </cell>
        </row>
      </sheetData>
      <sheetData sheetId="6176">
        <row r="1">
          <cell r="A1" t="str">
            <v>1월 생산실적</v>
          </cell>
        </row>
      </sheetData>
      <sheetData sheetId="6177">
        <row r="1">
          <cell r="A1" t="str">
            <v>1월 생산실적</v>
          </cell>
        </row>
      </sheetData>
      <sheetData sheetId="6178">
        <row r="1">
          <cell r="A1" t="str">
            <v>1월 생산실적</v>
          </cell>
        </row>
      </sheetData>
      <sheetData sheetId="6179">
        <row r="1">
          <cell r="A1" t="str">
            <v>1월 생산실적</v>
          </cell>
        </row>
      </sheetData>
      <sheetData sheetId="6180">
        <row r="1">
          <cell r="A1" t="str">
            <v>1월 생산실적</v>
          </cell>
        </row>
      </sheetData>
      <sheetData sheetId="6181">
        <row r="1">
          <cell r="A1" t="str">
            <v>1월 생산실적</v>
          </cell>
        </row>
      </sheetData>
      <sheetData sheetId="6182">
        <row r="1">
          <cell r="A1" t="str">
            <v>1월 생산실적</v>
          </cell>
        </row>
      </sheetData>
      <sheetData sheetId="6183">
        <row r="1">
          <cell r="A1" t="str">
            <v>1월 생산실적</v>
          </cell>
        </row>
      </sheetData>
      <sheetData sheetId="6184">
        <row r="1">
          <cell r="A1" t="str">
            <v>1월 생산실적</v>
          </cell>
        </row>
      </sheetData>
      <sheetData sheetId="6185">
        <row r="1">
          <cell r="A1" t="str">
            <v>1월 생산실적</v>
          </cell>
        </row>
      </sheetData>
      <sheetData sheetId="6186">
        <row r="1">
          <cell r="A1" t="str">
            <v>1월 생산실적</v>
          </cell>
        </row>
      </sheetData>
      <sheetData sheetId="6187">
        <row r="1">
          <cell r="A1" t="str">
            <v>1월 생산실적</v>
          </cell>
        </row>
      </sheetData>
      <sheetData sheetId="6188">
        <row r="1">
          <cell r="A1" t="str">
            <v>1월 생산실적</v>
          </cell>
        </row>
      </sheetData>
      <sheetData sheetId="6189">
        <row r="1">
          <cell r="A1" t="str">
            <v>1월 생산실적</v>
          </cell>
        </row>
      </sheetData>
      <sheetData sheetId="6190">
        <row r="1">
          <cell r="A1" t="str">
            <v>1월 생산실적</v>
          </cell>
        </row>
      </sheetData>
      <sheetData sheetId="6191">
        <row r="1">
          <cell r="A1" t="str">
            <v>1월 생산실적</v>
          </cell>
        </row>
      </sheetData>
      <sheetData sheetId="6192">
        <row r="1">
          <cell r="A1" t="str">
            <v>1월 생산실적</v>
          </cell>
        </row>
      </sheetData>
      <sheetData sheetId="6193">
        <row r="1">
          <cell r="A1" t="str">
            <v>1월 생산실적</v>
          </cell>
        </row>
      </sheetData>
      <sheetData sheetId="6194">
        <row r="1">
          <cell r="A1" t="str">
            <v>1월 생산실적</v>
          </cell>
        </row>
      </sheetData>
      <sheetData sheetId="6195">
        <row r="1">
          <cell r="A1" t="str">
            <v>1월 생산실적</v>
          </cell>
        </row>
      </sheetData>
      <sheetData sheetId="6196">
        <row r="1">
          <cell r="A1" t="str">
            <v>1월 생산실적</v>
          </cell>
        </row>
      </sheetData>
      <sheetData sheetId="6197">
        <row r="1">
          <cell r="A1" t="str">
            <v>1월 생산실적</v>
          </cell>
        </row>
      </sheetData>
      <sheetData sheetId="6198">
        <row r="1">
          <cell r="A1" t="str">
            <v>1월 생산실적</v>
          </cell>
        </row>
      </sheetData>
      <sheetData sheetId="6199">
        <row r="1">
          <cell r="A1" t="str">
            <v>1월 생산실적</v>
          </cell>
        </row>
      </sheetData>
      <sheetData sheetId="6200">
        <row r="1">
          <cell r="A1" t="str">
            <v>1월 생산실적</v>
          </cell>
        </row>
      </sheetData>
      <sheetData sheetId="6201">
        <row r="1">
          <cell r="A1" t="str">
            <v>1월 생산실적</v>
          </cell>
        </row>
      </sheetData>
      <sheetData sheetId="6202">
        <row r="1">
          <cell r="A1" t="str">
            <v>1월 생산실적</v>
          </cell>
        </row>
      </sheetData>
      <sheetData sheetId="6203">
        <row r="1">
          <cell r="A1" t="str">
            <v>1월 생산실적</v>
          </cell>
        </row>
      </sheetData>
      <sheetData sheetId="6204">
        <row r="1">
          <cell r="A1" t="str">
            <v>1월 생산실적</v>
          </cell>
        </row>
      </sheetData>
      <sheetData sheetId="6205">
        <row r="1">
          <cell r="A1" t="str">
            <v>1월 생산실적</v>
          </cell>
        </row>
      </sheetData>
      <sheetData sheetId="6206">
        <row r="1">
          <cell r="A1" t="str">
            <v>1월 생산실적</v>
          </cell>
        </row>
      </sheetData>
      <sheetData sheetId="6207">
        <row r="1">
          <cell r="A1" t="str">
            <v>1월 생산실적</v>
          </cell>
        </row>
      </sheetData>
      <sheetData sheetId="6208">
        <row r="1">
          <cell r="A1" t="str">
            <v>1월 생산실적</v>
          </cell>
        </row>
      </sheetData>
      <sheetData sheetId="6209">
        <row r="1">
          <cell r="A1" t="str">
            <v>1월 생산실적</v>
          </cell>
        </row>
      </sheetData>
      <sheetData sheetId="6210">
        <row r="1">
          <cell r="A1" t="str">
            <v>1월 생산실적</v>
          </cell>
        </row>
      </sheetData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>
        <row r="1">
          <cell r="A1" t="str">
            <v>1월 생산실적</v>
          </cell>
        </row>
      </sheetData>
      <sheetData sheetId="6234">
        <row r="1">
          <cell r="A1" t="str">
            <v>1월 생산실적</v>
          </cell>
        </row>
      </sheetData>
      <sheetData sheetId="6235">
        <row r="1">
          <cell r="A1" t="str">
            <v>1월 생산실적</v>
          </cell>
        </row>
      </sheetData>
      <sheetData sheetId="6236">
        <row r="1">
          <cell r="A1" t="str">
            <v>1월 생산실적</v>
          </cell>
        </row>
      </sheetData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>
        <row r="1">
          <cell r="A1" t="str">
            <v>1월 생산실적</v>
          </cell>
        </row>
      </sheetData>
      <sheetData sheetId="6255">
        <row r="1">
          <cell r="A1" t="str">
            <v>1월 생산실적</v>
          </cell>
        </row>
      </sheetData>
      <sheetData sheetId="6256">
        <row r="1">
          <cell r="A1" t="str">
            <v>1월 생산실적</v>
          </cell>
        </row>
      </sheetData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>
        <row r="1">
          <cell r="A1" t="str">
            <v>1월 생산실적</v>
          </cell>
        </row>
      </sheetData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>
        <row r="1">
          <cell r="A1" t="str">
            <v>1월 생산실적</v>
          </cell>
        </row>
      </sheetData>
      <sheetData sheetId="6325">
        <row r="1">
          <cell r="A1" t="str">
            <v>1월 생산실적</v>
          </cell>
        </row>
      </sheetData>
      <sheetData sheetId="6326">
        <row r="1">
          <cell r="A1" t="str">
            <v>1월 생산실적</v>
          </cell>
        </row>
      </sheetData>
      <sheetData sheetId="6327">
        <row r="1">
          <cell r="A1" t="str">
            <v>1월 생산실적</v>
          </cell>
        </row>
      </sheetData>
      <sheetData sheetId="6328">
        <row r="1">
          <cell r="A1" t="str">
            <v>1월 생산실적</v>
          </cell>
        </row>
      </sheetData>
      <sheetData sheetId="6329">
        <row r="1">
          <cell r="A1" t="str">
            <v>1월 생산실적</v>
          </cell>
        </row>
      </sheetData>
      <sheetData sheetId="6330">
        <row r="1">
          <cell r="A1" t="str">
            <v>1월 생산실적</v>
          </cell>
        </row>
      </sheetData>
      <sheetData sheetId="6331">
        <row r="1">
          <cell r="A1" t="str">
            <v>1월 생산실적</v>
          </cell>
        </row>
      </sheetData>
      <sheetData sheetId="6332">
        <row r="1">
          <cell r="A1" t="str">
            <v>1월 생산실적</v>
          </cell>
        </row>
      </sheetData>
      <sheetData sheetId="6333">
        <row r="1">
          <cell r="A1" t="str">
            <v>1월 생산실적</v>
          </cell>
        </row>
      </sheetData>
      <sheetData sheetId="6334">
        <row r="1">
          <cell r="A1" t="str">
            <v>1월 생산실적</v>
          </cell>
        </row>
      </sheetData>
      <sheetData sheetId="6335">
        <row r="1">
          <cell r="A1" t="str">
            <v>1월 생산실적</v>
          </cell>
        </row>
      </sheetData>
      <sheetData sheetId="6336">
        <row r="1">
          <cell r="A1" t="str">
            <v>1월 생산실적</v>
          </cell>
        </row>
      </sheetData>
      <sheetData sheetId="6337">
        <row r="1">
          <cell r="A1" t="str">
            <v>1월 생산실적</v>
          </cell>
        </row>
      </sheetData>
      <sheetData sheetId="6338">
        <row r="1">
          <cell r="A1" t="str">
            <v>1월 생산실적</v>
          </cell>
        </row>
      </sheetData>
      <sheetData sheetId="6339">
        <row r="1">
          <cell r="A1" t="str">
            <v>1월 생산실적</v>
          </cell>
        </row>
      </sheetData>
      <sheetData sheetId="6340">
        <row r="1">
          <cell r="A1" t="str">
            <v>1월 생산실적</v>
          </cell>
        </row>
      </sheetData>
      <sheetData sheetId="6341">
        <row r="1">
          <cell r="A1" t="str">
            <v>1월 생산실적</v>
          </cell>
        </row>
      </sheetData>
      <sheetData sheetId="6342">
        <row r="1">
          <cell r="A1" t="str">
            <v>1월 생산실적</v>
          </cell>
        </row>
      </sheetData>
      <sheetData sheetId="6343">
        <row r="1">
          <cell r="A1" t="str">
            <v>1월 생산실적</v>
          </cell>
        </row>
      </sheetData>
      <sheetData sheetId="6344">
        <row r="1">
          <cell r="A1" t="str">
            <v>1월 생산실적</v>
          </cell>
        </row>
      </sheetData>
      <sheetData sheetId="6345">
        <row r="1">
          <cell r="A1" t="str">
            <v>1월 생산실적</v>
          </cell>
        </row>
      </sheetData>
      <sheetData sheetId="6346">
        <row r="1">
          <cell r="A1" t="str">
            <v>1월 생산실적</v>
          </cell>
        </row>
      </sheetData>
      <sheetData sheetId="6347">
        <row r="1">
          <cell r="A1" t="str">
            <v>1월 생산실적</v>
          </cell>
        </row>
      </sheetData>
      <sheetData sheetId="6348">
        <row r="1">
          <cell r="A1" t="str">
            <v>1월 생산실적</v>
          </cell>
        </row>
      </sheetData>
      <sheetData sheetId="6349">
        <row r="1">
          <cell r="A1" t="str">
            <v>1월 생산실적</v>
          </cell>
        </row>
      </sheetData>
      <sheetData sheetId="6350">
        <row r="1">
          <cell r="A1" t="str">
            <v>1월 생산실적</v>
          </cell>
        </row>
      </sheetData>
      <sheetData sheetId="6351">
        <row r="1">
          <cell r="A1" t="str">
            <v>1월 생산실적</v>
          </cell>
        </row>
      </sheetData>
      <sheetData sheetId="6352">
        <row r="1">
          <cell r="A1" t="str">
            <v>1월 생산실적</v>
          </cell>
        </row>
      </sheetData>
      <sheetData sheetId="6353">
        <row r="1">
          <cell r="A1" t="str">
            <v>1월 생산실적</v>
          </cell>
        </row>
      </sheetData>
      <sheetData sheetId="6354">
        <row r="1">
          <cell r="A1" t="str">
            <v>1월 생산실적</v>
          </cell>
        </row>
      </sheetData>
      <sheetData sheetId="6355">
        <row r="1">
          <cell r="A1" t="str">
            <v>1월 생산실적</v>
          </cell>
        </row>
      </sheetData>
      <sheetData sheetId="6356">
        <row r="1">
          <cell r="A1" t="str">
            <v>1월 생산실적</v>
          </cell>
        </row>
      </sheetData>
      <sheetData sheetId="6357">
        <row r="1">
          <cell r="A1" t="str">
            <v>1월 생산실적</v>
          </cell>
        </row>
      </sheetData>
      <sheetData sheetId="6358">
        <row r="1">
          <cell r="A1" t="str">
            <v>1월 생산실적</v>
          </cell>
        </row>
      </sheetData>
      <sheetData sheetId="6359">
        <row r="1">
          <cell r="A1" t="str">
            <v>1월 생산실적</v>
          </cell>
        </row>
      </sheetData>
      <sheetData sheetId="6360">
        <row r="1">
          <cell r="A1" t="str">
            <v>1월 생산실적</v>
          </cell>
        </row>
      </sheetData>
      <sheetData sheetId="6361">
        <row r="1">
          <cell r="A1" t="str">
            <v>1월 생산실적</v>
          </cell>
        </row>
      </sheetData>
      <sheetData sheetId="6362">
        <row r="1">
          <cell r="A1" t="str">
            <v>1월 생산실적</v>
          </cell>
        </row>
      </sheetData>
      <sheetData sheetId="6363">
        <row r="1">
          <cell r="A1" t="str">
            <v>1월 생산실적</v>
          </cell>
        </row>
      </sheetData>
      <sheetData sheetId="6364">
        <row r="1">
          <cell r="A1" t="str">
            <v>1월 생산실적</v>
          </cell>
        </row>
      </sheetData>
      <sheetData sheetId="6365">
        <row r="1">
          <cell r="A1" t="str">
            <v>1월 생산실적</v>
          </cell>
        </row>
      </sheetData>
      <sheetData sheetId="6366">
        <row r="1">
          <cell r="A1" t="str">
            <v>1월 생산실적</v>
          </cell>
        </row>
      </sheetData>
      <sheetData sheetId="6367">
        <row r="1">
          <cell r="A1" t="str">
            <v>1월 생산실적</v>
          </cell>
        </row>
      </sheetData>
      <sheetData sheetId="6368">
        <row r="1">
          <cell r="A1" t="str">
            <v>1월 생산실적</v>
          </cell>
        </row>
      </sheetData>
      <sheetData sheetId="6369">
        <row r="1">
          <cell r="A1" t="str">
            <v>1월 생산실적</v>
          </cell>
        </row>
      </sheetData>
      <sheetData sheetId="6370">
        <row r="1">
          <cell r="A1" t="str">
            <v>1월 생산실적</v>
          </cell>
        </row>
      </sheetData>
      <sheetData sheetId="6371">
        <row r="1">
          <cell r="A1" t="str">
            <v>1월 생산실적</v>
          </cell>
        </row>
      </sheetData>
      <sheetData sheetId="6372">
        <row r="1">
          <cell r="A1" t="str">
            <v>1월 생산실적</v>
          </cell>
        </row>
      </sheetData>
      <sheetData sheetId="6373">
        <row r="1">
          <cell r="A1" t="str">
            <v>1월 생산실적</v>
          </cell>
        </row>
      </sheetData>
      <sheetData sheetId="6374">
        <row r="1">
          <cell r="A1" t="str">
            <v>1월 생산실적</v>
          </cell>
        </row>
      </sheetData>
      <sheetData sheetId="6375">
        <row r="1">
          <cell r="A1" t="str">
            <v>1월 생산실적</v>
          </cell>
        </row>
      </sheetData>
      <sheetData sheetId="6376">
        <row r="1">
          <cell r="A1" t="str">
            <v>1월 생산실적</v>
          </cell>
        </row>
      </sheetData>
      <sheetData sheetId="6377">
        <row r="1">
          <cell r="A1" t="str">
            <v>1월 생산실적</v>
          </cell>
        </row>
      </sheetData>
      <sheetData sheetId="6378">
        <row r="1">
          <cell r="A1" t="str">
            <v>1월 생산실적</v>
          </cell>
        </row>
      </sheetData>
      <sheetData sheetId="6379">
        <row r="1">
          <cell r="A1" t="str">
            <v>1월 생산실적</v>
          </cell>
        </row>
      </sheetData>
      <sheetData sheetId="6380">
        <row r="1">
          <cell r="A1" t="str">
            <v>1월 생산실적</v>
          </cell>
        </row>
      </sheetData>
      <sheetData sheetId="6381">
        <row r="1">
          <cell r="A1" t="str">
            <v>1월 생산실적</v>
          </cell>
        </row>
      </sheetData>
      <sheetData sheetId="6382">
        <row r="1">
          <cell r="A1" t="str">
            <v>1월 생산실적</v>
          </cell>
        </row>
      </sheetData>
      <sheetData sheetId="6383">
        <row r="1">
          <cell r="A1" t="str">
            <v>1월 생산실적</v>
          </cell>
        </row>
      </sheetData>
      <sheetData sheetId="6384">
        <row r="1">
          <cell r="A1" t="str">
            <v>1월 생산실적</v>
          </cell>
        </row>
      </sheetData>
      <sheetData sheetId="6385">
        <row r="1">
          <cell r="A1" t="str">
            <v>1월 생산실적</v>
          </cell>
        </row>
      </sheetData>
      <sheetData sheetId="6386">
        <row r="1">
          <cell r="A1" t="str">
            <v>1월 생산실적</v>
          </cell>
        </row>
      </sheetData>
      <sheetData sheetId="6387">
        <row r="1">
          <cell r="A1" t="str">
            <v>1월 생산실적</v>
          </cell>
        </row>
      </sheetData>
      <sheetData sheetId="6388">
        <row r="1">
          <cell r="A1" t="str">
            <v>1월 생산실적</v>
          </cell>
        </row>
      </sheetData>
      <sheetData sheetId="6389">
        <row r="1">
          <cell r="A1" t="str">
            <v>1월 생산실적</v>
          </cell>
        </row>
      </sheetData>
      <sheetData sheetId="6390">
        <row r="1">
          <cell r="A1" t="str">
            <v>1월 생산실적</v>
          </cell>
        </row>
      </sheetData>
      <sheetData sheetId="6391">
        <row r="1">
          <cell r="A1" t="str">
            <v>1월 생산실적</v>
          </cell>
        </row>
      </sheetData>
      <sheetData sheetId="6392">
        <row r="1">
          <cell r="A1" t="str">
            <v>1월 생산실적</v>
          </cell>
        </row>
      </sheetData>
      <sheetData sheetId="6393">
        <row r="1">
          <cell r="A1" t="str">
            <v>1월 생산실적</v>
          </cell>
        </row>
      </sheetData>
      <sheetData sheetId="6394">
        <row r="1">
          <cell r="A1" t="str">
            <v>1월 생산실적</v>
          </cell>
        </row>
      </sheetData>
      <sheetData sheetId="6395">
        <row r="1">
          <cell r="A1" t="str">
            <v>1월 생산실적</v>
          </cell>
        </row>
      </sheetData>
      <sheetData sheetId="6396">
        <row r="1">
          <cell r="A1" t="str">
            <v>1월 생산실적</v>
          </cell>
        </row>
      </sheetData>
      <sheetData sheetId="6397">
        <row r="1">
          <cell r="A1" t="str">
            <v>1월 생산실적</v>
          </cell>
        </row>
      </sheetData>
      <sheetData sheetId="6398">
        <row r="1">
          <cell r="A1" t="str">
            <v>1월 생산실적</v>
          </cell>
        </row>
      </sheetData>
      <sheetData sheetId="6399">
        <row r="1">
          <cell r="A1" t="str">
            <v>1월 생산실적</v>
          </cell>
        </row>
      </sheetData>
      <sheetData sheetId="6400">
        <row r="1">
          <cell r="A1" t="str">
            <v>1월 생산실적</v>
          </cell>
        </row>
      </sheetData>
      <sheetData sheetId="6401">
        <row r="1">
          <cell r="A1" t="str">
            <v>1월 생산실적</v>
          </cell>
        </row>
      </sheetData>
      <sheetData sheetId="6402">
        <row r="1">
          <cell r="A1" t="str">
            <v>1월 생산실적</v>
          </cell>
        </row>
      </sheetData>
      <sheetData sheetId="6403">
        <row r="1">
          <cell r="A1" t="str">
            <v>1월 생산실적</v>
          </cell>
        </row>
      </sheetData>
      <sheetData sheetId="6404">
        <row r="1">
          <cell r="A1" t="str">
            <v>1월 생산실적</v>
          </cell>
        </row>
      </sheetData>
      <sheetData sheetId="6405">
        <row r="1">
          <cell r="A1" t="str">
            <v>1월 생산실적</v>
          </cell>
        </row>
      </sheetData>
      <sheetData sheetId="6406">
        <row r="1">
          <cell r="A1" t="str">
            <v>1월 생산실적</v>
          </cell>
        </row>
      </sheetData>
      <sheetData sheetId="6407">
        <row r="1">
          <cell r="A1" t="str">
            <v>1월 생산실적</v>
          </cell>
        </row>
      </sheetData>
      <sheetData sheetId="6408">
        <row r="1">
          <cell r="A1" t="str">
            <v>1월 생산실적</v>
          </cell>
        </row>
      </sheetData>
      <sheetData sheetId="6409">
        <row r="1">
          <cell r="A1" t="str">
            <v>1월 생산실적</v>
          </cell>
        </row>
      </sheetData>
      <sheetData sheetId="6410">
        <row r="1">
          <cell r="A1" t="str">
            <v>1월 생산실적</v>
          </cell>
        </row>
      </sheetData>
      <sheetData sheetId="6411">
        <row r="1">
          <cell r="A1" t="str">
            <v>1월 생산실적</v>
          </cell>
        </row>
      </sheetData>
      <sheetData sheetId="6412">
        <row r="1">
          <cell r="A1" t="str">
            <v>1월 생산실적</v>
          </cell>
        </row>
      </sheetData>
      <sheetData sheetId="6413">
        <row r="1">
          <cell r="A1" t="str">
            <v>1월 생산실적</v>
          </cell>
        </row>
      </sheetData>
      <sheetData sheetId="6414">
        <row r="1">
          <cell r="A1" t="str">
            <v>1월 생산실적</v>
          </cell>
        </row>
      </sheetData>
      <sheetData sheetId="6415">
        <row r="1">
          <cell r="A1" t="str">
            <v>1월 생산실적</v>
          </cell>
        </row>
      </sheetData>
      <sheetData sheetId="6416">
        <row r="1">
          <cell r="A1" t="str">
            <v>1월 생산실적</v>
          </cell>
        </row>
      </sheetData>
      <sheetData sheetId="6417">
        <row r="1">
          <cell r="A1" t="str">
            <v>1월 생산실적</v>
          </cell>
        </row>
      </sheetData>
      <sheetData sheetId="6418">
        <row r="1">
          <cell r="A1" t="str">
            <v>1월 생산실적</v>
          </cell>
        </row>
      </sheetData>
      <sheetData sheetId="6419">
        <row r="1">
          <cell r="A1" t="str">
            <v>1월 생산실적</v>
          </cell>
        </row>
      </sheetData>
      <sheetData sheetId="6420">
        <row r="1">
          <cell r="A1" t="str">
            <v>1월 생산실적</v>
          </cell>
        </row>
      </sheetData>
      <sheetData sheetId="6421">
        <row r="1">
          <cell r="A1" t="str">
            <v>1월 생산실적</v>
          </cell>
        </row>
      </sheetData>
      <sheetData sheetId="6422">
        <row r="1">
          <cell r="A1" t="str">
            <v>1월 생산실적</v>
          </cell>
        </row>
      </sheetData>
      <sheetData sheetId="6423">
        <row r="1">
          <cell r="A1" t="str">
            <v>1월 생산실적</v>
          </cell>
        </row>
      </sheetData>
      <sheetData sheetId="6424">
        <row r="1">
          <cell r="A1" t="str">
            <v>1월 생산실적</v>
          </cell>
        </row>
      </sheetData>
      <sheetData sheetId="6425">
        <row r="1">
          <cell r="A1" t="str">
            <v>1월 생산실적</v>
          </cell>
        </row>
      </sheetData>
      <sheetData sheetId="6426">
        <row r="1">
          <cell r="A1" t="str">
            <v>1월 생산실적</v>
          </cell>
        </row>
      </sheetData>
      <sheetData sheetId="6427">
        <row r="1">
          <cell r="A1" t="str">
            <v>1월 생산실적</v>
          </cell>
        </row>
      </sheetData>
      <sheetData sheetId="6428">
        <row r="1">
          <cell r="A1" t="str">
            <v>1월 생산실적</v>
          </cell>
        </row>
      </sheetData>
      <sheetData sheetId="6429">
        <row r="1">
          <cell r="A1" t="str">
            <v>1월 생산실적</v>
          </cell>
        </row>
      </sheetData>
      <sheetData sheetId="6430">
        <row r="1">
          <cell r="A1" t="str">
            <v>1월 생산실적</v>
          </cell>
        </row>
      </sheetData>
      <sheetData sheetId="6431">
        <row r="1">
          <cell r="A1" t="str">
            <v>1월 생산실적</v>
          </cell>
        </row>
      </sheetData>
      <sheetData sheetId="6432">
        <row r="1">
          <cell r="A1" t="str">
            <v>1월 생산실적</v>
          </cell>
        </row>
      </sheetData>
      <sheetData sheetId="6433">
        <row r="1">
          <cell r="A1" t="str">
            <v>1월 생산실적</v>
          </cell>
        </row>
      </sheetData>
      <sheetData sheetId="6434">
        <row r="1">
          <cell r="A1" t="str">
            <v>1월 생산실적</v>
          </cell>
        </row>
      </sheetData>
      <sheetData sheetId="6435">
        <row r="1">
          <cell r="A1" t="str">
            <v>1월 생산실적</v>
          </cell>
        </row>
      </sheetData>
      <sheetData sheetId="6436">
        <row r="1">
          <cell r="A1" t="str">
            <v>1월 생산실적</v>
          </cell>
        </row>
      </sheetData>
      <sheetData sheetId="6437">
        <row r="1">
          <cell r="A1" t="str">
            <v>1월 생산실적</v>
          </cell>
        </row>
      </sheetData>
      <sheetData sheetId="6438">
        <row r="1">
          <cell r="A1" t="str">
            <v>1월 생산실적</v>
          </cell>
        </row>
      </sheetData>
      <sheetData sheetId="6439">
        <row r="1">
          <cell r="A1" t="str">
            <v>1월 생산실적</v>
          </cell>
        </row>
      </sheetData>
      <sheetData sheetId="6440">
        <row r="1">
          <cell r="A1" t="str">
            <v>1월 생산실적</v>
          </cell>
        </row>
      </sheetData>
      <sheetData sheetId="6441">
        <row r="1">
          <cell r="A1" t="str">
            <v>1월 생산실적</v>
          </cell>
        </row>
      </sheetData>
      <sheetData sheetId="6442">
        <row r="1">
          <cell r="A1" t="str">
            <v>1월 생산실적</v>
          </cell>
        </row>
      </sheetData>
      <sheetData sheetId="6443">
        <row r="1">
          <cell r="A1" t="str">
            <v>1월 생산실적</v>
          </cell>
        </row>
      </sheetData>
      <sheetData sheetId="6444">
        <row r="1">
          <cell r="A1" t="str">
            <v>1월 생산실적</v>
          </cell>
        </row>
      </sheetData>
      <sheetData sheetId="6445">
        <row r="1">
          <cell r="A1" t="str">
            <v>1월 생산실적</v>
          </cell>
        </row>
      </sheetData>
      <sheetData sheetId="6446">
        <row r="1">
          <cell r="A1" t="str">
            <v>1월 생산실적</v>
          </cell>
        </row>
      </sheetData>
      <sheetData sheetId="6447">
        <row r="1">
          <cell r="A1" t="str">
            <v>1월 생산실적</v>
          </cell>
        </row>
      </sheetData>
      <sheetData sheetId="6448">
        <row r="1">
          <cell r="A1" t="str">
            <v>1월 생산실적</v>
          </cell>
        </row>
      </sheetData>
      <sheetData sheetId="6449">
        <row r="1">
          <cell r="A1" t="str">
            <v>1월 생산실적</v>
          </cell>
        </row>
      </sheetData>
      <sheetData sheetId="6450">
        <row r="1">
          <cell r="A1" t="str">
            <v>1월 생산실적</v>
          </cell>
        </row>
      </sheetData>
      <sheetData sheetId="6451">
        <row r="1">
          <cell r="A1" t="str">
            <v>1월 생산실적</v>
          </cell>
        </row>
      </sheetData>
      <sheetData sheetId="6452">
        <row r="1">
          <cell r="A1" t="str">
            <v>1월 생산실적</v>
          </cell>
        </row>
      </sheetData>
      <sheetData sheetId="6453">
        <row r="1">
          <cell r="A1" t="str">
            <v>1월 생산실적</v>
          </cell>
        </row>
      </sheetData>
      <sheetData sheetId="6454">
        <row r="1">
          <cell r="A1" t="str">
            <v>1월 생산실적</v>
          </cell>
        </row>
      </sheetData>
      <sheetData sheetId="6455">
        <row r="1">
          <cell r="A1" t="str">
            <v>1월 생산실적</v>
          </cell>
        </row>
      </sheetData>
      <sheetData sheetId="6456">
        <row r="1">
          <cell r="A1" t="str">
            <v>1월 생산실적</v>
          </cell>
        </row>
      </sheetData>
      <sheetData sheetId="6457">
        <row r="1">
          <cell r="A1" t="str">
            <v>1월 생산실적</v>
          </cell>
        </row>
      </sheetData>
      <sheetData sheetId="6458">
        <row r="1">
          <cell r="A1" t="str">
            <v>1월 생산실적</v>
          </cell>
        </row>
      </sheetData>
      <sheetData sheetId="6459">
        <row r="1">
          <cell r="A1" t="str">
            <v>1월 생산실적</v>
          </cell>
        </row>
      </sheetData>
      <sheetData sheetId="6460">
        <row r="1">
          <cell r="A1" t="str">
            <v>1월 생산실적</v>
          </cell>
        </row>
      </sheetData>
      <sheetData sheetId="6461">
        <row r="1">
          <cell r="A1" t="str">
            <v>1월 생산실적</v>
          </cell>
        </row>
      </sheetData>
      <sheetData sheetId="6462">
        <row r="1">
          <cell r="A1" t="str">
            <v>1월 생산실적</v>
          </cell>
        </row>
      </sheetData>
      <sheetData sheetId="6463">
        <row r="1">
          <cell r="A1" t="str">
            <v>1월 생산실적</v>
          </cell>
        </row>
      </sheetData>
      <sheetData sheetId="6464">
        <row r="1">
          <cell r="A1" t="str">
            <v>1월 생산실적</v>
          </cell>
        </row>
      </sheetData>
      <sheetData sheetId="6465">
        <row r="1">
          <cell r="A1" t="str">
            <v>1월 생산실적</v>
          </cell>
        </row>
      </sheetData>
      <sheetData sheetId="6466">
        <row r="1">
          <cell r="A1" t="str">
            <v>1월 생산실적</v>
          </cell>
        </row>
      </sheetData>
      <sheetData sheetId="6467">
        <row r="1">
          <cell r="A1" t="str">
            <v>1월 생산실적</v>
          </cell>
        </row>
      </sheetData>
      <sheetData sheetId="6468">
        <row r="1">
          <cell r="A1" t="str">
            <v>1월 생산실적</v>
          </cell>
        </row>
      </sheetData>
      <sheetData sheetId="6469">
        <row r="1">
          <cell r="A1" t="str">
            <v>1월 생산실적</v>
          </cell>
        </row>
      </sheetData>
      <sheetData sheetId="6470">
        <row r="1">
          <cell r="A1" t="str">
            <v>1월 생산실적</v>
          </cell>
        </row>
      </sheetData>
      <sheetData sheetId="6471">
        <row r="1">
          <cell r="A1" t="str">
            <v>1월 생산실적</v>
          </cell>
        </row>
      </sheetData>
      <sheetData sheetId="6472">
        <row r="1">
          <cell r="A1" t="str">
            <v>1월 생산실적</v>
          </cell>
        </row>
      </sheetData>
      <sheetData sheetId="6473">
        <row r="1">
          <cell r="A1" t="str">
            <v>1월 생산실적</v>
          </cell>
        </row>
      </sheetData>
      <sheetData sheetId="6474">
        <row r="1">
          <cell r="A1" t="str">
            <v>1월 생산실적</v>
          </cell>
        </row>
      </sheetData>
      <sheetData sheetId="6475">
        <row r="1">
          <cell r="A1" t="str">
            <v>1월 생산실적</v>
          </cell>
        </row>
      </sheetData>
      <sheetData sheetId="6476">
        <row r="1">
          <cell r="A1" t="str">
            <v>1월 생산실적</v>
          </cell>
        </row>
      </sheetData>
      <sheetData sheetId="6477">
        <row r="1">
          <cell r="A1" t="str">
            <v>1월 생산실적</v>
          </cell>
        </row>
      </sheetData>
      <sheetData sheetId="6478">
        <row r="1">
          <cell r="A1" t="str">
            <v>1월 생산실적</v>
          </cell>
        </row>
      </sheetData>
      <sheetData sheetId="6479">
        <row r="1">
          <cell r="A1" t="str">
            <v>1월 생산실적</v>
          </cell>
        </row>
      </sheetData>
      <sheetData sheetId="6480">
        <row r="1">
          <cell r="A1" t="str">
            <v>1월 생산실적</v>
          </cell>
        </row>
      </sheetData>
      <sheetData sheetId="6481">
        <row r="1">
          <cell r="A1" t="str">
            <v>1월 생산실적</v>
          </cell>
        </row>
      </sheetData>
      <sheetData sheetId="6482">
        <row r="1">
          <cell r="A1" t="str">
            <v>1월 생산실적</v>
          </cell>
        </row>
      </sheetData>
      <sheetData sheetId="6483">
        <row r="1">
          <cell r="A1" t="str">
            <v>1월 생산실적</v>
          </cell>
        </row>
      </sheetData>
      <sheetData sheetId="6484">
        <row r="1">
          <cell r="A1" t="str">
            <v>1월 생산실적</v>
          </cell>
        </row>
      </sheetData>
      <sheetData sheetId="6485">
        <row r="1">
          <cell r="A1" t="str">
            <v>1월 생산실적</v>
          </cell>
        </row>
      </sheetData>
      <sheetData sheetId="6486">
        <row r="1">
          <cell r="A1" t="str">
            <v>1월 생산실적</v>
          </cell>
        </row>
      </sheetData>
      <sheetData sheetId="6487">
        <row r="1">
          <cell r="A1" t="str">
            <v>1월 생산실적</v>
          </cell>
        </row>
      </sheetData>
      <sheetData sheetId="6488">
        <row r="1">
          <cell r="A1" t="str">
            <v>1월 생산실적</v>
          </cell>
        </row>
      </sheetData>
      <sheetData sheetId="6489">
        <row r="1">
          <cell r="A1" t="str">
            <v>1월 생산실적</v>
          </cell>
        </row>
      </sheetData>
      <sheetData sheetId="6490">
        <row r="1">
          <cell r="A1" t="str">
            <v>1월 생산실적</v>
          </cell>
        </row>
      </sheetData>
      <sheetData sheetId="6491">
        <row r="1">
          <cell r="A1" t="str">
            <v>1월 생산실적</v>
          </cell>
        </row>
      </sheetData>
      <sheetData sheetId="6492">
        <row r="1">
          <cell r="A1" t="str">
            <v>1월 생산실적</v>
          </cell>
        </row>
      </sheetData>
      <sheetData sheetId="6493">
        <row r="1">
          <cell r="A1" t="str">
            <v>1월 생산실적</v>
          </cell>
        </row>
      </sheetData>
      <sheetData sheetId="6494">
        <row r="1">
          <cell r="A1" t="str">
            <v>1월 생산실적</v>
          </cell>
        </row>
      </sheetData>
      <sheetData sheetId="6495">
        <row r="1">
          <cell r="A1" t="str">
            <v>1월 생산실적</v>
          </cell>
        </row>
      </sheetData>
      <sheetData sheetId="6496">
        <row r="1">
          <cell r="A1" t="str">
            <v>1월 생산실적</v>
          </cell>
        </row>
      </sheetData>
      <sheetData sheetId="6497">
        <row r="1">
          <cell r="A1" t="str">
            <v>1월 생산실적</v>
          </cell>
        </row>
      </sheetData>
      <sheetData sheetId="6498">
        <row r="1">
          <cell r="A1" t="str">
            <v>1월 생산실적</v>
          </cell>
        </row>
      </sheetData>
      <sheetData sheetId="6499">
        <row r="1">
          <cell r="A1" t="str">
            <v>1월 생산실적</v>
          </cell>
        </row>
      </sheetData>
      <sheetData sheetId="6500">
        <row r="1">
          <cell r="A1" t="str">
            <v>1월 생산실적</v>
          </cell>
        </row>
      </sheetData>
      <sheetData sheetId="6501">
        <row r="1">
          <cell r="A1" t="str">
            <v>1월 생산실적</v>
          </cell>
        </row>
      </sheetData>
      <sheetData sheetId="6502">
        <row r="1">
          <cell r="A1" t="str">
            <v>1월 생산실적</v>
          </cell>
        </row>
      </sheetData>
      <sheetData sheetId="6503">
        <row r="1">
          <cell r="A1" t="str">
            <v>1월 생산실적</v>
          </cell>
        </row>
      </sheetData>
      <sheetData sheetId="6504">
        <row r="1">
          <cell r="A1" t="str">
            <v>1월 생산실적</v>
          </cell>
        </row>
      </sheetData>
      <sheetData sheetId="6505">
        <row r="1">
          <cell r="A1" t="str">
            <v>1월 생산실적</v>
          </cell>
        </row>
      </sheetData>
      <sheetData sheetId="6506">
        <row r="1">
          <cell r="A1" t="str">
            <v>1월 생산실적</v>
          </cell>
        </row>
      </sheetData>
      <sheetData sheetId="6507">
        <row r="1">
          <cell r="A1" t="str">
            <v>1월 생산실적</v>
          </cell>
        </row>
      </sheetData>
      <sheetData sheetId="6508">
        <row r="1">
          <cell r="A1" t="str">
            <v>1월 생산실적</v>
          </cell>
        </row>
      </sheetData>
      <sheetData sheetId="6509">
        <row r="1">
          <cell r="A1" t="str">
            <v>1월 생산실적</v>
          </cell>
        </row>
      </sheetData>
      <sheetData sheetId="6510">
        <row r="1">
          <cell r="A1" t="str">
            <v>1월 생산실적</v>
          </cell>
        </row>
      </sheetData>
      <sheetData sheetId="6511">
        <row r="1">
          <cell r="A1" t="str">
            <v>1월 생산실적</v>
          </cell>
        </row>
      </sheetData>
      <sheetData sheetId="6512">
        <row r="1">
          <cell r="A1" t="str">
            <v>1월 생산실적</v>
          </cell>
        </row>
      </sheetData>
      <sheetData sheetId="6513">
        <row r="1">
          <cell r="A1" t="str">
            <v>1월 생산실적</v>
          </cell>
        </row>
      </sheetData>
      <sheetData sheetId="6514">
        <row r="1">
          <cell r="A1" t="str">
            <v>1월 생산실적</v>
          </cell>
        </row>
      </sheetData>
      <sheetData sheetId="6515">
        <row r="1">
          <cell r="A1" t="str">
            <v>1월 생산실적</v>
          </cell>
        </row>
      </sheetData>
      <sheetData sheetId="6516">
        <row r="1">
          <cell r="A1" t="str">
            <v>1월 생산실적</v>
          </cell>
        </row>
      </sheetData>
      <sheetData sheetId="6517">
        <row r="1">
          <cell r="A1" t="str">
            <v>1월 생산실적</v>
          </cell>
        </row>
      </sheetData>
      <sheetData sheetId="6518">
        <row r="1">
          <cell r="A1" t="str">
            <v>1월 생산실적</v>
          </cell>
        </row>
      </sheetData>
      <sheetData sheetId="6519">
        <row r="1">
          <cell r="A1" t="str">
            <v>1월 생산실적</v>
          </cell>
        </row>
      </sheetData>
      <sheetData sheetId="6520">
        <row r="1">
          <cell r="A1" t="str">
            <v>1월 생산실적</v>
          </cell>
        </row>
      </sheetData>
      <sheetData sheetId="6521">
        <row r="1">
          <cell r="A1" t="str">
            <v>1월 생산실적</v>
          </cell>
        </row>
      </sheetData>
      <sheetData sheetId="6522">
        <row r="1">
          <cell r="A1" t="str">
            <v>1월 생산실적</v>
          </cell>
        </row>
      </sheetData>
      <sheetData sheetId="6523">
        <row r="1">
          <cell r="A1" t="str">
            <v>1월 생산실적</v>
          </cell>
        </row>
      </sheetData>
      <sheetData sheetId="6524">
        <row r="1">
          <cell r="A1" t="str">
            <v>1월 생산실적</v>
          </cell>
        </row>
      </sheetData>
      <sheetData sheetId="6525">
        <row r="1">
          <cell r="A1" t="str">
            <v>1월 생산실적</v>
          </cell>
        </row>
      </sheetData>
      <sheetData sheetId="6526">
        <row r="1">
          <cell r="A1" t="str">
            <v>1월 생산실적</v>
          </cell>
        </row>
      </sheetData>
      <sheetData sheetId="6527">
        <row r="1">
          <cell r="A1" t="str">
            <v>1월 생산실적</v>
          </cell>
        </row>
      </sheetData>
      <sheetData sheetId="6528">
        <row r="1">
          <cell r="A1" t="str">
            <v>1월 생산실적</v>
          </cell>
        </row>
      </sheetData>
      <sheetData sheetId="6529">
        <row r="1">
          <cell r="A1" t="str">
            <v>1월 생산실적</v>
          </cell>
        </row>
      </sheetData>
      <sheetData sheetId="6530">
        <row r="1">
          <cell r="A1" t="str">
            <v>1월 생산실적</v>
          </cell>
        </row>
      </sheetData>
      <sheetData sheetId="6531">
        <row r="1">
          <cell r="A1" t="str">
            <v>1월 생산실적</v>
          </cell>
        </row>
      </sheetData>
      <sheetData sheetId="6532">
        <row r="1">
          <cell r="A1" t="str">
            <v>1월 생산실적</v>
          </cell>
        </row>
      </sheetData>
      <sheetData sheetId="6533">
        <row r="1">
          <cell r="A1" t="str">
            <v>1월 생산실적</v>
          </cell>
        </row>
      </sheetData>
      <sheetData sheetId="6534">
        <row r="1">
          <cell r="A1" t="str">
            <v>1월 생산실적</v>
          </cell>
        </row>
      </sheetData>
      <sheetData sheetId="6535">
        <row r="1">
          <cell r="A1" t="str">
            <v>1월 생산실적</v>
          </cell>
        </row>
      </sheetData>
      <sheetData sheetId="6536">
        <row r="1">
          <cell r="A1" t="str">
            <v>1월 생산실적</v>
          </cell>
        </row>
      </sheetData>
      <sheetData sheetId="6537">
        <row r="1">
          <cell r="A1" t="str">
            <v>1월 생산실적</v>
          </cell>
        </row>
      </sheetData>
      <sheetData sheetId="6538">
        <row r="1">
          <cell r="A1" t="str">
            <v>1월 생산실적</v>
          </cell>
        </row>
      </sheetData>
      <sheetData sheetId="6539">
        <row r="1">
          <cell r="A1" t="str">
            <v>1월 생산실적</v>
          </cell>
        </row>
      </sheetData>
      <sheetData sheetId="6540">
        <row r="1">
          <cell r="A1" t="str">
            <v>1월 생산실적</v>
          </cell>
        </row>
      </sheetData>
      <sheetData sheetId="6541">
        <row r="1">
          <cell r="A1" t="str">
            <v>1월 생산실적</v>
          </cell>
        </row>
      </sheetData>
      <sheetData sheetId="6542">
        <row r="1">
          <cell r="A1" t="str">
            <v>1월 생산실적</v>
          </cell>
        </row>
      </sheetData>
      <sheetData sheetId="6543">
        <row r="1">
          <cell r="A1" t="str">
            <v>1월 생산실적</v>
          </cell>
        </row>
      </sheetData>
      <sheetData sheetId="6544">
        <row r="1">
          <cell r="A1" t="str">
            <v>1월 생산실적</v>
          </cell>
        </row>
      </sheetData>
      <sheetData sheetId="6545">
        <row r="1">
          <cell r="A1" t="str">
            <v>1월 생산실적</v>
          </cell>
        </row>
      </sheetData>
      <sheetData sheetId="6546">
        <row r="1">
          <cell r="A1" t="str">
            <v>1월 생산실적</v>
          </cell>
        </row>
      </sheetData>
      <sheetData sheetId="6547">
        <row r="1">
          <cell r="A1" t="str">
            <v>1월 생산실적</v>
          </cell>
        </row>
      </sheetData>
      <sheetData sheetId="6548">
        <row r="1">
          <cell r="A1" t="str">
            <v>1월 생산실적</v>
          </cell>
        </row>
      </sheetData>
      <sheetData sheetId="6549">
        <row r="1">
          <cell r="A1" t="str">
            <v>1월 생산실적</v>
          </cell>
        </row>
      </sheetData>
      <sheetData sheetId="6550">
        <row r="1">
          <cell r="A1" t="str">
            <v>1월 생산실적</v>
          </cell>
        </row>
      </sheetData>
      <sheetData sheetId="6551">
        <row r="1">
          <cell r="A1" t="str">
            <v>1월 생산실적</v>
          </cell>
        </row>
      </sheetData>
      <sheetData sheetId="6552">
        <row r="1">
          <cell r="A1" t="str">
            <v>1월 생산실적</v>
          </cell>
        </row>
      </sheetData>
      <sheetData sheetId="6553">
        <row r="1">
          <cell r="A1" t="str">
            <v>1월 생산실적</v>
          </cell>
        </row>
      </sheetData>
      <sheetData sheetId="6554">
        <row r="1">
          <cell r="A1" t="str">
            <v>1월 생산실적</v>
          </cell>
        </row>
      </sheetData>
      <sheetData sheetId="6555">
        <row r="1">
          <cell r="A1" t="str">
            <v>1월 생산실적</v>
          </cell>
        </row>
      </sheetData>
      <sheetData sheetId="6556">
        <row r="1">
          <cell r="A1" t="str">
            <v>1월 생산실적</v>
          </cell>
        </row>
      </sheetData>
      <sheetData sheetId="6557">
        <row r="1">
          <cell r="A1" t="str">
            <v>1월 생산실적</v>
          </cell>
        </row>
      </sheetData>
      <sheetData sheetId="6558">
        <row r="1">
          <cell r="A1" t="str">
            <v>1월 생산실적</v>
          </cell>
        </row>
      </sheetData>
      <sheetData sheetId="6559">
        <row r="1">
          <cell r="A1" t="str">
            <v>1월 생산실적</v>
          </cell>
        </row>
      </sheetData>
      <sheetData sheetId="6560">
        <row r="1">
          <cell r="A1" t="str">
            <v>1월 생산실적</v>
          </cell>
        </row>
      </sheetData>
      <sheetData sheetId="6561">
        <row r="1">
          <cell r="A1" t="str">
            <v>1월 생산실적</v>
          </cell>
        </row>
      </sheetData>
      <sheetData sheetId="6562">
        <row r="1">
          <cell r="A1" t="str">
            <v>1월 생산실적</v>
          </cell>
        </row>
      </sheetData>
      <sheetData sheetId="6563">
        <row r="1">
          <cell r="A1" t="str">
            <v>1월 생산실적</v>
          </cell>
        </row>
      </sheetData>
      <sheetData sheetId="6564">
        <row r="1">
          <cell r="A1" t="str">
            <v>1월 생산실적</v>
          </cell>
        </row>
      </sheetData>
      <sheetData sheetId="6565">
        <row r="1">
          <cell r="A1" t="str">
            <v>1월 생산실적</v>
          </cell>
        </row>
      </sheetData>
      <sheetData sheetId="6566">
        <row r="1">
          <cell r="A1" t="str">
            <v>1월 생산실적</v>
          </cell>
        </row>
      </sheetData>
      <sheetData sheetId="6567">
        <row r="1">
          <cell r="A1" t="str">
            <v>1월 생산실적</v>
          </cell>
        </row>
      </sheetData>
      <sheetData sheetId="6568">
        <row r="1">
          <cell r="A1" t="str">
            <v>1월 생산실적</v>
          </cell>
        </row>
      </sheetData>
      <sheetData sheetId="6569">
        <row r="1">
          <cell r="A1" t="str">
            <v>1월 생산실적</v>
          </cell>
        </row>
      </sheetData>
      <sheetData sheetId="6570">
        <row r="1">
          <cell r="A1" t="str">
            <v>1월 생산실적</v>
          </cell>
        </row>
      </sheetData>
      <sheetData sheetId="6571">
        <row r="1">
          <cell r="A1" t="str">
            <v>1월 생산실적</v>
          </cell>
        </row>
      </sheetData>
      <sheetData sheetId="6572">
        <row r="1">
          <cell r="A1" t="str">
            <v>1월 생산실적</v>
          </cell>
        </row>
      </sheetData>
      <sheetData sheetId="6573">
        <row r="1">
          <cell r="A1" t="str">
            <v>1월 생산실적</v>
          </cell>
        </row>
      </sheetData>
      <sheetData sheetId="6574">
        <row r="1">
          <cell r="A1" t="str">
            <v>1월 생산실적</v>
          </cell>
        </row>
      </sheetData>
      <sheetData sheetId="6575">
        <row r="1">
          <cell r="A1" t="str">
            <v>1월 생산실적</v>
          </cell>
        </row>
      </sheetData>
      <sheetData sheetId="6576">
        <row r="1">
          <cell r="A1" t="str">
            <v>1월 생산실적</v>
          </cell>
        </row>
      </sheetData>
      <sheetData sheetId="6577">
        <row r="1">
          <cell r="A1" t="str">
            <v>1월 생산실적</v>
          </cell>
        </row>
      </sheetData>
      <sheetData sheetId="6578">
        <row r="1">
          <cell r="A1" t="str">
            <v>1월 생산실적</v>
          </cell>
        </row>
      </sheetData>
      <sheetData sheetId="6579">
        <row r="1">
          <cell r="A1" t="str">
            <v>1월 생산실적</v>
          </cell>
        </row>
      </sheetData>
      <sheetData sheetId="6580">
        <row r="1">
          <cell r="A1" t="str">
            <v>1월 생산실적</v>
          </cell>
        </row>
      </sheetData>
      <sheetData sheetId="6581">
        <row r="1">
          <cell r="A1" t="str">
            <v>1월 생산실적</v>
          </cell>
        </row>
      </sheetData>
      <sheetData sheetId="6582">
        <row r="1">
          <cell r="A1" t="str">
            <v>1월 생산실적</v>
          </cell>
        </row>
      </sheetData>
      <sheetData sheetId="6583">
        <row r="1">
          <cell r="A1" t="str">
            <v>1월 생산실적</v>
          </cell>
        </row>
      </sheetData>
      <sheetData sheetId="6584">
        <row r="1">
          <cell r="A1" t="str">
            <v>1월 생산실적</v>
          </cell>
        </row>
      </sheetData>
      <sheetData sheetId="6585">
        <row r="1">
          <cell r="A1" t="str">
            <v>1월 생산실적</v>
          </cell>
        </row>
      </sheetData>
      <sheetData sheetId="6586">
        <row r="1">
          <cell r="A1" t="str">
            <v>1월 생산실적</v>
          </cell>
        </row>
      </sheetData>
      <sheetData sheetId="6587">
        <row r="1">
          <cell r="A1" t="str">
            <v>1월 생산실적</v>
          </cell>
        </row>
      </sheetData>
      <sheetData sheetId="6588">
        <row r="1">
          <cell r="A1" t="str">
            <v>1월 생산실적</v>
          </cell>
        </row>
      </sheetData>
      <sheetData sheetId="6589">
        <row r="1">
          <cell r="A1" t="str">
            <v>1월 생산실적</v>
          </cell>
        </row>
      </sheetData>
      <sheetData sheetId="6590">
        <row r="1">
          <cell r="A1" t="str">
            <v>1월 생산실적</v>
          </cell>
        </row>
      </sheetData>
      <sheetData sheetId="6591">
        <row r="1">
          <cell r="A1" t="str">
            <v>1월 생산실적</v>
          </cell>
        </row>
      </sheetData>
      <sheetData sheetId="6592">
        <row r="1">
          <cell r="A1" t="str">
            <v>1월 생산실적</v>
          </cell>
        </row>
      </sheetData>
      <sheetData sheetId="6593">
        <row r="1">
          <cell r="A1" t="str">
            <v>1월 생산실적</v>
          </cell>
        </row>
      </sheetData>
      <sheetData sheetId="6594">
        <row r="1">
          <cell r="A1" t="str">
            <v>1월 생산실적</v>
          </cell>
        </row>
      </sheetData>
      <sheetData sheetId="6595">
        <row r="1">
          <cell r="A1" t="str">
            <v>1월 생산실적</v>
          </cell>
        </row>
      </sheetData>
      <sheetData sheetId="6596">
        <row r="1">
          <cell r="A1" t="str">
            <v>1월 생산실적</v>
          </cell>
        </row>
      </sheetData>
      <sheetData sheetId="6597">
        <row r="1">
          <cell r="A1" t="str">
            <v>1월 생산실적</v>
          </cell>
        </row>
      </sheetData>
      <sheetData sheetId="6598">
        <row r="1">
          <cell r="A1" t="str">
            <v>1월 생산실적</v>
          </cell>
        </row>
      </sheetData>
      <sheetData sheetId="6599">
        <row r="1">
          <cell r="A1" t="str">
            <v>1월 생산실적</v>
          </cell>
        </row>
      </sheetData>
      <sheetData sheetId="6600">
        <row r="1">
          <cell r="A1" t="str">
            <v>1월 생산실적</v>
          </cell>
        </row>
      </sheetData>
      <sheetData sheetId="6601">
        <row r="1">
          <cell r="A1" t="str">
            <v>1월 생산실적</v>
          </cell>
        </row>
      </sheetData>
      <sheetData sheetId="6602">
        <row r="1">
          <cell r="A1" t="str">
            <v>1월 생산실적</v>
          </cell>
        </row>
      </sheetData>
      <sheetData sheetId="6603">
        <row r="1">
          <cell r="A1" t="str">
            <v>1월 생산실적</v>
          </cell>
        </row>
      </sheetData>
      <sheetData sheetId="6604">
        <row r="1">
          <cell r="A1" t="str">
            <v>1월 생산실적</v>
          </cell>
        </row>
      </sheetData>
      <sheetData sheetId="6605">
        <row r="1">
          <cell r="A1" t="str">
            <v>1월 생산실적</v>
          </cell>
        </row>
      </sheetData>
      <sheetData sheetId="6606">
        <row r="1">
          <cell r="A1" t="str">
            <v>1월 생산실적</v>
          </cell>
        </row>
      </sheetData>
      <sheetData sheetId="6607">
        <row r="1">
          <cell r="A1" t="str">
            <v>1월 생산실적</v>
          </cell>
        </row>
      </sheetData>
      <sheetData sheetId="6608">
        <row r="1">
          <cell r="A1" t="str">
            <v>1월 생산실적</v>
          </cell>
        </row>
      </sheetData>
      <sheetData sheetId="6609">
        <row r="1">
          <cell r="A1" t="str">
            <v>1월 생산실적</v>
          </cell>
        </row>
      </sheetData>
      <sheetData sheetId="6610">
        <row r="1">
          <cell r="A1" t="str">
            <v>1월 생산실적</v>
          </cell>
        </row>
      </sheetData>
      <sheetData sheetId="6611">
        <row r="1">
          <cell r="A1" t="str">
            <v>1월 생산실적</v>
          </cell>
        </row>
      </sheetData>
      <sheetData sheetId="6612">
        <row r="1">
          <cell r="A1" t="str">
            <v>1월 생산실적</v>
          </cell>
        </row>
      </sheetData>
      <sheetData sheetId="6613">
        <row r="1">
          <cell r="A1" t="str">
            <v>1월 생산실적</v>
          </cell>
        </row>
      </sheetData>
      <sheetData sheetId="6614">
        <row r="1">
          <cell r="A1" t="str">
            <v>1월 생산실적</v>
          </cell>
        </row>
      </sheetData>
      <sheetData sheetId="6615">
        <row r="1">
          <cell r="A1" t="str">
            <v>1월 생산실적</v>
          </cell>
        </row>
      </sheetData>
      <sheetData sheetId="6616">
        <row r="1">
          <cell r="A1" t="str">
            <v>1월 생산실적</v>
          </cell>
        </row>
      </sheetData>
      <sheetData sheetId="6617">
        <row r="1">
          <cell r="A1" t="str">
            <v>1월 생산실적</v>
          </cell>
        </row>
      </sheetData>
      <sheetData sheetId="6618">
        <row r="1">
          <cell r="A1" t="str">
            <v>1월 생산실적</v>
          </cell>
        </row>
      </sheetData>
      <sheetData sheetId="6619">
        <row r="1">
          <cell r="A1" t="str">
            <v>1월 생산실적</v>
          </cell>
        </row>
      </sheetData>
      <sheetData sheetId="6620">
        <row r="1">
          <cell r="A1" t="str">
            <v>1월 생산실적</v>
          </cell>
        </row>
      </sheetData>
      <sheetData sheetId="6621">
        <row r="1">
          <cell r="A1" t="str">
            <v>1월 생산실적</v>
          </cell>
        </row>
      </sheetData>
      <sheetData sheetId="6622">
        <row r="1">
          <cell r="A1" t="str">
            <v>1월 생산실적</v>
          </cell>
        </row>
      </sheetData>
      <sheetData sheetId="6623">
        <row r="1">
          <cell r="A1" t="str">
            <v>1월 생산실적</v>
          </cell>
        </row>
      </sheetData>
      <sheetData sheetId="6624">
        <row r="1">
          <cell r="A1" t="str">
            <v>1월 생산실적</v>
          </cell>
        </row>
      </sheetData>
      <sheetData sheetId="6625">
        <row r="1">
          <cell r="A1" t="str">
            <v>1월 생산실적</v>
          </cell>
        </row>
      </sheetData>
      <sheetData sheetId="6626">
        <row r="1">
          <cell r="A1" t="str">
            <v>1월 생산실적</v>
          </cell>
        </row>
      </sheetData>
      <sheetData sheetId="6627">
        <row r="1">
          <cell r="A1" t="str">
            <v>1월 생산실적</v>
          </cell>
        </row>
      </sheetData>
      <sheetData sheetId="6628">
        <row r="1">
          <cell r="A1" t="str">
            <v>1월 생산실적</v>
          </cell>
        </row>
      </sheetData>
      <sheetData sheetId="6629">
        <row r="1">
          <cell r="A1" t="str">
            <v>1월 생산실적</v>
          </cell>
        </row>
      </sheetData>
      <sheetData sheetId="6630">
        <row r="1">
          <cell r="A1" t="str">
            <v>1월 생산실적</v>
          </cell>
        </row>
      </sheetData>
      <sheetData sheetId="6631">
        <row r="1">
          <cell r="A1" t="str">
            <v>1월 생산실적</v>
          </cell>
        </row>
      </sheetData>
      <sheetData sheetId="6632">
        <row r="1">
          <cell r="A1" t="str">
            <v>1월 생산실적</v>
          </cell>
        </row>
      </sheetData>
      <sheetData sheetId="6633">
        <row r="1">
          <cell r="A1" t="str">
            <v>1월 생산실적</v>
          </cell>
        </row>
      </sheetData>
      <sheetData sheetId="6634">
        <row r="1">
          <cell r="A1" t="str">
            <v>1월 생산실적</v>
          </cell>
        </row>
      </sheetData>
      <sheetData sheetId="6635">
        <row r="1">
          <cell r="A1" t="str">
            <v>1월 생산실적</v>
          </cell>
        </row>
      </sheetData>
      <sheetData sheetId="6636">
        <row r="1">
          <cell r="A1" t="str">
            <v>1월 생산실적</v>
          </cell>
        </row>
      </sheetData>
      <sheetData sheetId="6637">
        <row r="1">
          <cell r="A1" t="str">
            <v>1월 생산실적</v>
          </cell>
        </row>
      </sheetData>
      <sheetData sheetId="6638">
        <row r="1">
          <cell r="A1" t="str">
            <v>1월 생산실적</v>
          </cell>
        </row>
      </sheetData>
      <sheetData sheetId="6639">
        <row r="1">
          <cell r="A1" t="str">
            <v>1월 생산실적</v>
          </cell>
        </row>
      </sheetData>
      <sheetData sheetId="6640">
        <row r="1">
          <cell r="A1" t="str">
            <v>1월 생산실적</v>
          </cell>
        </row>
      </sheetData>
      <sheetData sheetId="6641">
        <row r="1">
          <cell r="A1" t="str">
            <v>1월 생산실적</v>
          </cell>
        </row>
      </sheetData>
      <sheetData sheetId="6642">
        <row r="1">
          <cell r="A1" t="str">
            <v>1월 생산실적</v>
          </cell>
        </row>
      </sheetData>
      <sheetData sheetId="6643">
        <row r="1">
          <cell r="A1" t="str">
            <v>1월 생산실적</v>
          </cell>
        </row>
      </sheetData>
      <sheetData sheetId="6644">
        <row r="1">
          <cell r="A1" t="str">
            <v>1월 생산실적</v>
          </cell>
        </row>
      </sheetData>
      <sheetData sheetId="6645">
        <row r="1">
          <cell r="A1" t="str">
            <v>1월 생산실적</v>
          </cell>
        </row>
      </sheetData>
      <sheetData sheetId="6646">
        <row r="1">
          <cell r="A1" t="str">
            <v>1월 생산실적</v>
          </cell>
        </row>
      </sheetData>
      <sheetData sheetId="6647">
        <row r="1">
          <cell r="A1" t="str">
            <v>1월 생산실적</v>
          </cell>
        </row>
      </sheetData>
      <sheetData sheetId="6648">
        <row r="1">
          <cell r="A1" t="str">
            <v>1월 생산실적</v>
          </cell>
        </row>
      </sheetData>
      <sheetData sheetId="6649">
        <row r="1">
          <cell r="A1" t="str">
            <v>1월 생산실적</v>
          </cell>
        </row>
      </sheetData>
      <sheetData sheetId="6650">
        <row r="1">
          <cell r="A1" t="str">
            <v>1월 생산실적</v>
          </cell>
        </row>
      </sheetData>
      <sheetData sheetId="6651">
        <row r="1">
          <cell r="A1" t="str">
            <v>1월 생산실적</v>
          </cell>
        </row>
      </sheetData>
      <sheetData sheetId="6652">
        <row r="1">
          <cell r="A1" t="str">
            <v>1월 생산실적</v>
          </cell>
        </row>
      </sheetData>
      <sheetData sheetId="6653">
        <row r="1">
          <cell r="A1" t="str">
            <v>1월 생산실적</v>
          </cell>
        </row>
      </sheetData>
      <sheetData sheetId="6654">
        <row r="1">
          <cell r="A1" t="str">
            <v>1월 생산실적</v>
          </cell>
        </row>
      </sheetData>
      <sheetData sheetId="6655">
        <row r="1">
          <cell r="A1" t="str">
            <v>1월 생산실적</v>
          </cell>
        </row>
      </sheetData>
      <sheetData sheetId="6656">
        <row r="1">
          <cell r="A1" t="str">
            <v>1월 생산실적</v>
          </cell>
        </row>
      </sheetData>
      <sheetData sheetId="6657">
        <row r="1">
          <cell r="A1" t="str">
            <v>1월 생산실적</v>
          </cell>
        </row>
      </sheetData>
      <sheetData sheetId="6658">
        <row r="1">
          <cell r="A1" t="str">
            <v>1월 생산실적</v>
          </cell>
        </row>
      </sheetData>
      <sheetData sheetId="6659">
        <row r="1">
          <cell r="A1" t="str">
            <v>1월 생산실적</v>
          </cell>
        </row>
      </sheetData>
      <sheetData sheetId="6660">
        <row r="1">
          <cell r="A1" t="str">
            <v>1월 생산실적</v>
          </cell>
        </row>
      </sheetData>
      <sheetData sheetId="6661">
        <row r="1">
          <cell r="A1" t="str">
            <v>1월 생산실적</v>
          </cell>
        </row>
      </sheetData>
      <sheetData sheetId="6662">
        <row r="1">
          <cell r="A1" t="str">
            <v>1월 생산실적</v>
          </cell>
        </row>
      </sheetData>
      <sheetData sheetId="6663">
        <row r="1">
          <cell r="A1" t="str">
            <v>1월 생산실적</v>
          </cell>
        </row>
      </sheetData>
      <sheetData sheetId="6664">
        <row r="1">
          <cell r="A1" t="str">
            <v>1월 생산실적</v>
          </cell>
        </row>
      </sheetData>
      <sheetData sheetId="6665">
        <row r="1">
          <cell r="A1" t="str">
            <v>1월 생산실적</v>
          </cell>
        </row>
      </sheetData>
      <sheetData sheetId="6666">
        <row r="1">
          <cell r="A1" t="str">
            <v>1월 생산실적</v>
          </cell>
        </row>
      </sheetData>
      <sheetData sheetId="6667">
        <row r="1">
          <cell r="A1" t="str">
            <v>1월 생산실적</v>
          </cell>
        </row>
      </sheetData>
      <sheetData sheetId="6668">
        <row r="1">
          <cell r="A1" t="str">
            <v>1월 생산실적</v>
          </cell>
        </row>
      </sheetData>
      <sheetData sheetId="6669">
        <row r="1">
          <cell r="A1" t="str">
            <v>1월 생산실적</v>
          </cell>
        </row>
      </sheetData>
      <sheetData sheetId="6670">
        <row r="1">
          <cell r="A1" t="str">
            <v>1월 생산실적</v>
          </cell>
        </row>
      </sheetData>
      <sheetData sheetId="6671">
        <row r="1">
          <cell r="A1" t="str">
            <v>1월 생산실적</v>
          </cell>
        </row>
      </sheetData>
      <sheetData sheetId="6672">
        <row r="1">
          <cell r="A1" t="str">
            <v>1월 생산실적</v>
          </cell>
        </row>
      </sheetData>
      <sheetData sheetId="6673">
        <row r="1">
          <cell r="A1" t="str">
            <v>1월 생산실적</v>
          </cell>
        </row>
      </sheetData>
      <sheetData sheetId="6674">
        <row r="1">
          <cell r="A1" t="str">
            <v>1월 생산실적</v>
          </cell>
        </row>
      </sheetData>
      <sheetData sheetId="6675">
        <row r="1">
          <cell r="A1" t="str">
            <v>1월 생산실적</v>
          </cell>
        </row>
      </sheetData>
      <sheetData sheetId="6676">
        <row r="1">
          <cell r="A1" t="str">
            <v>1월 생산실적</v>
          </cell>
        </row>
      </sheetData>
      <sheetData sheetId="6677">
        <row r="1">
          <cell r="A1" t="str">
            <v>1월 생산실적</v>
          </cell>
        </row>
      </sheetData>
      <sheetData sheetId="6678">
        <row r="1">
          <cell r="A1" t="str">
            <v>1월 생산실적</v>
          </cell>
        </row>
      </sheetData>
      <sheetData sheetId="6679">
        <row r="1">
          <cell r="A1" t="str">
            <v>1월 생산실적</v>
          </cell>
        </row>
      </sheetData>
      <sheetData sheetId="6680">
        <row r="1">
          <cell r="A1" t="str">
            <v>1월 생산실적</v>
          </cell>
        </row>
      </sheetData>
      <sheetData sheetId="6681">
        <row r="1">
          <cell r="A1" t="str">
            <v>1월 생산실적</v>
          </cell>
        </row>
      </sheetData>
      <sheetData sheetId="6682">
        <row r="1">
          <cell r="A1" t="str">
            <v>1월 생산실적</v>
          </cell>
        </row>
      </sheetData>
      <sheetData sheetId="6683">
        <row r="1">
          <cell r="A1" t="str">
            <v>1월 생산실적</v>
          </cell>
        </row>
      </sheetData>
      <sheetData sheetId="6684">
        <row r="1">
          <cell r="A1" t="str">
            <v>1월 생산실적</v>
          </cell>
        </row>
      </sheetData>
      <sheetData sheetId="6685">
        <row r="1">
          <cell r="A1" t="str">
            <v>1월 생산실적</v>
          </cell>
        </row>
      </sheetData>
      <sheetData sheetId="6686">
        <row r="1">
          <cell r="A1" t="str">
            <v>1월 생산실적</v>
          </cell>
        </row>
      </sheetData>
      <sheetData sheetId="6687">
        <row r="1">
          <cell r="A1" t="str">
            <v>1월 생산실적</v>
          </cell>
        </row>
      </sheetData>
      <sheetData sheetId="6688">
        <row r="1">
          <cell r="A1" t="str">
            <v>1월 생산실적</v>
          </cell>
        </row>
      </sheetData>
      <sheetData sheetId="6689">
        <row r="1">
          <cell r="A1" t="str">
            <v>1월 생산실적</v>
          </cell>
        </row>
      </sheetData>
      <sheetData sheetId="6690">
        <row r="1">
          <cell r="A1" t="str">
            <v>1월 생산실적</v>
          </cell>
        </row>
      </sheetData>
      <sheetData sheetId="6691">
        <row r="1">
          <cell r="A1" t="str">
            <v>1월 생산실적</v>
          </cell>
        </row>
      </sheetData>
      <sheetData sheetId="6692">
        <row r="1">
          <cell r="A1" t="str">
            <v>1월 생산실적</v>
          </cell>
        </row>
      </sheetData>
      <sheetData sheetId="6693">
        <row r="1">
          <cell r="A1" t="str">
            <v>1월 생산실적</v>
          </cell>
        </row>
      </sheetData>
      <sheetData sheetId="6694">
        <row r="1">
          <cell r="A1" t="str">
            <v>1월 생산실적</v>
          </cell>
        </row>
      </sheetData>
      <sheetData sheetId="6695">
        <row r="1">
          <cell r="A1" t="str">
            <v>1월 생산실적</v>
          </cell>
        </row>
      </sheetData>
      <sheetData sheetId="6696">
        <row r="1">
          <cell r="A1" t="str">
            <v>1월 생산실적</v>
          </cell>
        </row>
      </sheetData>
      <sheetData sheetId="6697">
        <row r="1">
          <cell r="A1" t="str">
            <v>1월 생산실적</v>
          </cell>
        </row>
      </sheetData>
      <sheetData sheetId="6698">
        <row r="1">
          <cell r="A1" t="str">
            <v>1월 생산실적</v>
          </cell>
        </row>
      </sheetData>
      <sheetData sheetId="6699">
        <row r="1">
          <cell r="A1" t="str">
            <v>1월 생산실적</v>
          </cell>
        </row>
      </sheetData>
      <sheetData sheetId="6700">
        <row r="1">
          <cell r="A1" t="str">
            <v>1월 생산실적</v>
          </cell>
        </row>
      </sheetData>
      <sheetData sheetId="6701">
        <row r="1">
          <cell r="A1" t="str">
            <v>1월 생산실적</v>
          </cell>
        </row>
      </sheetData>
      <sheetData sheetId="6702">
        <row r="1">
          <cell r="A1" t="str">
            <v>1월 생산실적</v>
          </cell>
        </row>
      </sheetData>
      <sheetData sheetId="6703">
        <row r="1">
          <cell r="A1" t="str">
            <v>1월 생산실적</v>
          </cell>
        </row>
      </sheetData>
      <sheetData sheetId="6704">
        <row r="1">
          <cell r="A1" t="str">
            <v>1월 생산실적</v>
          </cell>
        </row>
      </sheetData>
      <sheetData sheetId="6705">
        <row r="1">
          <cell r="A1" t="str">
            <v>1월 생산실적</v>
          </cell>
        </row>
      </sheetData>
      <sheetData sheetId="6706">
        <row r="1">
          <cell r="A1" t="str">
            <v>1월 생산실적</v>
          </cell>
        </row>
      </sheetData>
      <sheetData sheetId="6707">
        <row r="1">
          <cell r="A1" t="str">
            <v>1월 생산실적</v>
          </cell>
        </row>
      </sheetData>
      <sheetData sheetId="6708">
        <row r="1">
          <cell r="A1" t="str">
            <v>1월 생산실적</v>
          </cell>
        </row>
      </sheetData>
      <sheetData sheetId="6709">
        <row r="1">
          <cell r="A1" t="str">
            <v>1월 생산실적</v>
          </cell>
        </row>
      </sheetData>
      <sheetData sheetId="6710">
        <row r="1">
          <cell r="A1" t="str">
            <v>1월 생산실적</v>
          </cell>
        </row>
      </sheetData>
      <sheetData sheetId="6711">
        <row r="1">
          <cell r="A1" t="str">
            <v>1월 생산실적</v>
          </cell>
        </row>
      </sheetData>
      <sheetData sheetId="6712">
        <row r="1">
          <cell r="A1" t="str">
            <v>1월 생산실적</v>
          </cell>
        </row>
      </sheetData>
      <sheetData sheetId="6713">
        <row r="1">
          <cell r="A1" t="str">
            <v>1월 생산실적</v>
          </cell>
        </row>
      </sheetData>
      <sheetData sheetId="6714">
        <row r="1">
          <cell r="A1" t="str">
            <v>1월 생산실적</v>
          </cell>
        </row>
      </sheetData>
      <sheetData sheetId="6715">
        <row r="1">
          <cell r="A1" t="str">
            <v>1월 생산실적</v>
          </cell>
        </row>
      </sheetData>
      <sheetData sheetId="6716">
        <row r="1">
          <cell r="A1" t="str">
            <v>1월 생산실적</v>
          </cell>
        </row>
      </sheetData>
      <sheetData sheetId="6717">
        <row r="1">
          <cell r="A1" t="str">
            <v>1월 생산실적</v>
          </cell>
        </row>
      </sheetData>
      <sheetData sheetId="6718">
        <row r="1">
          <cell r="A1" t="str">
            <v>1월 생산실적</v>
          </cell>
        </row>
      </sheetData>
      <sheetData sheetId="6719">
        <row r="1">
          <cell r="A1" t="str">
            <v>1월 생산실적</v>
          </cell>
        </row>
      </sheetData>
      <sheetData sheetId="6720">
        <row r="1">
          <cell r="A1" t="str">
            <v>1월 생산실적</v>
          </cell>
        </row>
      </sheetData>
      <sheetData sheetId="6721">
        <row r="1">
          <cell r="A1" t="str">
            <v>1월 생산실적</v>
          </cell>
        </row>
      </sheetData>
      <sheetData sheetId="6722">
        <row r="1">
          <cell r="A1" t="str">
            <v>1월 생산실적</v>
          </cell>
        </row>
      </sheetData>
      <sheetData sheetId="6723">
        <row r="1">
          <cell r="A1" t="str">
            <v>1월 생산실적</v>
          </cell>
        </row>
      </sheetData>
      <sheetData sheetId="6724">
        <row r="1">
          <cell r="A1" t="str">
            <v>1월 생산실적</v>
          </cell>
        </row>
      </sheetData>
      <sheetData sheetId="6725">
        <row r="1">
          <cell r="A1" t="str">
            <v>1월 생산실적</v>
          </cell>
        </row>
      </sheetData>
      <sheetData sheetId="6726">
        <row r="1">
          <cell r="A1" t="str">
            <v>1월 생산실적</v>
          </cell>
        </row>
      </sheetData>
      <sheetData sheetId="6727">
        <row r="1">
          <cell r="A1" t="str">
            <v>1월 생산실적</v>
          </cell>
        </row>
      </sheetData>
      <sheetData sheetId="6728">
        <row r="1">
          <cell r="A1" t="str">
            <v>1월 생산실적</v>
          </cell>
        </row>
      </sheetData>
      <sheetData sheetId="6729">
        <row r="1">
          <cell r="A1" t="str">
            <v>1월 생산실적</v>
          </cell>
        </row>
      </sheetData>
      <sheetData sheetId="6730">
        <row r="1">
          <cell r="A1" t="str">
            <v>1월 생산실적</v>
          </cell>
        </row>
      </sheetData>
      <sheetData sheetId="6731">
        <row r="1">
          <cell r="A1" t="str">
            <v>1월 생산실적</v>
          </cell>
        </row>
      </sheetData>
      <sheetData sheetId="6732">
        <row r="1">
          <cell r="A1" t="str">
            <v>1월 생산실적</v>
          </cell>
        </row>
      </sheetData>
      <sheetData sheetId="6733">
        <row r="1">
          <cell r="A1" t="str">
            <v>1월 생산실적</v>
          </cell>
        </row>
      </sheetData>
      <sheetData sheetId="6734">
        <row r="1">
          <cell r="A1" t="str">
            <v>1월 생산실적</v>
          </cell>
        </row>
      </sheetData>
      <sheetData sheetId="6735">
        <row r="1">
          <cell r="A1" t="str">
            <v>1월 생산실적</v>
          </cell>
        </row>
      </sheetData>
      <sheetData sheetId="6736">
        <row r="1">
          <cell r="A1" t="str">
            <v>1월 생산실적</v>
          </cell>
        </row>
      </sheetData>
      <sheetData sheetId="6737">
        <row r="1">
          <cell r="A1" t="str">
            <v>1월 생산실적</v>
          </cell>
        </row>
      </sheetData>
      <sheetData sheetId="6738">
        <row r="1">
          <cell r="A1" t="str">
            <v>1월 생산실적</v>
          </cell>
        </row>
      </sheetData>
      <sheetData sheetId="6739">
        <row r="1">
          <cell r="A1" t="str">
            <v>1월 생산실적</v>
          </cell>
        </row>
      </sheetData>
      <sheetData sheetId="6740">
        <row r="1">
          <cell r="A1" t="str">
            <v>1월 생산실적</v>
          </cell>
        </row>
      </sheetData>
      <sheetData sheetId="6741">
        <row r="1">
          <cell r="A1" t="str">
            <v>1월 생산실적</v>
          </cell>
        </row>
      </sheetData>
      <sheetData sheetId="6742">
        <row r="1">
          <cell r="A1" t="str">
            <v>1월 생산실적</v>
          </cell>
        </row>
      </sheetData>
      <sheetData sheetId="6743">
        <row r="1">
          <cell r="A1" t="str">
            <v>1월 생산실적</v>
          </cell>
        </row>
      </sheetData>
      <sheetData sheetId="6744">
        <row r="1">
          <cell r="A1" t="str">
            <v>1월 생산실적</v>
          </cell>
        </row>
      </sheetData>
      <sheetData sheetId="6745">
        <row r="1">
          <cell r="A1" t="str">
            <v>1월 생산실적</v>
          </cell>
        </row>
      </sheetData>
      <sheetData sheetId="6746">
        <row r="1">
          <cell r="A1" t="str">
            <v>1월 생산실적</v>
          </cell>
        </row>
      </sheetData>
      <sheetData sheetId="6747">
        <row r="1">
          <cell r="A1" t="str">
            <v>1월 생산실적</v>
          </cell>
        </row>
      </sheetData>
      <sheetData sheetId="6748">
        <row r="1">
          <cell r="A1" t="str">
            <v>1월 생산실적</v>
          </cell>
        </row>
      </sheetData>
      <sheetData sheetId="6749">
        <row r="1">
          <cell r="A1" t="str">
            <v>1월 생산실적</v>
          </cell>
        </row>
      </sheetData>
      <sheetData sheetId="6750">
        <row r="1">
          <cell r="A1" t="str">
            <v>1월 생산실적</v>
          </cell>
        </row>
      </sheetData>
      <sheetData sheetId="6751">
        <row r="1">
          <cell r="A1" t="str">
            <v>1월 생산실적</v>
          </cell>
        </row>
      </sheetData>
      <sheetData sheetId="6752">
        <row r="1">
          <cell r="A1" t="str">
            <v>1월 생산실적</v>
          </cell>
        </row>
      </sheetData>
      <sheetData sheetId="6753">
        <row r="1">
          <cell r="A1" t="str">
            <v>1월 생산실적</v>
          </cell>
        </row>
      </sheetData>
      <sheetData sheetId="6754">
        <row r="1">
          <cell r="A1" t="str">
            <v>1월 생산실적</v>
          </cell>
        </row>
      </sheetData>
      <sheetData sheetId="6755">
        <row r="1">
          <cell r="A1" t="str">
            <v>1월 생산실적</v>
          </cell>
        </row>
      </sheetData>
      <sheetData sheetId="6756">
        <row r="1">
          <cell r="A1" t="str">
            <v>1월 생산실적</v>
          </cell>
        </row>
      </sheetData>
      <sheetData sheetId="6757">
        <row r="1">
          <cell r="A1" t="str">
            <v>1월 생산실적</v>
          </cell>
        </row>
      </sheetData>
      <sheetData sheetId="6758">
        <row r="1">
          <cell r="A1" t="str">
            <v>1월 생산실적</v>
          </cell>
        </row>
      </sheetData>
      <sheetData sheetId="6759">
        <row r="1">
          <cell r="A1" t="str">
            <v>1월 생산실적</v>
          </cell>
        </row>
      </sheetData>
      <sheetData sheetId="6760">
        <row r="1">
          <cell r="A1" t="str">
            <v>1월 생산실적</v>
          </cell>
        </row>
      </sheetData>
      <sheetData sheetId="6761">
        <row r="1">
          <cell r="A1" t="str">
            <v>1월 생산실적</v>
          </cell>
        </row>
      </sheetData>
      <sheetData sheetId="6762">
        <row r="1">
          <cell r="A1" t="str">
            <v>1월 생산실적</v>
          </cell>
        </row>
      </sheetData>
      <sheetData sheetId="6763">
        <row r="1">
          <cell r="A1" t="str">
            <v>1월 생산실적</v>
          </cell>
        </row>
      </sheetData>
      <sheetData sheetId="6764">
        <row r="1">
          <cell r="A1" t="str">
            <v>1월 생산실적</v>
          </cell>
        </row>
      </sheetData>
      <sheetData sheetId="6765">
        <row r="1">
          <cell r="A1" t="str">
            <v>1월 생산실적</v>
          </cell>
        </row>
      </sheetData>
      <sheetData sheetId="6766">
        <row r="1">
          <cell r="A1" t="str">
            <v>1월 생산실적</v>
          </cell>
        </row>
      </sheetData>
      <sheetData sheetId="6767">
        <row r="1">
          <cell r="A1" t="str">
            <v>1월 생산실적</v>
          </cell>
        </row>
      </sheetData>
      <sheetData sheetId="6768">
        <row r="1">
          <cell r="A1" t="str">
            <v>1월 생산실적</v>
          </cell>
        </row>
      </sheetData>
      <sheetData sheetId="6769">
        <row r="1">
          <cell r="A1" t="str">
            <v>1월 생산실적</v>
          </cell>
        </row>
      </sheetData>
      <sheetData sheetId="6770">
        <row r="1">
          <cell r="A1" t="str">
            <v>1월 생산실적</v>
          </cell>
        </row>
      </sheetData>
      <sheetData sheetId="6771">
        <row r="1">
          <cell r="A1" t="str">
            <v>1월 생산실적</v>
          </cell>
        </row>
      </sheetData>
      <sheetData sheetId="6772">
        <row r="1">
          <cell r="A1" t="str">
            <v>1월 생산실적</v>
          </cell>
        </row>
      </sheetData>
      <sheetData sheetId="6773">
        <row r="1">
          <cell r="A1" t="str">
            <v>1월 생산실적</v>
          </cell>
        </row>
      </sheetData>
      <sheetData sheetId="6774">
        <row r="1">
          <cell r="A1" t="str">
            <v>1월 생산실적</v>
          </cell>
        </row>
      </sheetData>
      <sheetData sheetId="6775">
        <row r="1">
          <cell r="A1" t="str">
            <v>1월 생산실적</v>
          </cell>
        </row>
      </sheetData>
      <sheetData sheetId="6776">
        <row r="1">
          <cell r="A1" t="str">
            <v>1월 생산실적</v>
          </cell>
        </row>
      </sheetData>
      <sheetData sheetId="6777">
        <row r="1">
          <cell r="A1" t="str">
            <v>1월 생산실적</v>
          </cell>
        </row>
      </sheetData>
      <sheetData sheetId="6778">
        <row r="1">
          <cell r="A1" t="str">
            <v>1월 생산실적</v>
          </cell>
        </row>
      </sheetData>
      <sheetData sheetId="6779">
        <row r="1">
          <cell r="A1" t="str">
            <v>1월 생산실적</v>
          </cell>
        </row>
      </sheetData>
      <sheetData sheetId="6780">
        <row r="1">
          <cell r="A1" t="str">
            <v>1월 생산실적</v>
          </cell>
        </row>
      </sheetData>
      <sheetData sheetId="6781">
        <row r="1">
          <cell r="A1" t="str">
            <v>1월 생산실적</v>
          </cell>
        </row>
      </sheetData>
      <sheetData sheetId="6782">
        <row r="1">
          <cell r="A1" t="str">
            <v>1월 생산실적</v>
          </cell>
        </row>
      </sheetData>
      <sheetData sheetId="6783">
        <row r="1">
          <cell r="A1" t="str">
            <v>1월 생산실적</v>
          </cell>
        </row>
      </sheetData>
      <sheetData sheetId="6784">
        <row r="1">
          <cell r="A1" t="str">
            <v>1월 생산실적</v>
          </cell>
        </row>
      </sheetData>
      <sheetData sheetId="6785">
        <row r="1">
          <cell r="A1" t="str">
            <v>1월 생산실적</v>
          </cell>
        </row>
      </sheetData>
      <sheetData sheetId="6786">
        <row r="1">
          <cell r="A1" t="str">
            <v>1월 생산실적</v>
          </cell>
        </row>
      </sheetData>
      <sheetData sheetId="6787">
        <row r="1">
          <cell r="A1" t="str">
            <v>1월 생산실적</v>
          </cell>
        </row>
      </sheetData>
      <sheetData sheetId="6788">
        <row r="1">
          <cell r="A1" t="str">
            <v>1월 생산실적</v>
          </cell>
        </row>
      </sheetData>
      <sheetData sheetId="6789">
        <row r="1">
          <cell r="A1" t="str">
            <v>1월 생산실적</v>
          </cell>
        </row>
      </sheetData>
      <sheetData sheetId="6790">
        <row r="1">
          <cell r="A1" t="str">
            <v>1월 생산실적</v>
          </cell>
        </row>
      </sheetData>
      <sheetData sheetId="6791">
        <row r="1">
          <cell r="A1" t="str">
            <v>1월 생산실적</v>
          </cell>
        </row>
      </sheetData>
      <sheetData sheetId="6792">
        <row r="1">
          <cell r="A1" t="str">
            <v>1월 생산실적</v>
          </cell>
        </row>
      </sheetData>
      <sheetData sheetId="6793">
        <row r="1">
          <cell r="A1" t="str">
            <v>1월 생산실적</v>
          </cell>
        </row>
      </sheetData>
      <sheetData sheetId="6794">
        <row r="1">
          <cell r="A1" t="str">
            <v>1월 생산실적</v>
          </cell>
        </row>
      </sheetData>
      <sheetData sheetId="6795">
        <row r="1">
          <cell r="A1" t="str">
            <v>1월 생산실적</v>
          </cell>
        </row>
      </sheetData>
      <sheetData sheetId="6796">
        <row r="1">
          <cell r="A1" t="str">
            <v>1월 생산실적</v>
          </cell>
        </row>
      </sheetData>
      <sheetData sheetId="6797">
        <row r="1">
          <cell r="A1" t="str">
            <v>1월 생산실적</v>
          </cell>
        </row>
      </sheetData>
      <sheetData sheetId="6798">
        <row r="1">
          <cell r="A1" t="str">
            <v>1월 생산실적</v>
          </cell>
        </row>
      </sheetData>
      <sheetData sheetId="6799">
        <row r="1">
          <cell r="A1" t="str">
            <v>1월 생산실적</v>
          </cell>
        </row>
      </sheetData>
      <sheetData sheetId="6800">
        <row r="1">
          <cell r="A1" t="str">
            <v>1월 생산실적</v>
          </cell>
        </row>
      </sheetData>
      <sheetData sheetId="6801">
        <row r="1">
          <cell r="A1" t="str">
            <v>1월 생산실적</v>
          </cell>
        </row>
      </sheetData>
      <sheetData sheetId="6802">
        <row r="1">
          <cell r="A1" t="str">
            <v>1월 생산실적</v>
          </cell>
        </row>
      </sheetData>
      <sheetData sheetId="6803">
        <row r="1">
          <cell r="A1" t="str">
            <v>1월 생산실적</v>
          </cell>
        </row>
      </sheetData>
      <sheetData sheetId="6804">
        <row r="1">
          <cell r="A1" t="str">
            <v>1월 생산실적</v>
          </cell>
        </row>
      </sheetData>
      <sheetData sheetId="6805">
        <row r="1">
          <cell r="A1" t="str">
            <v>1월 생산실적</v>
          </cell>
        </row>
      </sheetData>
      <sheetData sheetId="6806">
        <row r="1">
          <cell r="A1" t="str">
            <v>1월 생산실적</v>
          </cell>
        </row>
      </sheetData>
      <sheetData sheetId="6807">
        <row r="1">
          <cell r="A1" t="str">
            <v>1월 생산실적</v>
          </cell>
        </row>
      </sheetData>
      <sheetData sheetId="6808">
        <row r="1">
          <cell r="A1" t="str">
            <v>1월 생산실적</v>
          </cell>
        </row>
      </sheetData>
      <sheetData sheetId="6809">
        <row r="1">
          <cell r="A1" t="str">
            <v>1월 생산실적</v>
          </cell>
        </row>
      </sheetData>
      <sheetData sheetId="6810">
        <row r="1">
          <cell r="A1" t="str">
            <v>1월 생산실적</v>
          </cell>
        </row>
      </sheetData>
      <sheetData sheetId="6811">
        <row r="1">
          <cell r="A1" t="str">
            <v>1월 생산실적</v>
          </cell>
        </row>
      </sheetData>
      <sheetData sheetId="6812">
        <row r="1">
          <cell r="A1" t="str">
            <v>1월 생산실적</v>
          </cell>
        </row>
      </sheetData>
      <sheetData sheetId="6813">
        <row r="1">
          <cell r="A1" t="str">
            <v>1월 생산실적</v>
          </cell>
        </row>
      </sheetData>
      <sheetData sheetId="6814">
        <row r="1">
          <cell r="A1" t="str">
            <v>1월 생산실적</v>
          </cell>
        </row>
      </sheetData>
      <sheetData sheetId="6815">
        <row r="1">
          <cell r="A1" t="str">
            <v>1월 생산실적</v>
          </cell>
        </row>
      </sheetData>
      <sheetData sheetId="6816">
        <row r="1">
          <cell r="A1" t="str">
            <v>1월 생산실적</v>
          </cell>
        </row>
      </sheetData>
      <sheetData sheetId="6817">
        <row r="1">
          <cell r="A1" t="str">
            <v>1월 생산실적</v>
          </cell>
        </row>
      </sheetData>
      <sheetData sheetId="6818">
        <row r="1">
          <cell r="A1" t="str">
            <v>1월 생산실적</v>
          </cell>
        </row>
      </sheetData>
      <sheetData sheetId="6819">
        <row r="1">
          <cell r="A1" t="str">
            <v>1월 생산실적</v>
          </cell>
        </row>
      </sheetData>
      <sheetData sheetId="6820">
        <row r="1">
          <cell r="A1" t="str">
            <v>1월 생산실적</v>
          </cell>
        </row>
      </sheetData>
      <sheetData sheetId="6821">
        <row r="1">
          <cell r="A1" t="str">
            <v>1월 생산실적</v>
          </cell>
        </row>
      </sheetData>
      <sheetData sheetId="6822">
        <row r="1">
          <cell r="A1" t="str">
            <v>1월 생산실적</v>
          </cell>
        </row>
      </sheetData>
      <sheetData sheetId="6823">
        <row r="1">
          <cell r="A1" t="str">
            <v>1월 생산실적</v>
          </cell>
        </row>
      </sheetData>
      <sheetData sheetId="6824">
        <row r="1">
          <cell r="A1" t="str">
            <v>1월 생산실적</v>
          </cell>
        </row>
      </sheetData>
      <sheetData sheetId="6825">
        <row r="1">
          <cell r="A1" t="str">
            <v>1월 생산실적</v>
          </cell>
        </row>
      </sheetData>
      <sheetData sheetId="6826">
        <row r="1">
          <cell r="A1" t="str">
            <v>1월 생산실적</v>
          </cell>
        </row>
      </sheetData>
      <sheetData sheetId="6827">
        <row r="1">
          <cell r="A1" t="str">
            <v>1월 생산실적</v>
          </cell>
        </row>
      </sheetData>
      <sheetData sheetId="6828">
        <row r="1">
          <cell r="A1" t="str">
            <v>1월 생산실적</v>
          </cell>
        </row>
      </sheetData>
      <sheetData sheetId="6829">
        <row r="1">
          <cell r="A1" t="str">
            <v>1월 생산실적</v>
          </cell>
        </row>
      </sheetData>
      <sheetData sheetId="6830">
        <row r="1">
          <cell r="A1" t="str">
            <v>1월 생산실적</v>
          </cell>
        </row>
      </sheetData>
      <sheetData sheetId="6831">
        <row r="1">
          <cell r="A1" t="str">
            <v>1월 생산실적</v>
          </cell>
        </row>
      </sheetData>
      <sheetData sheetId="6832">
        <row r="1">
          <cell r="A1" t="str">
            <v>1월 생산실적</v>
          </cell>
        </row>
      </sheetData>
      <sheetData sheetId="6833">
        <row r="1">
          <cell r="A1" t="str">
            <v>1월 생산실적</v>
          </cell>
        </row>
      </sheetData>
      <sheetData sheetId="6834">
        <row r="1">
          <cell r="A1" t="str">
            <v>1월 생산실적</v>
          </cell>
        </row>
      </sheetData>
      <sheetData sheetId="6835">
        <row r="1">
          <cell r="A1" t="str">
            <v>1월 생산실적</v>
          </cell>
        </row>
      </sheetData>
      <sheetData sheetId="6836">
        <row r="1">
          <cell r="A1" t="str">
            <v>1월 생산실적</v>
          </cell>
        </row>
      </sheetData>
      <sheetData sheetId="6837">
        <row r="1">
          <cell r="A1" t="str">
            <v>1월 생산실적</v>
          </cell>
        </row>
      </sheetData>
      <sheetData sheetId="6838">
        <row r="1">
          <cell r="A1" t="str">
            <v>1월 생산실적</v>
          </cell>
        </row>
      </sheetData>
      <sheetData sheetId="6839">
        <row r="1">
          <cell r="A1" t="str">
            <v>1월 생산실적</v>
          </cell>
        </row>
      </sheetData>
      <sheetData sheetId="6840">
        <row r="1">
          <cell r="A1" t="str">
            <v>1월 생산실적</v>
          </cell>
        </row>
      </sheetData>
      <sheetData sheetId="6841">
        <row r="1">
          <cell r="A1" t="str">
            <v>1월 생산실적</v>
          </cell>
        </row>
      </sheetData>
      <sheetData sheetId="6842">
        <row r="1">
          <cell r="A1" t="str">
            <v>1월 생산실적</v>
          </cell>
        </row>
      </sheetData>
      <sheetData sheetId="6843">
        <row r="1">
          <cell r="A1" t="str">
            <v>1월 생산실적</v>
          </cell>
        </row>
      </sheetData>
      <sheetData sheetId="6844">
        <row r="1">
          <cell r="A1" t="str">
            <v>1월 생산실적</v>
          </cell>
        </row>
      </sheetData>
      <sheetData sheetId="6845">
        <row r="1">
          <cell r="A1" t="str">
            <v>1월 생산실적</v>
          </cell>
        </row>
      </sheetData>
      <sheetData sheetId="6846">
        <row r="1">
          <cell r="A1" t="str">
            <v>1월 생산실적</v>
          </cell>
        </row>
      </sheetData>
      <sheetData sheetId="6847">
        <row r="1">
          <cell r="A1" t="str">
            <v>1월 생산실적</v>
          </cell>
        </row>
      </sheetData>
      <sheetData sheetId="6848">
        <row r="1">
          <cell r="A1" t="str">
            <v>1월 생산실적</v>
          </cell>
        </row>
      </sheetData>
      <sheetData sheetId="6849">
        <row r="1">
          <cell r="A1" t="str">
            <v>1월 생산실적</v>
          </cell>
        </row>
      </sheetData>
      <sheetData sheetId="6850">
        <row r="1">
          <cell r="A1" t="str">
            <v>1월 생산실적</v>
          </cell>
        </row>
      </sheetData>
      <sheetData sheetId="6851">
        <row r="1">
          <cell r="A1" t="str">
            <v>1월 생산실적</v>
          </cell>
        </row>
      </sheetData>
      <sheetData sheetId="6852">
        <row r="1">
          <cell r="A1" t="str">
            <v>1월 생산실적</v>
          </cell>
        </row>
      </sheetData>
      <sheetData sheetId="6853">
        <row r="1">
          <cell r="A1" t="str">
            <v>1월 생산실적</v>
          </cell>
        </row>
      </sheetData>
      <sheetData sheetId="6854">
        <row r="1">
          <cell r="A1" t="str">
            <v>1월 생산실적</v>
          </cell>
        </row>
      </sheetData>
      <sheetData sheetId="6855">
        <row r="1">
          <cell r="A1" t="str">
            <v>1월 생산실적</v>
          </cell>
        </row>
      </sheetData>
      <sheetData sheetId="6856">
        <row r="1">
          <cell r="A1" t="str">
            <v>1월 생산실적</v>
          </cell>
        </row>
      </sheetData>
      <sheetData sheetId="6857">
        <row r="1">
          <cell r="A1" t="str">
            <v>1월 생산실적</v>
          </cell>
        </row>
      </sheetData>
      <sheetData sheetId="6858">
        <row r="1">
          <cell r="A1" t="str">
            <v>1월 생산실적</v>
          </cell>
        </row>
      </sheetData>
      <sheetData sheetId="6859">
        <row r="1">
          <cell r="A1" t="str">
            <v>1월 생산실적</v>
          </cell>
        </row>
      </sheetData>
      <sheetData sheetId="6860">
        <row r="1">
          <cell r="A1" t="str">
            <v>1월 생산실적</v>
          </cell>
        </row>
      </sheetData>
      <sheetData sheetId="6861">
        <row r="1">
          <cell r="A1" t="str">
            <v>1월 생산실적</v>
          </cell>
        </row>
      </sheetData>
      <sheetData sheetId="6862">
        <row r="1">
          <cell r="A1" t="str">
            <v>1월 생산실적</v>
          </cell>
        </row>
      </sheetData>
      <sheetData sheetId="6863">
        <row r="1">
          <cell r="A1" t="str">
            <v>1월 생산실적</v>
          </cell>
        </row>
      </sheetData>
      <sheetData sheetId="6864">
        <row r="1">
          <cell r="A1" t="str">
            <v>1월 생산실적</v>
          </cell>
        </row>
      </sheetData>
      <sheetData sheetId="6865">
        <row r="1">
          <cell r="A1" t="str">
            <v>1월 생산실적</v>
          </cell>
        </row>
      </sheetData>
      <sheetData sheetId="6866">
        <row r="1">
          <cell r="A1" t="str">
            <v>1월 생산실적</v>
          </cell>
        </row>
      </sheetData>
      <sheetData sheetId="6867">
        <row r="1">
          <cell r="A1" t="str">
            <v>1월 생산실적</v>
          </cell>
        </row>
      </sheetData>
      <sheetData sheetId="6868">
        <row r="1">
          <cell r="A1" t="str">
            <v>1월 생산실적</v>
          </cell>
        </row>
      </sheetData>
      <sheetData sheetId="6869">
        <row r="1">
          <cell r="A1" t="str">
            <v>1월 생산실적</v>
          </cell>
        </row>
      </sheetData>
      <sheetData sheetId="6870">
        <row r="1">
          <cell r="A1" t="str">
            <v>1월 생산실적</v>
          </cell>
        </row>
      </sheetData>
      <sheetData sheetId="6871">
        <row r="1">
          <cell r="A1" t="str">
            <v>1월 생산실적</v>
          </cell>
        </row>
      </sheetData>
      <sheetData sheetId="6872">
        <row r="1">
          <cell r="A1" t="str">
            <v>1월 생산실적</v>
          </cell>
        </row>
      </sheetData>
      <sheetData sheetId="6873">
        <row r="1">
          <cell r="A1" t="str">
            <v>1월 생산실적</v>
          </cell>
        </row>
      </sheetData>
      <sheetData sheetId="6874">
        <row r="1">
          <cell r="A1" t="str">
            <v>1월 생산실적</v>
          </cell>
        </row>
      </sheetData>
      <sheetData sheetId="6875">
        <row r="1">
          <cell r="A1" t="str">
            <v>1월 생산실적</v>
          </cell>
        </row>
      </sheetData>
      <sheetData sheetId="6876">
        <row r="1">
          <cell r="A1" t="str">
            <v>1월 생산실적</v>
          </cell>
        </row>
      </sheetData>
      <sheetData sheetId="6877">
        <row r="1">
          <cell r="A1" t="str">
            <v>1월 생산실적</v>
          </cell>
        </row>
      </sheetData>
      <sheetData sheetId="6878">
        <row r="1">
          <cell r="A1" t="str">
            <v>1월 생산실적</v>
          </cell>
        </row>
      </sheetData>
      <sheetData sheetId="6879">
        <row r="1">
          <cell r="A1" t="str">
            <v>1월 생산실적</v>
          </cell>
        </row>
      </sheetData>
      <sheetData sheetId="6880">
        <row r="1">
          <cell r="A1" t="str">
            <v>1월 생산실적</v>
          </cell>
        </row>
      </sheetData>
      <sheetData sheetId="6881">
        <row r="1">
          <cell r="A1" t="str">
            <v>1월 생산실적</v>
          </cell>
        </row>
      </sheetData>
      <sheetData sheetId="6882">
        <row r="1">
          <cell r="A1" t="str">
            <v>1월 생산실적</v>
          </cell>
        </row>
      </sheetData>
      <sheetData sheetId="6883">
        <row r="1">
          <cell r="A1" t="str">
            <v>1월 생산실적</v>
          </cell>
        </row>
      </sheetData>
      <sheetData sheetId="6884">
        <row r="1">
          <cell r="A1" t="str">
            <v>1월 생산실적</v>
          </cell>
        </row>
      </sheetData>
      <sheetData sheetId="6885">
        <row r="1">
          <cell r="A1" t="str">
            <v>1월 생산실적</v>
          </cell>
        </row>
      </sheetData>
      <sheetData sheetId="6886">
        <row r="1">
          <cell r="A1" t="str">
            <v>1월 생산실적</v>
          </cell>
        </row>
      </sheetData>
      <sheetData sheetId="6887">
        <row r="1">
          <cell r="A1" t="str">
            <v>1월 생산실적</v>
          </cell>
        </row>
      </sheetData>
      <sheetData sheetId="6888">
        <row r="1">
          <cell r="A1" t="str">
            <v>1월 생산실적</v>
          </cell>
        </row>
      </sheetData>
      <sheetData sheetId="6889">
        <row r="1">
          <cell r="A1" t="str">
            <v>1월 생산실적</v>
          </cell>
        </row>
      </sheetData>
      <sheetData sheetId="6890">
        <row r="1">
          <cell r="A1" t="str">
            <v>1월 생산실적</v>
          </cell>
        </row>
      </sheetData>
      <sheetData sheetId="6891">
        <row r="1">
          <cell r="A1" t="str">
            <v>1월 생산실적</v>
          </cell>
        </row>
      </sheetData>
      <sheetData sheetId="6892">
        <row r="1">
          <cell r="A1" t="str">
            <v>1월 생산실적</v>
          </cell>
        </row>
      </sheetData>
      <sheetData sheetId="6893">
        <row r="1">
          <cell r="A1" t="str">
            <v>1월 생산실적</v>
          </cell>
        </row>
      </sheetData>
      <sheetData sheetId="6894">
        <row r="1">
          <cell r="A1" t="str">
            <v>1월 생산실적</v>
          </cell>
        </row>
      </sheetData>
      <sheetData sheetId="6895">
        <row r="1">
          <cell r="A1" t="str">
            <v>1월 생산실적</v>
          </cell>
        </row>
      </sheetData>
      <sheetData sheetId="6896">
        <row r="1">
          <cell r="A1" t="str">
            <v>1월 생산실적</v>
          </cell>
        </row>
      </sheetData>
      <sheetData sheetId="6897">
        <row r="1">
          <cell r="A1" t="str">
            <v>1월 생산실적</v>
          </cell>
        </row>
      </sheetData>
      <sheetData sheetId="6898">
        <row r="1">
          <cell r="A1" t="str">
            <v>1월 생산실적</v>
          </cell>
        </row>
      </sheetData>
      <sheetData sheetId="6899">
        <row r="1">
          <cell r="A1" t="str">
            <v>1월 생산실적</v>
          </cell>
        </row>
      </sheetData>
      <sheetData sheetId="6900">
        <row r="1">
          <cell r="A1" t="str">
            <v>1월 생산실적</v>
          </cell>
        </row>
      </sheetData>
      <sheetData sheetId="6901">
        <row r="1">
          <cell r="A1" t="str">
            <v>1월 생산실적</v>
          </cell>
        </row>
      </sheetData>
      <sheetData sheetId="6902">
        <row r="1">
          <cell r="A1" t="str">
            <v>1월 생산실적</v>
          </cell>
        </row>
      </sheetData>
      <sheetData sheetId="6903">
        <row r="1">
          <cell r="A1" t="str">
            <v>1월 생산실적</v>
          </cell>
        </row>
      </sheetData>
      <sheetData sheetId="6904">
        <row r="1">
          <cell r="A1" t="str">
            <v>1월 생산실적</v>
          </cell>
        </row>
      </sheetData>
      <sheetData sheetId="6905">
        <row r="1">
          <cell r="A1" t="str">
            <v>1월 생산실적</v>
          </cell>
        </row>
      </sheetData>
      <sheetData sheetId="6906">
        <row r="1">
          <cell r="A1" t="str">
            <v>1월 생산실적</v>
          </cell>
        </row>
      </sheetData>
      <sheetData sheetId="6907">
        <row r="1">
          <cell r="A1" t="str">
            <v>1월 생산실적</v>
          </cell>
        </row>
      </sheetData>
      <sheetData sheetId="6908">
        <row r="1">
          <cell r="A1" t="str">
            <v>1월 생산실적</v>
          </cell>
        </row>
      </sheetData>
      <sheetData sheetId="6909">
        <row r="1">
          <cell r="A1" t="str">
            <v>1월 생산실적</v>
          </cell>
        </row>
      </sheetData>
      <sheetData sheetId="6910">
        <row r="1">
          <cell r="A1" t="str">
            <v>1월 생산실적</v>
          </cell>
        </row>
      </sheetData>
      <sheetData sheetId="6911">
        <row r="1">
          <cell r="A1" t="str">
            <v>1월 생산실적</v>
          </cell>
        </row>
      </sheetData>
      <sheetData sheetId="6912">
        <row r="1">
          <cell r="A1" t="str">
            <v>1월 생산실적</v>
          </cell>
        </row>
      </sheetData>
      <sheetData sheetId="6913">
        <row r="1">
          <cell r="A1" t="str">
            <v>1월 생산실적</v>
          </cell>
        </row>
      </sheetData>
      <sheetData sheetId="6914">
        <row r="1">
          <cell r="A1" t="str">
            <v>1월 생산실적</v>
          </cell>
        </row>
      </sheetData>
      <sheetData sheetId="6915">
        <row r="1">
          <cell r="A1" t="str">
            <v>1월 생산실적</v>
          </cell>
        </row>
      </sheetData>
      <sheetData sheetId="6916">
        <row r="1">
          <cell r="A1" t="str">
            <v>1월 생산실적</v>
          </cell>
        </row>
      </sheetData>
      <sheetData sheetId="6917">
        <row r="1">
          <cell r="A1" t="str">
            <v>1월 생산실적</v>
          </cell>
        </row>
      </sheetData>
      <sheetData sheetId="6918">
        <row r="1">
          <cell r="A1" t="str">
            <v>1월 생산실적</v>
          </cell>
        </row>
      </sheetData>
      <sheetData sheetId="6919">
        <row r="1">
          <cell r="A1" t="str">
            <v>1월 생산실적</v>
          </cell>
        </row>
      </sheetData>
      <sheetData sheetId="6920">
        <row r="1">
          <cell r="A1" t="str">
            <v>1월 생산실적</v>
          </cell>
        </row>
      </sheetData>
      <sheetData sheetId="6921">
        <row r="1">
          <cell r="A1" t="str">
            <v>1월 생산실적</v>
          </cell>
        </row>
      </sheetData>
      <sheetData sheetId="6922">
        <row r="1">
          <cell r="A1" t="str">
            <v>1월 생산실적</v>
          </cell>
        </row>
      </sheetData>
      <sheetData sheetId="6923">
        <row r="1">
          <cell r="A1" t="str">
            <v>1월 생산실적</v>
          </cell>
        </row>
      </sheetData>
      <sheetData sheetId="6924">
        <row r="1">
          <cell r="A1" t="str">
            <v>1월 생산실적</v>
          </cell>
        </row>
      </sheetData>
      <sheetData sheetId="6925">
        <row r="1">
          <cell r="A1" t="str">
            <v>1월 생산실적</v>
          </cell>
        </row>
      </sheetData>
      <sheetData sheetId="6926">
        <row r="1">
          <cell r="A1" t="str">
            <v>1월 생산실적</v>
          </cell>
        </row>
      </sheetData>
      <sheetData sheetId="6927">
        <row r="1">
          <cell r="A1" t="str">
            <v>1월 생산실적</v>
          </cell>
        </row>
      </sheetData>
      <sheetData sheetId="6928">
        <row r="1">
          <cell r="A1" t="str">
            <v>1월 생산실적</v>
          </cell>
        </row>
      </sheetData>
      <sheetData sheetId="6929">
        <row r="1">
          <cell r="A1" t="str">
            <v>1월 생산실적</v>
          </cell>
        </row>
      </sheetData>
      <sheetData sheetId="6930">
        <row r="1">
          <cell r="A1" t="str">
            <v>1월 생산실적</v>
          </cell>
        </row>
      </sheetData>
      <sheetData sheetId="6931">
        <row r="1">
          <cell r="A1" t="str">
            <v>1월 생산실적</v>
          </cell>
        </row>
      </sheetData>
      <sheetData sheetId="6932">
        <row r="1">
          <cell r="A1" t="str">
            <v>1월 생산실적</v>
          </cell>
        </row>
      </sheetData>
      <sheetData sheetId="6933">
        <row r="1">
          <cell r="A1" t="str">
            <v>1월 생산실적</v>
          </cell>
        </row>
      </sheetData>
      <sheetData sheetId="6934">
        <row r="1">
          <cell r="A1" t="str">
            <v>1월 생산실적</v>
          </cell>
        </row>
      </sheetData>
      <sheetData sheetId="6935">
        <row r="1">
          <cell r="A1" t="str">
            <v>1월 생산실적</v>
          </cell>
        </row>
      </sheetData>
      <sheetData sheetId="6936">
        <row r="1">
          <cell r="A1" t="str">
            <v>1월 생산실적</v>
          </cell>
        </row>
      </sheetData>
      <sheetData sheetId="6937">
        <row r="1">
          <cell r="A1" t="str">
            <v>1월 생산실적</v>
          </cell>
        </row>
      </sheetData>
      <sheetData sheetId="6938">
        <row r="1">
          <cell r="A1" t="str">
            <v>1월 생산실적</v>
          </cell>
        </row>
      </sheetData>
      <sheetData sheetId="6939">
        <row r="1">
          <cell r="A1" t="str">
            <v>1월 생산실적</v>
          </cell>
        </row>
      </sheetData>
      <sheetData sheetId="6940">
        <row r="1">
          <cell r="A1" t="str">
            <v>1월 생산실적</v>
          </cell>
        </row>
      </sheetData>
      <sheetData sheetId="6941">
        <row r="1">
          <cell r="A1" t="str">
            <v>1월 생산실적</v>
          </cell>
        </row>
      </sheetData>
      <sheetData sheetId="6942">
        <row r="1">
          <cell r="A1" t="str">
            <v>1월 생산실적</v>
          </cell>
        </row>
      </sheetData>
      <sheetData sheetId="6943">
        <row r="1">
          <cell r="A1" t="str">
            <v>1월 생산실적</v>
          </cell>
        </row>
      </sheetData>
      <sheetData sheetId="6944">
        <row r="1">
          <cell r="A1" t="str">
            <v>1월 생산실적</v>
          </cell>
        </row>
      </sheetData>
      <sheetData sheetId="6945">
        <row r="1">
          <cell r="A1" t="str">
            <v>1월 생산실적</v>
          </cell>
        </row>
      </sheetData>
      <sheetData sheetId="6946">
        <row r="1">
          <cell r="A1" t="str">
            <v>1월 생산실적</v>
          </cell>
        </row>
      </sheetData>
      <sheetData sheetId="6947">
        <row r="1">
          <cell r="A1" t="str">
            <v>1월 생산실적</v>
          </cell>
        </row>
      </sheetData>
      <sheetData sheetId="6948">
        <row r="1">
          <cell r="A1" t="str">
            <v>1월 생산실적</v>
          </cell>
        </row>
      </sheetData>
      <sheetData sheetId="6949">
        <row r="1">
          <cell r="A1" t="str">
            <v>1월 생산실적</v>
          </cell>
        </row>
      </sheetData>
      <sheetData sheetId="6950">
        <row r="1">
          <cell r="A1" t="str">
            <v>1월 생산실적</v>
          </cell>
        </row>
      </sheetData>
      <sheetData sheetId="6951">
        <row r="1">
          <cell r="A1" t="str">
            <v>1월 생산실적</v>
          </cell>
        </row>
      </sheetData>
      <sheetData sheetId="6952">
        <row r="1">
          <cell r="A1" t="str">
            <v>1월 생산실적</v>
          </cell>
        </row>
      </sheetData>
      <sheetData sheetId="6953">
        <row r="1">
          <cell r="A1" t="str">
            <v>1월 생산실적</v>
          </cell>
        </row>
      </sheetData>
      <sheetData sheetId="6954">
        <row r="1">
          <cell r="A1" t="str">
            <v>1월 생산실적</v>
          </cell>
        </row>
      </sheetData>
      <sheetData sheetId="6955">
        <row r="1">
          <cell r="A1" t="str">
            <v>1월 생산실적</v>
          </cell>
        </row>
      </sheetData>
      <sheetData sheetId="6956">
        <row r="1">
          <cell r="A1" t="str">
            <v>1월 생산실적</v>
          </cell>
        </row>
      </sheetData>
      <sheetData sheetId="6957">
        <row r="1">
          <cell r="A1" t="str">
            <v>1월 생산실적</v>
          </cell>
        </row>
      </sheetData>
      <sheetData sheetId="6958">
        <row r="1">
          <cell r="A1" t="str">
            <v>1월 생산실적</v>
          </cell>
        </row>
      </sheetData>
      <sheetData sheetId="6959">
        <row r="1">
          <cell r="A1" t="str">
            <v>1월 생산실적</v>
          </cell>
        </row>
      </sheetData>
      <sheetData sheetId="6960">
        <row r="1">
          <cell r="A1" t="str">
            <v>1월 생산실적</v>
          </cell>
        </row>
      </sheetData>
      <sheetData sheetId="6961">
        <row r="1">
          <cell r="A1" t="str">
            <v>1월 생산실적</v>
          </cell>
        </row>
      </sheetData>
      <sheetData sheetId="6962">
        <row r="1">
          <cell r="A1" t="str">
            <v>1월 생산실적</v>
          </cell>
        </row>
      </sheetData>
      <sheetData sheetId="6963">
        <row r="1">
          <cell r="A1" t="str">
            <v>1월 생산실적</v>
          </cell>
        </row>
      </sheetData>
      <sheetData sheetId="6964">
        <row r="1">
          <cell r="A1" t="str">
            <v>1월 생산실적</v>
          </cell>
        </row>
      </sheetData>
      <sheetData sheetId="6965">
        <row r="1">
          <cell r="A1" t="str">
            <v>1월 생산실적</v>
          </cell>
        </row>
      </sheetData>
      <sheetData sheetId="6966">
        <row r="1">
          <cell r="A1" t="str">
            <v>1월 생산실적</v>
          </cell>
        </row>
      </sheetData>
      <sheetData sheetId="6967">
        <row r="1">
          <cell r="A1" t="str">
            <v>1월 생산실적</v>
          </cell>
        </row>
      </sheetData>
      <sheetData sheetId="6968">
        <row r="1">
          <cell r="A1" t="str">
            <v>1월 생산실적</v>
          </cell>
        </row>
      </sheetData>
      <sheetData sheetId="6969">
        <row r="1">
          <cell r="A1" t="str">
            <v>1월 생산실적</v>
          </cell>
        </row>
      </sheetData>
      <sheetData sheetId="6970">
        <row r="1">
          <cell r="A1" t="str">
            <v>1월 생산실적</v>
          </cell>
        </row>
      </sheetData>
      <sheetData sheetId="6971">
        <row r="1">
          <cell r="A1" t="str">
            <v>1월 생산실적</v>
          </cell>
        </row>
      </sheetData>
      <sheetData sheetId="6972">
        <row r="1">
          <cell r="A1" t="str">
            <v>1월 생산실적</v>
          </cell>
        </row>
      </sheetData>
      <sheetData sheetId="6973">
        <row r="1">
          <cell r="A1" t="str">
            <v>1월 생산실적</v>
          </cell>
        </row>
      </sheetData>
      <sheetData sheetId="6974">
        <row r="1">
          <cell r="A1" t="str">
            <v>1월 생산실적</v>
          </cell>
        </row>
      </sheetData>
      <sheetData sheetId="6975">
        <row r="1">
          <cell r="A1" t="str">
            <v>1월 생산실적</v>
          </cell>
        </row>
      </sheetData>
      <sheetData sheetId="6976">
        <row r="1">
          <cell r="A1" t="str">
            <v>1월 생산실적</v>
          </cell>
        </row>
      </sheetData>
      <sheetData sheetId="6977">
        <row r="1">
          <cell r="A1" t="str">
            <v>1월 생산실적</v>
          </cell>
        </row>
      </sheetData>
      <sheetData sheetId="6978">
        <row r="1">
          <cell r="A1" t="str">
            <v>1월 생산실적</v>
          </cell>
        </row>
      </sheetData>
      <sheetData sheetId="6979">
        <row r="1">
          <cell r="A1" t="str">
            <v>1월 생산실적</v>
          </cell>
        </row>
      </sheetData>
      <sheetData sheetId="6980">
        <row r="1">
          <cell r="A1" t="str">
            <v>1월 생산실적</v>
          </cell>
        </row>
      </sheetData>
      <sheetData sheetId="6981">
        <row r="1">
          <cell r="A1" t="str">
            <v>1월 생산실적</v>
          </cell>
        </row>
      </sheetData>
      <sheetData sheetId="6982">
        <row r="1">
          <cell r="A1" t="str">
            <v>1월 생산실적</v>
          </cell>
        </row>
      </sheetData>
      <sheetData sheetId="6983">
        <row r="1">
          <cell r="A1" t="str">
            <v>1월 생산실적</v>
          </cell>
        </row>
      </sheetData>
      <sheetData sheetId="6984">
        <row r="1">
          <cell r="A1" t="str">
            <v>1월 생산실적</v>
          </cell>
        </row>
      </sheetData>
      <sheetData sheetId="6985">
        <row r="1">
          <cell r="A1" t="str">
            <v>1월 생산실적</v>
          </cell>
        </row>
      </sheetData>
      <sheetData sheetId="6986">
        <row r="1">
          <cell r="A1" t="str">
            <v>1월 생산실적</v>
          </cell>
        </row>
      </sheetData>
      <sheetData sheetId="6987">
        <row r="1">
          <cell r="A1" t="str">
            <v>1월 생산실적</v>
          </cell>
        </row>
      </sheetData>
      <sheetData sheetId="6988">
        <row r="1">
          <cell r="A1" t="str">
            <v>1월 생산실적</v>
          </cell>
        </row>
      </sheetData>
      <sheetData sheetId="6989">
        <row r="1">
          <cell r="A1" t="str">
            <v>1월 생산실적</v>
          </cell>
        </row>
      </sheetData>
      <sheetData sheetId="6990">
        <row r="1">
          <cell r="A1" t="str">
            <v>1월 생산실적</v>
          </cell>
        </row>
      </sheetData>
      <sheetData sheetId="6991">
        <row r="1">
          <cell r="A1" t="str">
            <v>1월 생산실적</v>
          </cell>
        </row>
      </sheetData>
      <sheetData sheetId="6992">
        <row r="1">
          <cell r="A1" t="str">
            <v>1월 생산실적</v>
          </cell>
        </row>
      </sheetData>
      <sheetData sheetId="6993">
        <row r="1">
          <cell r="A1" t="str">
            <v>1월 생산실적</v>
          </cell>
        </row>
      </sheetData>
      <sheetData sheetId="6994">
        <row r="1">
          <cell r="A1" t="str">
            <v>1월 생산실적</v>
          </cell>
        </row>
      </sheetData>
      <sheetData sheetId="6995">
        <row r="1">
          <cell r="A1" t="str">
            <v>1월 생산실적</v>
          </cell>
        </row>
      </sheetData>
      <sheetData sheetId="6996">
        <row r="1">
          <cell r="A1" t="str">
            <v>1월 생산실적</v>
          </cell>
        </row>
      </sheetData>
      <sheetData sheetId="6997">
        <row r="1">
          <cell r="A1" t="str">
            <v>1월 생산실적</v>
          </cell>
        </row>
      </sheetData>
      <sheetData sheetId="6998">
        <row r="1">
          <cell r="A1" t="str">
            <v>1월 생산실적</v>
          </cell>
        </row>
      </sheetData>
      <sheetData sheetId="6999">
        <row r="1">
          <cell r="A1" t="str">
            <v>1월 생산실적</v>
          </cell>
        </row>
      </sheetData>
      <sheetData sheetId="7000">
        <row r="1">
          <cell r="A1" t="str">
            <v>1월 생산실적</v>
          </cell>
        </row>
      </sheetData>
      <sheetData sheetId="7001">
        <row r="1">
          <cell r="A1" t="str">
            <v>1월 생산실적</v>
          </cell>
        </row>
      </sheetData>
      <sheetData sheetId="7002">
        <row r="1">
          <cell r="A1" t="str">
            <v>1월 생산실적</v>
          </cell>
        </row>
      </sheetData>
      <sheetData sheetId="7003">
        <row r="1">
          <cell r="A1" t="str">
            <v>1월 생산실적</v>
          </cell>
        </row>
      </sheetData>
      <sheetData sheetId="7004">
        <row r="1">
          <cell r="A1" t="str">
            <v>1월 생산실적</v>
          </cell>
        </row>
      </sheetData>
      <sheetData sheetId="7005">
        <row r="1">
          <cell r="A1" t="str">
            <v>1월 생산실적</v>
          </cell>
        </row>
      </sheetData>
      <sheetData sheetId="7006">
        <row r="1">
          <cell r="A1" t="str">
            <v>1월 생산실적</v>
          </cell>
        </row>
      </sheetData>
      <sheetData sheetId="7007">
        <row r="1">
          <cell r="A1" t="str">
            <v>1월 생산실적</v>
          </cell>
        </row>
      </sheetData>
      <sheetData sheetId="7008">
        <row r="1">
          <cell r="A1" t="str">
            <v>1월 생산실적</v>
          </cell>
        </row>
      </sheetData>
      <sheetData sheetId="7009">
        <row r="1">
          <cell r="A1" t="str">
            <v>1월 생산실적</v>
          </cell>
        </row>
      </sheetData>
      <sheetData sheetId="7010">
        <row r="1">
          <cell r="A1" t="str">
            <v>1월 생산실적</v>
          </cell>
        </row>
      </sheetData>
      <sheetData sheetId="7011">
        <row r="1">
          <cell r="A1" t="str">
            <v>1월 생산실적</v>
          </cell>
        </row>
      </sheetData>
      <sheetData sheetId="7012">
        <row r="1">
          <cell r="A1" t="str">
            <v>1월 생산실적</v>
          </cell>
        </row>
      </sheetData>
      <sheetData sheetId="7013">
        <row r="1">
          <cell r="A1" t="str">
            <v>1월 생산실적</v>
          </cell>
        </row>
      </sheetData>
      <sheetData sheetId="7014">
        <row r="1">
          <cell r="A1" t="str">
            <v>1월 생산실적</v>
          </cell>
        </row>
      </sheetData>
      <sheetData sheetId="7015">
        <row r="1">
          <cell r="A1" t="str">
            <v>1월 생산실적</v>
          </cell>
        </row>
      </sheetData>
      <sheetData sheetId="7016">
        <row r="1">
          <cell r="A1" t="str">
            <v>1월 생산실적</v>
          </cell>
        </row>
      </sheetData>
      <sheetData sheetId="7017">
        <row r="1">
          <cell r="A1" t="str">
            <v>1월 생산실적</v>
          </cell>
        </row>
      </sheetData>
      <sheetData sheetId="7018">
        <row r="1">
          <cell r="A1" t="str">
            <v>1월 생산실적</v>
          </cell>
        </row>
      </sheetData>
      <sheetData sheetId="7019">
        <row r="1">
          <cell r="A1" t="str">
            <v>1월 생산실적</v>
          </cell>
        </row>
      </sheetData>
      <sheetData sheetId="7020">
        <row r="1">
          <cell r="A1" t="str">
            <v>1월 생산실적</v>
          </cell>
        </row>
      </sheetData>
      <sheetData sheetId="7021">
        <row r="1">
          <cell r="A1" t="str">
            <v>1월 생산실적</v>
          </cell>
        </row>
      </sheetData>
      <sheetData sheetId="7022">
        <row r="1">
          <cell r="A1" t="str">
            <v>1월 생산실적</v>
          </cell>
        </row>
      </sheetData>
      <sheetData sheetId="7023">
        <row r="1">
          <cell r="A1" t="str">
            <v>1월 생산실적</v>
          </cell>
        </row>
      </sheetData>
      <sheetData sheetId="7024">
        <row r="1">
          <cell r="A1" t="str">
            <v>1월 생산실적</v>
          </cell>
        </row>
      </sheetData>
      <sheetData sheetId="7025">
        <row r="1">
          <cell r="A1" t="str">
            <v>1월 생산실적</v>
          </cell>
        </row>
      </sheetData>
      <sheetData sheetId="7026">
        <row r="1">
          <cell r="A1" t="str">
            <v>1월 생산실적</v>
          </cell>
        </row>
      </sheetData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>
        <row r="1">
          <cell r="A1" t="str">
            <v>1월 생산실적</v>
          </cell>
        </row>
      </sheetData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>
        <row r="1">
          <cell r="A1" t="str">
            <v>1월 생산실적</v>
          </cell>
        </row>
      </sheetData>
      <sheetData sheetId="7062">
        <row r="1">
          <cell r="A1" t="str">
            <v>1월 생산실적</v>
          </cell>
        </row>
      </sheetData>
      <sheetData sheetId="7063">
        <row r="1">
          <cell r="A1" t="str">
            <v>1월 생산실적</v>
          </cell>
        </row>
      </sheetData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>
        <row r="1">
          <cell r="A1" t="str">
            <v>1월 생산실적</v>
          </cell>
        </row>
      </sheetData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>
        <row r="1">
          <cell r="A1" t="str">
            <v>1월 생산실적</v>
          </cell>
        </row>
      </sheetData>
      <sheetData sheetId="7128">
        <row r="1">
          <cell r="A1" t="str">
            <v>1월 생산실적</v>
          </cell>
        </row>
      </sheetData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>
        <row r="1">
          <cell r="A1" t="str">
            <v>1월 생산실적</v>
          </cell>
        </row>
      </sheetData>
      <sheetData sheetId="7167">
        <row r="1">
          <cell r="A1" t="str">
            <v>1월 생산실적</v>
          </cell>
        </row>
      </sheetData>
      <sheetData sheetId="7168">
        <row r="1">
          <cell r="A1" t="str">
            <v>1월 생산실적</v>
          </cell>
        </row>
      </sheetData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>
        <row r="1">
          <cell r="A1" t="str">
            <v>1월 생산실적</v>
          </cell>
        </row>
      </sheetData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>
        <row r="1">
          <cell r="A1" t="str">
            <v>1월 생산실적</v>
          </cell>
        </row>
      </sheetData>
      <sheetData sheetId="7209">
        <row r="1">
          <cell r="A1" t="str">
            <v>1월 생산실적</v>
          </cell>
        </row>
      </sheetData>
      <sheetData sheetId="7210">
        <row r="1">
          <cell r="A1" t="str">
            <v>1월 생산실적</v>
          </cell>
        </row>
      </sheetData>
      <sheetData sheetId="7211">
        <row r="1">
          <cell r="A1" t="str">
            <v>1월 생산실적</v>
          </cell>
        </row>
      </sheetData>
      <sheetData sheetId="7212">
        <row r="1">
          <cell r="A1" t="str">
            <v>1월 생산실적</v>
          </cell>
        </row>
      </sheetData>
      <sheetData sheetId="7213">
        <row r="1">
          <cell r="A1" t="str">
            <v>1월 생산실적</v>
          </cell>
        </row>
      </sheetData>
      <sheetData sheetId="7214">
        <row r="1">
          <cell r="A1" t="str">
            <v>1월 생산실적</v>
          </cell>
        </row>
      </sheetData>
      <sheetData sheetId="7215">
        <row r="1">
          <cell r="A1" t="str">
            <v>1월 생산실적</v>
          </cell>
        </row>
      </sheetData>
      <sheetData sheetId="7216">
        <row r="1">
          <cell r="A1" t="str">
            <v>1월 생산실적</v>
          </cell>
        </row>
      </sheetData>
      <sheetData sheetId="7217">
        <row r="1">
          <cell r="A1" t="str">
            <v>1월 생산실적</v>
          </cell>
        </row>
      </sheetData>
      <sheetData sheetId="7218">
        <row r="1">
          <cell r="A1" t="str">
            <v>1월 생산실적</v>
          </cell>
        </row>
      </sheetData>
      <sheetData sheetId="7219">
        <row r="1">
          <cell r="A1" t="str">
            <v>1월 생산실적</v>
          </cell>
        </row>
      </sheetData>
      <sheetData sheetId="7220">
        <row r="1">
          <cell r="A1" t="str">
            <v>1월 생산실적</v>
          </cell>
        </row>
      </sheetData>
      <sheetData sheetId="7221">
        <row r="1">
          <cell r="A1" t="str">
            <v>1월 생산실적</v>
          </cell>
        </row>
      </sheetData>
      <sheetData sheetId="7222">
        <row r="1">
          <cell r="A1" t="str">
            <v>1월 생산실적</v>
          </cell>
        </row>
      </sheetData>
      <sheetData sheetId="7223">
        <row r="1">
          <cell r="A1" t="str">
            <v>1월 생산실적</v>
          </cell>
        </row>
      </sheetData>
      <sheetData sheetId="7224">
        <row r="1">
          <cell r="A1" t="str">
            <v>1월 생산실적</v>
          </cell>
        </row>
      </sheetData>
      <sheetData sheetId="7225">
        <row r="1">
          <cell r="A1" t="str">
            <v>1월 생산실적</v>
          </cell>
        </row>
      </sheetData>
      <sheetData sheetId="7226">
        <row r="1">
          <cell r="A1" t="str">
            <v>1월 생산실적</v>
          </cell>
        </row>
      </sheetData>
      <sheetData sheetId="7227">
        <row r="1">
          <cell r="A1" t="str">
            <v>1월 생산실적</v>
          </cell>
        </row>
      </sheetData>
      <sheetData sheetId="7228">
        <row r="1">
          <cell r="A1" t="str">
            <v>1월 생산실적</v>
          </cell>
        </row>
      </sheetData>
      <sheetData sheetId="7229">
        <row r="1">
          <cell r="A1" t="str">
            <v>1월 생산실적</v>
          </cell>
        </row>
      </sheetData>
      <sheetData sheetId="7230">
        <row r="1">
          <cell r="A1" t="str">
            <v>1월 생산실적</v>
          </cell>
        </row>
      </sheetData>
      <sheetData sheetId="7231">
        <row r="1">
          <cell r="A1" t="str">
            <v>1월 생산실적</v>
          </cell>
        </row>
      </sheetData>
      <sheetData sheetId="7232">
        <row r="1">
          <cell r="A1" t="str">
            <v>1월 생산실적</v>
          </cell>
        </row>
      </sheetData>
      <sheetData sheetId="7233">
        <row r="1">
          <cell r="A1" t="str">
            <v>1월 생산실적</v>
          </cell>
        </row>
      </sheetData>
      <sheetData sheetId="7234">
        <row r="1">
          <cell r="A1" t="str">
            <v>1월 생산실적</v>
          </cell>
        </row>
      </sheetData>
      <sheetData sheetId="7235">
        <row r="1">
          <cell r="A1" t="str">
            <v>1월 생산실적</v>
          </cell>
        </row>
      </sheetData>
      <sheetData sheetId="7236">
        <row r="1">
          <cell r="A1" t="str">
            <v>1월 생산실적</v>
          </cell>
        </row>
      </sheetData>
      <sheetData sheetId="7237">
        <row r="1">
          <cell r="A1" t="str">
            <v>1월 생산실적</v>
          </cell>
        </row>
      </sheetData>
      <sheetData sheetId="7238">
        <row r="1">
          <cell r="A1" t="str">
            <v>1월 생산실적</v>
          </cell>
        </row>
      </sheetData>
      <sheetData sheetId="7239">
        <row r="1">
          <cell r="A1" t="str">
            <v>1월 생산실적</v>
          </cell>
        </row>
      </sheetData>
      <sheetData sheetId="7240">
        <row r="1">
          <cell r="A1" t="str">
            <v>1월 생산실적</v>
          </cell>
        </row>
      </sheetData>
      <sheetData sheetId="7241">
        <row r="1">
          <cell r="A1" t="str">
            <v>1월 생산실적</v>
          </cell>
        </row>
      </sheetData>
      <sheetData sheetId="7242">
        <row r="1">
          <cell r="A1" t="str">
            <v>1월 생산실적</v>
          </cell>
        </row>
      </sheetData>
      <sheetData sheetId="7243">
        <row r="1">
          <cell r="A1" t="str">
            <v>1월 생산실적</v>
          </cell>
        </row>
      </sheetData>
      <sheetData sheetId="7244">
        <row r="1">
          <cell r="A1" t="str">
            <v>1월 생산실적</v>
          </cell>
        </row>
      </sheetData>
      <sheetData sheetId="7245">
        <row r="1">
          <cell r="A1" t="str">
            <v>1월 생산실적</v>
          </cell>
        </row>
      </sheetData>
      <sheetData sheetId="7246">
        <row r="1">
          <cell r="A1" t="str">
            <v>1월 생산실적</v>
          </cell>
        </row>
      </sheetData>
      <sheetData sheetId="7247">
        <row r="1">
          <cell r="A1" t="str">
            <v>1월 생산실적</v>
          </cell>
        </row>
      </sheetData>
      <sheetData sheetId="7248">
        <row r="1">
          <cell r="A1" t="str">
            <v>1월 생산실적</v>
          </cell>
        </row>
      </sheetData>
      <sheetData sheetId="7249">
        <row r="1">
          <cell r="A1" t="str">
            <v>1월 생산실적</v>
          </cell>
        </row>
      </sheetData>
      <sheetData sheetId="7250">
        <row r="1">
          <cell r="A1" t="str">
            <v>1월 생산실적</v>
          </cell>
        </row>
      </sheetData>
      <sheetData sheetId="7251">
        <row r="1">
          <cell r="A1" t="str">
            <v>1월 생산실적</v>
          </cell>
        </row>
      </sheetData>
      <sheetData sheetId="7252">
        <row r="1">
          <cell r="A1" t="str">
            <v>1월 생산실적</v>
          </cell>
        </row>
      </sheetData>
      <sheetData sheetId="7253">
        <row r="1">
          <cell r="A1" t="str">
            <v>1월 생산실적</v>
          </cell>
        </row>
      </sheetData>
      <sheetData sheetId="7254">
        <row r="1">
          <cell r="A1" t="str">
            <v>1월 생산실적</v>
          </cell>
        </row>
      </sheetData>
      <sheetData sheetId="7255">
        <row r="1">
          <cell r="A1" t="str">
            <v>1월 생산실적</v>
          </cell>
        </row>
      </sheetData>
      <sheetData sheetId="7256">
        <row r="1">
          <cell r="A1" t="str">
            <v>1월 생산실적</v>
          </cell>
        </row>
      </sheetData>
      <sheetData sheetId="7257">
        <row r="1">
          <cell r="A1" t="str">
            <v>1월 생산실적</v>
          </cell>
        </row>
      </sheetData>
      <sheetData sheetId="7258">
        <row r="1">
          <cell r="A1" t="str">
            <v>1월 생산실적</v>
          </cell>
        </row>
      </sheetData>
      <sheetData sheetId="7259">
        <row r="1">
          <cell r="A1" t="str">
            <v>1월 생산실적</v>
          </cell>
        </row>
      </sheetData>
      <sheetData sheetId="7260">
        <row r="1">
          <cell r="A1" t="str">
            <v>1월 생산실적</v>
          </cell>
        </row>
      </sheetData>
      <sheetData sheetId="7261">
        <row r="1">
          <cell r="A1" t="str">
            <v>1월 생산실적</v>
          </cell>
        </row>
      </sheetData>
      <sheetData sheetId="7262">
        <row r="1">
          <cell r="A1" t="str">
            <v>1월 생산실적</v>
          </cell>
        </row>
      </sheetData>
      <sheetData sheetId="7263">
        <row r="1">
          <cell r="A1" t="str">
            <v>1월 생산실적</v>
          </cell>
        </row>
      </sheetData>
      <sheetData sheetId="7264">
        <row r="1">
          <cell r="A1" t="str">
            <v>1월 생산실적</v>
          </cell>
        </row>
      </sheetData>
      <sheetData sheetId="7265">
        <row r="1">
          <cell r="A1" t="str">
            <v>1월 생산실적</v>
          </cell>
        </row>
      </sheetData>
      <sheetData sheetId="7266">
        <row r="1">
          <cell r="A1" t="str">
            <v>1월 생산실적</v>
          </cell>
        </row>
      </sheetData>
      <sheetData sheetId="7267">
        <row r="1">
          <cell r="A1" t="str">
            <v>1월 생산실적</v>
          </cell>
        </row>
      </sheetData>
      <sheetData sheetId="7268">
        <row r="1">
          <cell r="A1" t="str">
            <v>1월 생산실적</v>
          </cell>
        </row>
      </sheetData>
      <sheetData sheetId="7269">
        <row r="1">
          <cell r="A1" t="str">
            <v>1월 생산실적</v>
          </cell>
        </row>
      </sheetData>
      <sheetData sheetId="7270">
        <row r="1">
          <cell r="A1" t="str">
            <v>1월 생산실적</v>
          </cell>
        </row>
      </sheetData>
      <sheetData sheetId="7271">
        <row r="1">
          <cell r="A1" t="str">
            <v>1월 생산실적</v>
          </cell>
        </row>
      </sheetData>
      <sheetData sheetId="7272">
        <row r="1">
          <cell r="A1" t="str">
            <v>1월 생산실적</v>
          </cell>
        </row>
      </sheetData>
      <sheetData sheetId="7273">
        <row r="1">
          <cell r="A1" t="str">
            <v>1월 생산실적</v>
          </cell>
        </row>
      </sheetData>
      <sheetData sheetId="7274">
        <row r="1">
          <cell r="A1" t="str">
            <v>1월 생산실적</v>
          </cell>
        </row>
      </sheetData>
      <sheetData sheetId="7275">
        <row r="1">
          <cell r="A1" t="str">
            <v>1월 생산실적</v>
          </cell>
        </row>
      </sheetData>
      <sheetData sheetId="7276">
        <row r="1">
          <cell r="A1" t="str">
            <v>1월 생산실적</v>
          </cell>
        </row>
      </sheetData>
      <sheetData sheetId="7277">
        <row r="1">
          <cell r="A1" t="str">
            <v>1월 생산실적</v>
          </cell>
        </row>
      </sheetData>
      <sheetData sheetId="7278">
        <row r="1">
          <cell r="A1" t="str">
            <v>1월 생산실적</v>
          </cell>
        </row>
      </sheetData>
      <sheetData sheetId="7279">
        <row r="1">
          <cell r="A1" t="str">
            <v>1월 생산실적</v>
          </cell>
        </row>
      </sheetData>
      <sheetData sheetId="7280">
        <row r="1">
          <cell r="A1" t="str">
            <v>1월 생산실적</v>
          </cell>
        </row>
      </sheetData>
      <sheetData sheetId="7281">
        <row r="1">
          <cell r="A1" t="str">
            <v>1월 생산실적</v>
          </cell>
        </row>
      </sheetData>
      <sheetData sheetId="7282">
        <row r="1">
          <cell r="A1" t="str">
            <v>1월 생산실적</v>
          </cell>
        </row>
      </sheetData>
      <sheetData sheetId="7283">
        <row r="1">
          <cell r="A1" t="str">
            <v>1월 생산실적</v>
          </cell>
        </row>
      </sheetData>
      <sheetData sheetId="7284">
        <row r="1">
          <cell r="A1" t="str">
            <v>1월 생산실적</v>
          </cell>
        </row>
      </sheetData>
      <sheetData sheetId="7285">
        <row r="1">
          <cell r="A1" t="str">
            <v>1월 생산실적</v>
          </cell>
        </row>
      </sheetData>
      <sheetData sheetId="7286">
        <row r="1">
          <cell r="A1" t="str">
            <v>1월 생산실적</v>
          </cell>
        </row>
      </sheetData>
      <sheetData sheetId="7287">
        <row r="1">
          <cell r="A1" t="str">
            <v>1월 생산실적</v>
          </cell>
        </row>
      </sheetData>
      <sheetData sheetId="7288">
        <row r="1">
          <cell r="A1" t="str">
            <v>1월 생산실적</v>
          </cell>
        </row>
      </sheetData>
      <sheetData sheetId="7289">
        <row r="1">
          <cell r="A1" t="str">
            <v>1월 생산실적</v>
          </cell>
        </row>
      </sheetData>
      <sheetData sheetId="7290">
        <row r="1">
          <cell r="A1" t="str">
            <v>1월 생산실적</v>
          </cell>
        </row>
      </sheetData>
      <sheetData sheetId="7291">
        <row r="1">
          <cell r="A1" t="str">
            <v>1월 생산실적</v>
          </cell>
        </row>
      </sheetData>
      <sheetData sheetId="7292">
        <row r="1">
          <cell r="A1" t="str">
            <v>1월 생산실적</v>
          </cell>
        </row>
      </sheetData>
      <sheetData sheetId="7293">
        <row r="1">
          <cell r="A1" t="str">
            <v>1월 생산실적</v>
          </cell>
        </row>
      </sheetData>
      <sheetData sheetId="7294">
        <row r="1">
          <cell r="A1" t="str">
            <v>1월 생산실적</v>
          </cell>
        </row>
      </sheetData>
      <sheetData sheetId="7295">
        <row r="1">
          <cell r="A1" t="str">
            <v>1월 생산실적</v>
          </cell>
        </row>
      </sheetData>
      <sheetData sheetId="7296">
        <row r="1">
          <cell r="A1" t="str">
            <v>1월 생산실적</v>
          </cell>
        </row>
      </sheetData>
      <sheetData sheetId="7297">
        <row r="1">
          <cell r="A1" t="str">
            <v>1월 생산실적</v>
          </cell>
        </row>
      </sheetData>
      <sheetData sheetId="7298">
        <row r="1">
          <cell r="A1" t="str">
            <v>1월 생산실적</v>
          </cell>
        </row>
      </sheetData>
      <sheetData sheetId="7299">
        <row r="1">
          <cell r="A1" t="str">
            <v>1월 생산실적</v>
          </cell>
        </row>
      </sheetData>
      <sheetData sheetId="7300">
        <row r="1">
          <cell r="A1" t="str">
            <v>1월 생산실적</v>
          </cell>
        </row>
      </sheetData>
      <sheetData sheetId="7301">
        <row r="1">
          <cell r="A1" t="str">
            <v>1월 생산실적</v>
          </cell>
        </row>
      </sheetData>
      <sheetData sheetId="7302">
        <row r="1">
          <cell r="A1" t="str">
            <v>1월 생산실적</v>
          </cell>
        </row>
      </sheetData>
      <sheetData sheetId="7303">
        <row r="1">
          <cell r="A1" t="str">
            <v>1월 생산실적</v>
          </cell>
        </row>
      </sheetData>
      <sheetData sheetId="7304">
        <row r="1">
          <cell r="A1" t="str">
            <v>1월 생산실적</v>
          </cell>
        </row>
      </sheetData>
      <sheetData sheetId="7305">
        <row r="1">
          <cell r="A1" t="str">
            <v>1월 생산실적</v>
          </cell>
        </row>
      </sheetData>
      <sheetData sheetId="7306">
        <row r="1">
          <cell r="A1" t="str">
            <v>1월 생산실적</v>
          </cell>
        </row>
      </sheetData>
      <sheetData sheetId="7307">
        <row r="1">
          <cell r="A1" t="str">
            <v>1월 생산실적</v>
          </cell>
        </row>
      </sheetData>
      <sheetData sheetId="7308">
        <row r="1">
          <cell r="A1" t="str">
            <v>1월 생산실적</v>
          </cell>
        </row>
      </sheetData>
      <sheetData sheetId="7309">
        <row r="1">
          <cell r="A1" t="str">
            <v>1월 생산실적</v>
          </cell>
        </row>
      </sheetData>
      <sheetData sheetId="7310">
        <row r="1">
          <cell r="A1" t="str">
            <v>1월 생산실적</v>
          </cell>
        </row>
      </sheetData>
      <sheetData sheetId="7311">
        <row r="1">
          <cell r="A1" t="str">
            <v>1월 생산실적</v>
          </cell>
        </row>
      </sheetData>
      <sheetData sheetId="7312">
        <row r="1">
          <cell r="A1" t="str">
            <v>1월 생산실적</v>
          </cell>
        </row>
      </sheetData>
      <sheetData sheetId="7313">
        <row r="1">
          <cell r="A1" t="str">
            <v>1월 생산실적</v>
          </cell>
        </row>
      </sheetData>
      <sheetData sheetId="7314">
        <row r="1">
          <cell r="A1" t="str">
            <v>1월 생산실적</v>
          </cell>
        </row>
      </sheetData>
      <sheetData sheetId="7315">
        <row r="1">
          <cell r="A1" t="str">
            <v>1월 생산실적</v>
          </cell>
        </row>
      </sheetData>
      <sheetData sheetId="7316">
        <row r="1">
          <cell r="A1" t="str">
            <v>1월 생산실적</v>
          </cell>
        </row>
      </sheetData>
      <sheetData sheetId="7317">
        <row r="1">
          <cell r="A1" t="str">
            <v>1월 생산실적</v>
          </cell>
        </row>
      </sheetData>
      <sheetData sheetId="7318">
        <row r="1">
          <cell r="A1" t="str">
            <v>1월 생산실적</v>
          </cell>
        </row>
      </sheetData>
      <sheetData sheetId="7319">
        <row r="1">
          <cell r="A1" t="str">
            <v>1월 생산실적</v>
          </cell>
        </row>
      </sheetData>
      <sheetData sheetId="7320">
        <row r="1">
          <cell r="A1" t="str">
            <v>1월 생산실적</v>
          </cell>
        </row>
      </sheetData>
      <sheetData sheetId="7321">
        <row r="1">
          <cell r="A1" t="str">
            <v>1월 생산실적</v>
          </cell>
        </row>
      </sheetData>
      <sheetData sheetId="7322">
        <row r="1">
          <cell r="A1" t="str">
            <v>1월 생산실적</v>
          </cell>
        </row>
      </sheetData>
      <sheetData sheetId="7323">
        <row r="1">
          <cell r="A1" t="str">
            <v>1월 생산실적</v>
          </cell>
        </row>
      </sheetData>
      <sheetData sheetId="7324">
        <row r="1">
          <cell r="A1" t="str">
            <v>1월 생산실적</v>
          </cell>
        </row>
      </sheetData>
      <sheetData sheetId="7325">
        <row r="1">
          <cell r="A1" t="str">
            <v>1월 생산실적</v>
          </cell>
        </row>
      </sheetData>
      <sheetData sheetId="7326">
        <row r="1">
          <cell r="A1" t="str">
            <v>1월 생산실적</v>
          </cell>
        </row>
      </sheetData>
      <sheetData sheetId="7327">
        <row r="1">
          <cell r="A1" t="str">
            <v>1월 생산실적</v>
          </cell>
        </row>
      </sheetData>
      <sheetData sheetId="7328">
        <row r="1">
          <cell r="A1" t="str">
            <v>1월 생산실적</v>
          </cell>
        </row>
      </sheetData>
      <sheetData sheetId="7329">
        <row r="1">
          <cell r="A1" t="str">
            <v>1월 생산실적</v>
          </cell>
        </row>
      </sheetData>
      <sheetData sheetId="7330">
        <row r="1">
          <cell r="A1" t="str">
            <v>1월 생산실적</v>
          </cell>
        </row>
      </sheetData>
      <sheetData sheetId="7331">
        <row r="1">
          <cell r="A1" t="str">
            <v>1월 생산실적</v>
          </cell>
        </row>
      </sheetData>
      <sheetData sheetId="7332">
        <row r="1">
          <cell r="A1" t="str">
            <v>1월 생산실적</v>
          </cell>
        </row>
      </sheetData>
      <sheetData sheetId="7333">
        <row r="1">
          <cell r="A1" t="str">
            <v>1월 생산실적</v>
          </cell>
        </row>
      </sheetData>
      <sheetData sheetId="7334">
        <row r="1">
          <cell r="A1" t="str">
            <v>1월 생산실적</v>
          </cell>
        </row>
      </sheetData>
      <sheetData sheetId="7335">
        <row r="1">
          <cell r="A1" t="str">
            <v>1월 생산실적</v>
          </cell>
        </row>
      </sheetData>
      <sheetData sheetId="7336">
        <row r="1">
          <cell r="A1" t="str">
            <v>1월 생산실적</v>
          </cell>
        </row>
      </sheetData>
      <sheetData sheetId="7337">
        <row r="1">
          <cell r="A1" t="str">
            <v>1월 생산실적</v>
          </cell>
        </row>
      </sheetData>
      <sheetData sheetId="7338">
        <row r="1">
          <cell r="A1" t="str">
            <v>1월 생산실적</v>
          </cell>
        </row>
      </sheetData>
      <sheetData sheetId="7339">
        <row r="1">
          <cell r="A1" t="str">
            <v>1월 생산실적</v>
          </cell>
        </row>
      </sheetData>
      <sheetData sheetId="7340">
        <row r="1">
          <cell r="A1" t="str">
            <v>1월 생산실적</v>
          </cell>
        </row>
      </sheetData>
      <sheetData sheetId="7341">
        <row r="1">
          <cell r="A1" t="str">
            <v>1월 생산실적</v>
          </cell>
        </row>
      </sheetData>
      <sheetData sheetId="7342">
        <row r="1">
          <cell r="A1" t="str">
            <v>1월 생산실적</v>
          </cell>
        </row>
      </sheetData>
      <sheetData sheetId="7343">
        <row r="1">
          <cell r="A1" t="str">
            <v>1월 생산실적</v>
          </cell>
        </row>
      </sheetData>
      <sheetData sheetId="7344">
        <row r="1">
          <cell r="A1" t="str">
            <v>1월 생산실적</v>
          </cell>
        </row>
      </sheetData>
      <sheetData sheetId="7345">
        <row r="1">
          <cell r="A1" t="str">
            <v>1월 생산실적</v>
          </cell>
        </row>
      </sheetData>
      <sheetData sheetId="7346">
        <row r="1">
          <cell r="A1" t="str">
            <v>1월 생산실적</v>
          </cell>
        </row>
      </sheetData>
      <sheetData sheetId="7347">
        <row r="1">
          <cell r="A1" t="str">
            <v>1월 생산실적</v>
          </cell>
        </row>
      </sheetData>
      <sheetData sheetId="7348">
        <row r="1">
          <cell r="A1" t="str">
            <v>1월 생산실적</v>
          </cell>
        </row>
      </sheetData>
      <sheetData sheetId="7349">
        <row r="1">
          <cell r="A1" t="str">
            <v>1월 생산실적</v>
          </cell>
        </row>
      </sheetData>
      <sheetData sheetId="7350">
        <row r="1">
          <cell r="A1" t="str">
            <v>1월 생산실적</v>
          </cell>
        </row>
      </sheetData>
      <sheetData sheetId="7351">
        <row r="1">
          <cell r="A1" t="str">
            <v>1월 생산실적</v>
          </cell>
        </row>
      </sheetData>
      <sheetData sheetId="7352">
        <row r="1">
          <cell r="A1" t="str">
            <v>1월 생산실적</v>
          </cell>
        </row>
      </sheetData>
      <sheetData sheetId="7353">
        <row r="1">
          <cell r="A1" t="str">
            <v>1월 생산실적</v>
          </cell>
        </row>
      </sheetData>
      <sheetData sheetId="7354">
        <row r="1">
          <cell r="A1" t="str">
            <v>1월 생산실적</v>
          </cell>
        </row>
      </sheetData>
      <sheetData sheetId="7355">
        <row r="1">
          <cell r="A1" t="str">
            <v>1월 생산실적</v>
          </cell>
        </row>
      </sheetData>
      <sheetData sheetId="7356">
        <row r="1">
          <cell r="A1" t="str">
            <v>1월 생산실적</v>
          </cell>
        </row>
      </sheetData>
      <sheetData sheetId="7357">
        <row r="1">
          <cell r="A1" t="str">
            <v>1월 생산실적</v>
          </cell>
        </row>
      </sheetData>
      <sheetData sheetId="7358">
        <row r="1">
          <cell r="A1" t="str">
            <v>1월 생산실적</v>
          </cell>
        </row>
      </sheetData>
      <sheetData sheetId="7359">
        <row r="1">
          <cell r="A1" t="str">
            <v>1월 생산실적</v>
          </cell>
        </row>
      </sheetData>
      <sheetData sheetId="7360">
        <row r="1">
          <cell r="A1" t="str">
            <v>1월 생산실적</v>
          </cell>
        </row>
      </sheetData>
      <sheetData sheetId="7361">
        <row r="1">
          <cell r="A1" t="str">
            <v>1월 생산실적</v>
          </cell>
        </row>
      </sheetData>
      <sheetData sheetId="7362">
        <row r="1">
          <cell r="A1" t="str">
            <v>1월 생산실적</v>
          </cell>
        </row>
      </sheetData>
      <sheetData sheetId="7363">
        <row r="1">
          <cell r="A1" t="str">
            <v>1월 생산실적</v>
          </cell>
        </row>
      </sheetData>
      <sheetData sheetId="7364">
        <row r="1">
          <cell r="A1" t="str">
            <v>1월 생산실적</v>
          </cell>
        </row>
      </sheetData>
      <sheetData sheetId="7365">
        <row r="1">
          <cell r="A1" t="str">
            <v>1월 생산실적</v>
          </cell>
        </row>
      </sheetData>
      <sheetData sheetId="7366">
        <row r="1">
          <cell r="A1" t="str">
            <v>1월 생산실적</v>
          </cell>
        </row>
      </sheetData>
      <sheetData sheetId="7367">
        <row r="1">
          <cell r="A1" t="str">
            <v>1월 생산실적</v>
          </cell>
        </row>
      </sheetData>
      <sheetData sheetId="7368">
        <row r="1">
          <cell r="A1" t="str">
            <v>1월 생산실적</v>
          </cell>
        </row>
      </sheetData>
      <sheetData sheetId="7369">
        <row r="1">
          <cell r="A1" t="str">
            <v>1월 생산실적</v>
          </cell>
        </row>
      </sheetData>
      <sheetData sheetId="7370">
        <row r="1">
          <cell r="A1" t="str">
            <v>1월 생산실적</v>
          </cell>
        </row>
      </sheetData>
      <sheetData sheetId="7371">
        <row r="1">
          <cell r="A1" t="str">
            <v>1월 생산실적</v>
          </cell>
        </row>
      </sheetData>
      <sheetData sheetId="7372">
        <row r="1">
          <cell r="A1" t="str">
            <v>1월 생산실적</v>
          </cell>
        </row>
      </sheetData>
      <sheetData sheetId="7373">
        <row r="1">
          <cell r="A1" t="str">
            <v>1월 생산실적</v>
          </cell>
        </row>
      </sheetData>
      <sheetData sheetId="7374">
        <row r="1">
          <cell r="A1" t="str">
            <v>1월 생산실적</v>
          </cell>
        </row>
      </sheetData>
      <sheetData sheetId="7375">
        <row r="1">
          <cell r="A1" t="str">
            <v>1월 생산실적</v>
          </cell>
        </row>
      </sheetData>
      <sheetData sheetId="7376">
        <row r="1">
          <cell r="A1" t="str">
            <v>1월 생산실적</v>
          </cell>
        </row>
      </sheetData>
      <sheetData sheetId="7377">
        <row r="1">
          <cell r="A1" t="str">
            <v>1월 생산실적</v>
          </cell>
        </row>
      </sheetData>
      <sheetData sheetId="7378">
        <row r="1">
          <cell r="A1" t="str">
            <v>1월 생산실적</v>
          </cell>
        </row>
      </sheetData>
      <sheetData sheetId="7379">
        <row r="1">
          <cell r="A1" t="str">
            <v>1월 생산실적</v>
          </cell>
        </row>
      </sheetData>
      <sheetData sheetId="7380">
        <row r="1">
          <cell r="A1" t="str">
            <v>1월 생산실적</v>
          </cell>
        </row>
      </sheetData>
      <sheetData sheetId="7381">
        <row r="1">
          <cell r="A1" t="str">
            <v>1월 생산실적</v>
          </cell>
        </row>
      </sheetData>
      <sheetData sheetId="7382">
        <row r="1">
          <cell r="A1" t="str">
            <v>1월 생산실적</v>
          </cell>
        </row>
      </sheetData>
      <sheetData sheetId="7383">
        <row r="1">
          <cell r="A1" t="str">
            <v>1월 생산실적</v>
          </cell>
        </row>
      </sheetData>
      <sheetData sheetId="7384">
        <row r="1">
          <cell r="A1" t="str">
            <v>1월 생산실적</v>
          </cell>
        </row>
      </sheetData>
      <sheetData sheetId="7385">
        <row r="1">
          <cell r="A1" t="str">
            <v>1월 생산실적</v>
          </cell>
        </row>
      </sheetData>
      <sheetData sheetId="7386">
        <row r="1">
          <cell r="A1" t="str">
            <v>1월 생산실적</v>
          </cell>
        </row>
      </sheetData>
      <sheetData sheetId="7387">
        <row r="1">
          <cell r="A1" t="str">
            <v>1월 생산실적</v>
          </cell>
        </row>
      </sheetData>
      <sheetData sheetId="7388">
        <row r="1">
          <cell r="A1" t="str">
            <v>1월 생산실적</v>
          </cell>
        </row>
      </sheetData>
      <sheetData sheetId="7389">
        <row r="1">
          <cell r="A1" t="str">
            <v>1월 생산실적</v>
          </cell>
        </row>
      </sheetData>
      <sheetData sheetId="7390">
        <row r="1">
          <cell r="A1" t="str">
            <v>1월 생산실적</v>
          </cell>
        </row>
      </sheetData>
      <sheetData sheetId="7391">
        <row r="1">
          <cell r="A1" t="str">
            <v>1월 생산실적</v>
          </cell>
        </row>
      </sheetData>
      <sheetData sheetId="7392">
        <row r="1">
          <cell r="A1" t="str">
            <v>1월 생산실적</v>
          </cell>
        </row>
      </sheetData>
      <sheetData sheetId="7393">
        <row r="1">
          <cell r="A1" t="str">
            <v>1월 생산실적</v>
          </cell>
        </row>
      </sheetData>
      <sheetData sheetId="7394">
        <row r="1">
          <cell r="A1" t="str">
            <v>1월 생산실적</v>
          </cell>
        </row>
      </sheetData>
      <sheetData sheetId="7395">
        <row r="1">
          <cell r="A1" t="str">
            <v>1월 생산실적</v>
          </cell>
        </row>
      </sheetData>
      <sheetData sheetId="7396">
        <row r="1">
          <cell r="A1" t="str">
            <v>1월 생산실적</v>
          </cell>
        </row>
      </sheetData>
      <sheetData sheetId="7397">
        <row r="1">
          <cell r="A1" t="str">
            <v>1월 생산실적</v>
          </cell>
        </row>
      </sheetData>
      <sheetData sheetId="7398">
        <row r="1">
          <cell r="A1" t="str">
            <v>1월 생산실적</v>
          </cell>
        </row>
      </sheetData>
      <sheetData sheetId="7399">
        <row r="1">
          <cell r="A1" t="str">
            <v>1월 생산실적</v>
          </cell>
        </row>
      </sheetData>
      <sheetData sheetId="7400">
        <row r="1">
          <cell r="A1" t="str">
            <v>1월 생산실적</v>
          </cell>
        </row>
      </sheetData>
      <sheetData sheetId="7401">
        <row r="1">
          <cell r="A1" t="str">
            <v>1월 생산실적</v>
          </cell>
        </row>
      </sheetData>
      <sheetData sheetId="7402">
        <row r="1">
          <cell r="A1" t="str">
            <v>1월 생산실적</v>
          </cell>
        </row>
      </sheetData>
      <sheetData sheetId="7403">
        <row r="1">
          <cell r="A1" t="str">
            <v>1월 생산실적</v>
          </cell>
        </row>
      </sheetData>
      <sheetData sheetId="7404">
        <row r="1">
          <cell r="A1" t="str">
            <v>1월 생산실적</v>
          </cell>
        </row>
      </sheetData>
      <sheetData sheetId="7405">
        <row r="1">
          <cell r="A1" t="str">
            <v>1월 생산실적</v>
          </cell>
        </row>
      </sheetData>
      <sheetData sheetId="7406">
        <row r="1">
          <cell r="A1" t="str">
            <v>1월 생산실적</v>
          </cell>
        </row>
      </sheetData>
      <sheetData sheetId="7407">
        <row r="1">
          <cell r="A1" t="str">
            <v>1월 생산실적</v>
          </cell>
        </row>
      </sheetData>
      <sheetData sheetId="7408">
        <row r="1">
          <cell r="A1" t="str">
            <v>1월 생산실적</v>
          </cell>
        </row>
      </sheetData>
      <sheetData sheetId="7409">
        <row r="1">
          <cell r="A1" t="str">
            <v>1월 생산실적</v>
          </cell>
        </row>
      </sheetData>
      <sheetData sheetId="7410">
        <row r="1">
          <cell r="A1" t="str">
            <v>1월 생산실적</v>
          </cell>
        </row>
      </sheetData>
      <sheetData sheetId="7411">
        <row r="1">
          <cell r="A1" t="str">
            <v>1월 생산실적</v>
          </cell>
        </row>
      </sheetData>
      <sheetData sheetId="7412">
        <row r="1">
          <cell r="A1" t="str">
            <v>1월 생산실적</v>
          </cell>
        </row>
      </sheetData>
      <sheetData sheetId="7413">
        <row r="1">
          <cell r="A1" t="str">
            <v>1월 생산실적</v>
          </cell>
        </row>
      </sheetData>
      <sheetData sheetId="7414">
        <row r="1">
          <cell r="A1" t="str">
            <v>1월 생산실적</v>
          </cell>
        </row>
      </sheetData>
      <sheetData sheetId="7415">
        <row r="1">
          <cell r="A1" t="str">
            <v>1월 생산실적</v>
          </cell>
        </row>
      </sheetData>
      <sheetData sheetId="7416">
        <row r="1">
          <cell r="A1" t="str">
            <v>1월 생산실적</v>
          </cell>
        </row>
      </sheetData>
      <sheetData sheetId="7417">
        <row r="1">
          <cell r="A1" t="str">
            <v>1월 생산실적</v>
          </cell>
        </row>
      </sheetData>
      <sheetData sheetId="7418">
        <row r="1">
          <cell r="A1" t="str">
            <v>1월 생산실적</v>
          </cell>
        </row>
      </sheetData>
      <sheetData sheetId="7419">
        <row r="1">
          <cell r="A1" t="str">
            <v>1월 생산실적</v>
          </cell>
        </row>
      </sheetData>
      <sheetData sheetId="7420">
        <row r="1">
          <cell r="A1" t="str">
            <v>1월 생산실적</v>
          </cell>
        </row>
      </sheetData>
      <sheetData sheetId="7421">
        <row r="1">
          <cell r="A1" t="str">
            <v>1월 생산실적</v>
          </cell>
        </row>
      </sheetData>
      <sheetData sheetId="7422">
        <row r="1">
          <cell r="A1" t="str">
            <v>1월 생산실적</v>
          </cell>
        </row>
      </sheetData>
      <sheetData sheetId="7423">
        <row r="1">
          <cell r="A1" t="str">
            <v>1월 생산실적</v>
          </cell>
        </row>
      </sheetData>
      <sheetData sheetId="7424">
        <row r="1">
          <cell r="A1" t="str">
            <v>1월 생산실적</v>
          </cell>
        </row>
      </sheetData>
      <sheetData sheetId="7425">
        <row r="1">
          <cell r="A1" t="str">
            <v>1월 생산실적</v>
          </cell>
        </row>
      </sheetData>
      <sheetData sheetId="7426">
        <row r="1">
          <cell r="A1" t="str">
            <v>1월 생산실적</v>
          </cell>
        </row>
      </sheetData>
      <sheetData sheetId="7427">
        <row r="1">
          <cell r="A1" t="str">
            <v>1월 생산실적</v>
          </cell>
        </row>
      </sheetData>
      <sheetData sheetId="7428">
        <row r="1">
          <cell r="A1" t="str">
            <v>1월 생산실적</v>
          </cell>
        </row>
      </sheetData>
      <sheetData sheetId="7429">
        <row r="1">
          <cell r="A1" t="str">
            <v>1월 생산실적</v>
          </cell>
        </row>
      </sheetData>
      <sheetData sheetId="7430">
        <row r="1">
          <cell r="A1" t="str">
            <v>1월 생산실적</v>
          </cell>
        </row>
      </sheetData>
      <sheetData sheetId="7431">
        <row r="1">
          <cell r="A1" t="str">
            <v>1월 생산실적</v>
          </cell>
        </row>
      </sheetData>
      <sheetData sheetId="7432">
        <row r="1">
          <cell r="A1" t="str">
            <v>1월 생산실적</v>
          </cell>
        </row>
      </sheetData>
      <sheetData sheetId="7433">
        <row r="1">
          <cell r="A1" t="str">
            <v>1월 생산실적</v>
          </cell>
        </row>
      </sheetData>
      <sheetData sheetId="7434">
        <row r="1">
          <cell r="A1" t="str">
            <v>1월 생산실적</v>
          </cell>
        </row>
      </sheetData>
      <sheetData sheetId="7435">
        <row r="1">
          <cell r="A1" t="str">
            <v>1월 생산실적</v>
          </cell>
        </row>
      </sheetData>
      <sheetData sheetId="7436">
        <row r="1">
          <cell r="A1" t="str">
            <v>1월 생산실적</v>
          </cell>
        </row>
      </sheetData>
      <sheetData sheetId="7437">
        <row r="1">
          <cell r="A1" t="str">
            <v>1월 생산실적</v>
          </cell>
        </row>
      </sheetData>
      <sheetData sheetId="7438">
        <row r="1">
          <cell r="A1" t="str">
            <v>1월 생산실적</v>
          </cell>
        </row>
      </sheetData>
      <sheetData sheetId="7439">
        <row r="1">
          <cell r="A1" t="str">
            <v>1월 생산실적</v>
          </cell>
        </row>
      </sheetData>
      <sheetData sheetId="7440">
        <row r="1">
          <cell r="A1" t="str">
            <v>1월 생산실적</v>
          </cell>
        </row>
      </sheetData>
      <sheetData sheetId="7441">
        <row r="1">
          <cell r="A1" t="str">
            <v>1월 생산실적</v>
          </cell>
        </row>
      </sheetData>
      <sheetData sheetId="7442">
        <row r="1">
          <cell r="A1" t="str">
            <v>1월 생산실적</v>
          </cell>
        </row>
      </sheetData>
      <sheetData sheetId="7443">
        <row r="1">
          <cell r="A1" t="str">
            <v>1월 생산실적</v>
          </cell>
        </row>
      </sheetData>
      <sheetData sheetId="7444">
        <row r="1">
          <cell r="A1" t="str">
            <v>1월 생산실적</v>
          </cell>
        </row>
      </sheetData>
      <sheetData sheetId="7445">
        <row r="1">
          <cell r="A1" t="str">
            <v>1월 생산실적</v>
          </cell>
        </row>
      </sheetData>
      <sheetData sheetId="7446">
        <row r="1">
          <cell r="A1" t="str">
            <v>1월 생산실적</v>
          </cell>
        </row>
      </sheetData>
      <sheetData sheetId="7447">
        <row r="1">
          <cell r="A1" t="str">
            <v>1월 생산실적</v>
          </cell>
        </row>
      </sheetData>
      <sheetData sheetId="7448">
        <row r="1">
          <cell r="A1" t="str">
            <v>1월 생산실적</v>
          </cell>
        </row>
      </sheetData>
      <sheetData sheetId="7449">
        <row r="1">
          <cell r="A1" t="str">
            <v>1월 생산실적</v>
          </cell>
        </row>
      </sheetData>
      <sheetData sheetId="7450">
        <row r="1">
          <cell r="A1" t="str">
            <v>1월 생산실적</v>
          </cell>
        </row>
      </sheetData>
      <sheetData sheetId="7451">
        <row r="1">
          <cell r="A1" t="str">
            <v>1월 생산실적</v>
          </cell>
        </row>
      </sheetData>
      <sheetData sheetId="7452">
        <row r="1">
          <cell r="A1" t="str">
            <v>1월 생산실적</v>
          </cell>
        </row>
      </sheetData>
      <sheetData sheetId="7453">
        <row r="1">
          <cell r="A1" t="str">
            <v>1월 생산실적</v>
          </cell>
        </row>
      </sheetData>
      <sheetData sheetId="7454">
        <row r="1">
          <cell r="A1" t="str">
            <v>1월 생산실적</v>
          </cell>
        </row>
      </sheetData>
      <sheetData sheetId="7455">
        <row r="1">
          <cell r="A1" t="str">
            <v>1월 생산실적</v>
          </cell>
        </row>
      </sheetData>
      <sheetData sheetId="7456">
        <row r="1">
          <cell r="A1" t="str">
            <v>1월 생산실적</v>
          </cell>
        </row>
      </sheetData>
      <sheetData sheetId="7457">
        <row r="1">
          <cell r="A1" t="str">
            <v>1월 생산실적</v>
          </cell>
        </row>
      </sheetData>
      <sheetData sheetId="7458">
        <row r="1">
          <cell r="A1" t="str">
            <v>1월 생산실적</v>
          </cell>
        </row>
      </sheetData>
      <sheetData sheetId="7459">
        <row r="1">
          <cell r="A1" t="str">
            <v>1월 생산실적</v>
          </cell>
        </row>
      </sheetData>
      <sheetData sheetId="7460">
        <row r="1">
          <cell r="A1" t="str">
            <v>1월 생산실적</v>
          </cell>
        </row>
      </sheetData>
      <sheetData sheetId="7461">
        <row r="1">
          <cell r="A1" t="str">
            <v>1월 생산실적</v>
          </cell>
        </row>
      </sheetData>
      <sheetData sheetId="7462">
        <row r="1">
          <cell r="A1" t="str">
            <v>1월 생산실적</v>
          </cell>
        </row>
      </sheetData>
      <sheetData sheetId="7463">
        <row r="1">
          <cell r="A1" t="str">
            <v>1월 생산실적</v>
          </cell>
        </row>
      </sheetData>
      <sheetData sheetId="7464">
        <row r="1">
          <cell r="A1" t="str">
            <v>1월 생산실적</v>
          </cell>
        </row>
      </sheetData>
      <sheetData sheetId="7465">
        <row r="1">
          <cell r="A1" t="str">
            <v>1월 생산실적</v>
          </cell>
        </row>
      </sheetData>
      <sheetData sheetId="7466">
        <row r="1">
          <cell r="A1" t="str">
            <v>1월 생산실적</v>
          </cell>
        </row>
      </sheetData>
      <sheetData sheetId="7467">
        <row r="1">
          <cell r="A1" t="str">
            <v>1월 생산실적</v>
          </cell>
        </row>
      </sheetData>
      <sheetData sheetId="7468">
        <row r="1">
          <cell r="A1" t="str">
            <v>1월 생산실적</v>
          </cell>
        </row>
      </sheetData>
      <sheetData sheetId="7469">
        <row r="1">
          <cell r="A1" t="str">
            <v>1월 생산실적</v>
          </cell>
        </row>
      </sheetData>
      <sheetData sheetId="7470">
        <row r="1">
          <cell r="A1" t="str">
            <v>1월 생산실적</v>
          </cell>
        </row>
      </sheetData>
      <sheetData sheetId="7471">
        <row r="1">
          <cell r="A1" t="str">
            <v>1월 생산실적</v>
          </cell>
        </row>
      </sheetData>
      <sheetData sheetId="7472">
        <row r="1">
          <cell r="A1" t="str">
            <v>1월 생산실적</v>
          </cell>
        </row>
      </sheetData>
      <sheetData sheetId="7473">
        <row r="1">
          <cell r="A1" t="str">
            <v>1월 생산실적</v>
          </cell>
        </row>
      </sheetData>
      <sheetData sheetId="7474">
        <row r="1">
          <cell r="A1" t="str">
            <v>1월 생산실적</v>
          </cell>
        </row>
      </sheetData>
      <sheetData sheetId="7475">
        <row r="1">
          <cell r="A1" t="str">
            <v>1월 생산실적</v>
          </cell>
        </row>
      </sheetData>
      <sheetData sheetId="7476">
        <row r="1">
          <cell r="A1" t="str">
            <v>1월 생산실적</v>
          </cell>
        </row>
      </sheetData>
      <sheetData sheetId="7477">
        <row r="1">
          <cell r="A1" t="str">
            <v>1월 생산실적</v>
          </cell>
        </row>
      </sheetData>
      <sheetData sheetId="7478">
        <row r="1">
          <cell r="A1" t="str">
            <v>1월 생산실적</v>
          </cell>
        </row>
      </sheetData>
      <sheetData sheetId="7479">
        <row r="1">
          <cell r="A1" t="str">
            <v>1월 생산실적</v>
          </cell>
        </row>
      </sheetData>
      <sheetData sheetId="7480">
        <row r="1">
          <cell r="A1" t="str">
            <v>1월 생산실적</v>
          </cell>
        </row>
      </sheetData>
      <sheetData sheetId="7481">
        <row r="1">
          <cell r="A1" t="str">
            <v>1월 생산실적</v>
          </cell>
        </row>
      </sheetData>
      <sheetData sheetId="7482">
        <row r="1">
          <cell r="A1" t="str">
            <v>1월 생산실적</v>
          </cell>
        </row>
      </sheetData>
      <sheetData sheetId="7483">
        <row r="1">
          <cell r="A1" t="str">
            <v>1월 생산실적</v>
          </cell>
        </row>
      </sheetData>
      <sheetData sheetId="7484">
        <row r="1">
          <cell r="A1" t="str">
            <v>1월 생산실적</v>
          </cell>
        </row>
      </sheetData>
      <sheetData sheetId="7485">
        <row r="1">
          <cell r="A1" t="str">
            <v>1월 생산실적</v>
          </cell>
        </row>
      </sheetData>
      <sheetData sheetId="7486">
        <row r="1">
          <cell r="A1" t="str">
            <v>1월 생산실적</v>
          </cell>
        </row>
      </sheetData>
      <sheetData sheetId="7487">
        <row r="1">
          <cell r="A1" t="str">
            <v>1월 생산실적</v>
          </cell>
        </row>
      </sheetData>
      <sheetData sheetId="7488">
        <row r="1">
          <cell r="A1" t="str">
            <v>1월 생산실적</v>
          </cell>
        </row>
      </sheetData>
      <sheetData sheetId="7489">
        <row r="1">
          <cell r="A1" t="str">
            <v>1월 생산실적</v>
          </cell>
        </row>
      </sheetData>
      <sheetData sheetId="7490">
        <row r="1">
          <cell r="A1" t="str">
            <v>1월 생산실적</v>
          </cell>
        </row>
      </sheetData>
      <sheetData sheetId="7491">
        <row r="1">
          <cell r="A1" t="str">
            <v>1월 생산실적</v>
          </cell>
        </row>
      </sheetData>
      <sheetData sheetId="7492">
        <row r="1">
          <cell r="A1" t="str">
            <v>1월 생산실적</v>
          </cell>
        </row>
      </sheetData>
      <sheetData sheetId="7493">
        <row r="1">
          <cell r="A1" t="str">
            <v>1월 생산실적</v>
          </cell>
        </row>
      </sheetData>
      <sheetData sheetId="7494">
        <row r="1">
          <cell r="A1" t="str">
            <v>1월 생산실적</v>
          </cell>
        </row>
      </sheetData>
      <sheetData sheetId="7495">
        <row r="1">
          <cell r="A1" t="str">
            <v>1월 생산실적</v>
          </cell>
        </row>
      </sheetData>
      <sheetData sheetId="7496">
        <row r="1">
          <cell r="A1" t="str">
            <v>1월 생산실적</v>
          </cell>
        </row>
      </sheetData>
      <sheetData sheetId="7497">
        <row r="1">
          <cell r="A1" t="str">
            <v>1월 생산실적</v>
          </cell>
        </row>
      </sheetData>
      <sheetData sheetId="7498">
        <row r="1">
          <cell r="A1" t="str">
            <v>1월 생산실적</v>
          </cell>
        </row>
      </sheetData>
      <sheetData sheetId="7499">
        <row r="1">
          <cell r="A1" t="str">
            <v>1월 생산실적</v>
          </cell>
        </row>
      </sheetData>
      <sheetData sheetId="7500">
        <row r="1">
          <cell r="A1" t="str">
            <v>1월 생산실적</v>
          </cell>
        </row>
      </sheetData>
      <sheetData sheetId="7501">
        <row r="1">
          <cell r="A1" t="str">
            <v>1월 생산실적</v>
          </cell>
        </row>
      </sheetData>
      <sheetData sheetId="7502">
        <row r="1">
          <cell r="A1" t="str">
            <v>1월 생산실적</v>
          </cell>
        </row>
      </sheetData>
      <sheetData sheetId="7503">
        <row r="1">
          <cell r="A1" t="str">
            <v>1월 생산실적</v>
          </cell>
        </row>
      </sheetData>
      <sheetData sheetId="7504">
        <row r="1">
          <cell r="A1" t="str">
            <v>1월 생산실적</v>
          </cell>
        </row>
      </sheetData>
      <sheetData sheetId="7505">
        <row r="1">
          <cell r="A1" t="str">
            <v>1월 생산실적</v>
          </cell>
        </row>
      </sheetData>
      <sheetData sheetId="7506">
        <row r="1">
          <cell r="A1" t="str">
            <v>1월 생산실적</v>
          </cell>
        </row>
      </sheetData>
      <sheetData sheetId="7507">
        <row r="1">
          <cell r="A1" t="str">
            <v>1월 생산실적</v>
          </cell>
        </row>
      </sheetData>
      <sheetData sheetId="7508">
        <row r="1">
          <cell r="A1" t="str">
            <v>1월 생산실적</v>
          </cell>
        </row>
      </sheetData>
      <sheetData sheetId="7509">
        <row r="1">
          <cell r="A1" t="str">
            <v>1월 생산실적</v>
          </cell>
        </row>
      </sheetData>
      <sheetData sheetId="7510">
        <row r="1">
          <cell r="A1" t="str">
            <v>1월 생산실적</v>
          </cell>
        </row>
      </sheetData>
      <sheetData sheetId="7511">
        <row r="1">
          <cell r="A1" t="str">
            <v>1월 생산실적</v>
          </cell>
        </row>
      </sheetData>
      <sheetData sheetId="7512">
        <row r="1">
          <cell r="A1" t="str">
            <v>1월 생산실적</v>
          </cell>
        </row>
      </sheetData>
      <sheetData sheetId="7513">
        <row r="1">
          <cell r="A1" t="str">
            <v>1월 생산실적</v>
          </cell>
        </row>
      </sheetData>
      <sheetData sheetId="7514">
        <row r="1">
          <cell r="A1" t="str">
            <v>1월 생산실적</v>
          </cell>
        </row>
      </sheetData>
      <sheetData sheetId="7515">
        <row r="1">
          <cell r="A1" t="str">
            <v>1월 생산실적</v>
          </cell>
        </row>
      </sheetData>
      <sheetData sheetId="7516">
        <row r="1">
          <cell r="A1" t="str">
            <v>1월 생산실적</v>
          </cell>
        </row>
      </sheetData>
      <sheetData sheetId="7517">
        <row r="1">
          <cell r="A1" t="str">
            <v>1월 생산실적</v>
          </cell>
        </row>
      </sheetData>
      <sheetData sheetId="7518">
        <row r="1">
          <cell r="A1" t="str">
            <v>1월 생산실적</v>
          </cell>
        </row>
      </sheetData>
      <sheetData sheetId="7519">
        <row r="1">
          <cell r="A1" t="str">
            <v>1월 생산실적</v>
          </cell>
        </row>
      </sheetData>
      <sheetData sheetId="7520">
        <row r="1">
          <cell r="A1" t="str">
            <v>1월 생산실적</v>
          </cell>
        </row>
      </sheetData>
      <sheetData sheetId="7521">
        <row r="1">
          <cell r="A1" t="str">
            <v>1월 생산실적</v>
          </cell>
        </row>
      </sheetData>
      <sheetData sheetId="7522">
        <row r="1">
          <cell r="A1" t="str">
            <v>1월 생산실적</v>
          </cell>
        </row>
      </sheetData>
      <sheetData sheetId="7523">
        <row r="1">
          <cell r="A1" t="str">
            <v>1월 생산실적</v>
          </cell>
        </row>
      </sheetData>
      <sheetData sheetId="7524">
        <row r="1">
          <cell r="A1" t="str">
            <v>1월 생산실적</v>
          </cell>
        </row>
      </sheetData>
      <sheetData sheetId="7525">
        <row r="1">
          <cell r="A1" t="str">
            <v>1월 생산실적</v>
          </cell>
        </row>
      </sheetData>
      <sheetData sheetId="7526">
        <row r="1">
          <cell r="A1" t="str">
            <v>1월 생산실적</v>
          </cell>
        </row>
      </sheetData>
      <sheetData sheetId="7527">
        <row r="1">
          <cell r="A1" t="str">
            <v>1월 생산실적</v>
          </cell>
        </row>
      </sheetData>
      <sheetData sheetId="7528">
        <row r="1">
          <cell r="A1" t="str">
            <v>1월 생산실적</v>
          </cell>
        </row>
      </sheetData>
      <sheetData sheetId="7529">
        <row r="1">
          <cell r="A1" t="str">
            <v>1월 생산실적</v>
          </cell>
        </row>
      </sheetData>
      <sheetData sheetId="7530">
        <row r="1">
          <cell r="A1" t="str">
            <v>1월 생산실적</v>
          </cell>
        </row>
      </sheetData>
      <sheetData sheetId="7531">
        <row r="1">
          <cell r="A1" t="str">
            <v>1월 생산실적</v>
          </cell>
        </row>
      </sheetData>
      <sheetData sheetId="7532">
        <row r="1">
          <cell r="A1" t="str">
            <v>1월 생산실적</v>
          </cell>
        </row>
      </sheetData>
      <sheetData sheetId="7533">
        <row r="1">
          <cell r="A1" t="str">
            <v>1월 생산실적</v>
          </cell>
        </row>
      </sheetData>
      <sheetData sheetId="7534">
        <row r="1">
          <cell r="A1" t="str">
            <v>1월 생산실적</v>
          </cell>
        </row>
      </sheetData>
      <sheetData sheetId="7535">
        <row r="1">
          <cell r="A1" t="str">
            <v>1월 생산실적</v>
          </cell>
        </row>
      </sheetData>
      <sheetData sheetId="7536">
        <row r="1">
          <cell r="A1" t="str">
            <v>1월 생산실적</v>
          </cell>
        </row>
      </sheetData>
      <sheetData sheetId="7537">
        <row r="1">
          <cell r="A1" t="str">
            <v>1월 생산실적</v>
          </cell>
        </row>
      </sheetData>
      <sheetData sheetId="7538">
        <row r="1">
          <cell r="A1" t="str">
            <v>1월 생산실적</v>
          </cell>
        </row>
      </sheetData>
      <sheetData sheetId="7539">
        <row r="1">
          <cell r="A1" t="str">
            <v>1월 생산실적</v>
          </cell>
        </row>
      </sheetData>
      <sheetData sheetId="7540">
        <row r="1">
          <cell r="A1" t="str">
            <v>1월 생산실적</v>
          </cell>
        </row>
      </sheetData>
      <sheetData sheetId="7541">
        <row r="1">
          <cell r="A1" t="str">
            <v>1월 생산실적</v>
          </cell>
        </row>
      </sheetData>
      <sheetData sheetId="7542">
        <row r="1">
          <cell r="A1" t="str">
            <v>1월 생산실적</v>
          </cell>
        </row>
      </sheetData>
      <sheetData sheetId="7543">
        <row r="1">
          <cell r="A1" t="str">
            <v>1월 생산실적</v>
          </cell>
        </row>
      </sheetData>
      <sheetData sheetId="7544">
        <row r="1">
          <cell r="A1" t="str">
            <v>1월 생산실적</v>
          </cell>
        </row>
      </sheetData>
      <sheetData sheetId="7545">
        <row r="1">
          <cell r="A1" t="str">
            <v>1월 생산실적</v>
          </cell>
        </row>
      </sheetData>
      <sheetData sheetId="7546">
        <row r="1">
          <cell r="A1" t="str">
            <v>1월 생산실적</v>
          </cell>
        </row>
      </sheetData>
      <sheetData sheetId="7547">
        <row r="1">
          <cell r="A1" t="str">
            <v>1월 생산실적</v>
          </cell>
        </row>
      </sheetData>
      <sheetData sheetId="7548">
        <row r="1">
          <cell r="A1" t="str">
            <v>1월 생산실적</v>
          </cell>
        </row>
      </sheetData>
      <sheetData sheetId="7549">
        <row r="1">
          <cell r="A1" t="str">
            <v>1월 생산실적</v>
          </cell>
        </row>
      </sheetData>
      <sheetData sheetId="7550">
        <row r="1">
          <cell r="A1" t="str">
            <v>1월 생산실적</v>
          </cell>
        </row>
      </sheetData>
      <sheetData sheetId="7551">
        <row r="1">
          <cell r="A1" t="str">
            <v>1월 생산실적</v>
          </cell>
        </row>
      </sheetData>
      <sheetData sheetId="7552">
        <row r="1">
          <cell r="A1" t="str">
            <v>1월 생산실적</v>
          </cell>
        </row>
      </sheetData>
      <sheetData sheetId="7553">
        <row r="1">
          <cell r="A1" t="str">
            <v>1월 생산실적</v>
          </cell>
        </row>
      </sheetData>
      <sheetData sheetId="7554">
        <row r="1">
          <cell r="A1" t="str">
            <v>1월 생산실적</v>
          </cell>
        </row>
      </sheetData>
      <sheetData sheetId="7555">
        <row r="1">
          <cell r="A1" t="str">
            <v>1월 생산실적</v>
          </cell>
        </row>
      </sheetData>
      <sheetData sheetId="7556">
        <row r="1">
          <cell r="A1" t="str">
            <v>1월 생산실적</v>
          </cell>
        </row>
      </sheetData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>
        <row r="1">
          <cell r="A1" t="str">
            <v>1월 생산실적</v>
          </cell>
        </row>
      </sheetData>
      <sheetData sheetId="7591">
        <row r="1">
          <cell r="A1" t="str">
            <v>1월 생산실적</v>
          </cell>
        </row>
      </sheetData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>
        <row r="1">
          <cell r="A1" t="str">
            <v>1월 생산실적</v>
          </cell>
        </row>
      </sheetData>
      <sheetData sheetId="7644">
        <row r="1">
          <cell r="A1" t="str">
            <v>1월 생산실적</v>
          </cell>
        </row>
      </sheetData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>
        <row r="1">
          <cell r="A1" t="str">
            <v>1월 생산실적</v>
          </cell>
        </row>
      </sheetData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>
        <row r="1">
          <cell r="A1" t="str">
            <v>1월 생산실적</v>
          </cell>
        </row>
      </sheetData>
      <sheetData sheetId="7693">
        <row r="1">
          <cell r="A1" t="str">
            <v>1월 생산실적</v>
          </cell>
        </row>
      </sheetData>
      <sheetData sheetId="7694">
        <row r="1">
          <cell r="A1" t="str">
            <v>1월 생산실적</v>
          </cell>
        </row>
      </sheetData>
      <sheetData sheetId="7695">
        <row r="1">
          <cell r="A1" t="str">
            <v>1월 생산실적</v>
          </cell>
        </row>
      </sheetData>
      <sheetData sheetId="7696">
        <row r="1">
          <cell r="A1" t="str">
            <v>1월 생산실적</v>
          </cell>
        </row>
      </sheetData>
      <sheetData sheetId="7697">
        <row r="1">
          <cell r="A1" t="str">
            <v>1월 생산실적</v>
          </cell>
        </row>
      </sheetData>
      <sheetData sheetId="7698">
        <row r="1">
          <cell r="A1" t="str">
            <v>1월 생산실적</v>
          </cell>
        </row>
      </sheetData>
      <sheetData sheetId="7699">
        <row r="1">
          <cell r="A1" t="str">
            <v>1월 생산실적</v>
          </cell>
        </row>
      </sheetData>
      <sheetData sheetId="7700">
        <row r="1">
          <cell r="A1" t="str">
            <v>1월 생산실적</v>
          </cell>
        </row>
      </sheetData>
      <sheetData sheetId="7701">
        <row r="1">
          <cell r="A1" t="str">
            <v>1월 생산실적</v>
          </cell>
        </row>
      </sheetData>
      <sheetData sheetId="7702">
        <row r="1">
          <cell r="A1" t="str">
            <v>1월 생산실적</v>
          </cell>
        </row>
      </sheetData>
      <sheetData sheetId="7703">
        <row r="1">
          <cell r="A1" t="str">
            <v>1월 생산실적</v>
          </cell>
        </row>
      </sheetData>
      <sheetData sheetId="7704">
        <row r="1">
          <cell r="A1" t="str">
            <v>1월 생산실적</v>
          </cell>
        </row>
      </sheetData>
      <sheetData sheetId="7705">
        <row r="1">
          <cell r="A1" t="str">
            <v>1월 생산실적</v>
          </cell>
        </row>
      </sheetData>
      <sheetData sheetId="7706">
        <row r="1">
          <cell r="A1" t="str">
            <v>1월 생산실적</v>
          </cell>
        </row>
      </sheetData>
      <sheetData sheetId="7707">
        <row r="1">
          <cell r="A1" t="str">
            <v>1월 생산실적</v>
          </cell>
        </row>
      </sheetData>
      <sheetData sheetId="7708">
        <row r="1">
          <cell r="A1" t="str">
            <v>1월 생산실적</v>
          </cell>
        </row>
      </sheetData>
      <sheetData sheetId="7709">
        <row r="1">
          <cell r="A1" t="str">
            <v>1월 생산실적</v>
          </cell>
        </row>
      </sheetData>
      <sheetData sheetId="7710">
        <row r="1">
          <cell r="A1" t="str">
            <v>1월 생산실적</v>
          </cell>
        </row>
      </sheetData>
      <sheetData sheetId="7711">
        <row r="1">
          <cell r="A1" t="str">
            <v>1월 생산실적</v>
          </cell>
        </row>
      </sheetData>
      <sheetData sheetId="7712">
        <row r="1">
          <cell r="A1" t="str">
            <v>1월 생산실적</v>
          </cell>
        </row>
      </sheetData>
      <sheetData sheetId="7713">
        <row r="1">
          <cell r="A1" t="str">
            <v>1월 생산실적</v>
          </cell>
        </row>
      </sheetData>
      <sheetData sheetId="7714">
        <row r="1">
          <cell r="A1" t="str">
            <v>1월 생산실적</v>
          </cell>
        </row>
      </sheetData>
      <sheetData sheetId="7715">
        <row r="1">
          <cell r="A1" t="str">
            <v>1월 생산실적</v>
          </cell>
        </row>
      </sheetData>
      <sheetData sheetId="7716">
        <row r="1">
          <cell r="A1" t="str">
            <v>1월 생산실적</v>
          </cell>
        </row>
      </sheetData>
      <sheetData sheetId="7717">
        <row r="1">
          <cell r="A1" t="str">
            <v>1월 생산실적</v>
          </cell>
        </row>
      </sheetData>
      <sheetData sheetId="7718">
        <row r="1">
          <cell r="A1" t="str">
            <v>1월 생산실적</v>
          </cell>
        </row>
      </sheetData>
      <sheetData sheetId="7719">
        <row r="1">
          <cell r="A1" t="str">
            <v>1월 생산실적</v>
          </cell>
        </row>
      </sheetData>
      <sheetData sheetId="7720">
        <row r="1">
          <cell r="A1" t="str">
            <v>1월 생산실적</v>
          </cell>
        </row>
      </sheetData>
      <sheetData sheetId="7721">
        <row r="1">
          <cell r="A1" t="str">
            <v>1월 생산실적</v>
          </cell>
        </row>
      </sheetData>
      <sheetData sheetId="7722">
        <row r="1">
          <cell r="A1" t="str">
            <v>1월 생산실적</v>
          </cell>
        </row>
      </sheetData>
      <sheetData sheetId="7723">
        <row r="1">
          <cell r="A1" t="str">
            <v>1월 생산실적</v>
          </cell>
        </row>
      </sheetData>
      <sheetData sheetId="7724">
        <row r="1">
          <cell r="A1" t="str">
            <v>1월 생산실적</v>
          </cell>
        </row>
      </sheetData>
      <sheetData sheetId="7725">
        <row r="1">
          <cell r="A1" t="str">
            <v>1월 생산실적</v>
          </cell>
        </row>
      </sheetData>
      <sheetData sheetId="7726">
        <row r="1">
          <cell r="A1" t="str">
            <v>1월 생산실적</v>
          </cell>
        </row>
      </sheetData>
      <sheetData sheetId="7727">
        <row r="1">
          <cell r="A1" t="str">
            <v>1월 생산실적</v>
          </cell>
        </row>
      </sheetData>
      <sheetData sheetId="7728">
        <row r="1">
          <cell r="A1" t="str">
            <v>1월 생산실적</v>
          </cell>
        </row>
      </sheetData>
      <sheetData sheetId="7729">
        <row r="1">
          <cell r="A1" t="str">
            <v>1월 생산실적</v>
          </cell>
        </row>
      </sheetData>
      <sheetData sheetId="7730">
        <row r="1">
          <cell r="A1" t="str">
            <v>1월 생산실적</v>
          </cell>
        </row>
      </sheetData>
      <sheetData sheetId="7731">
        <row r="1">
          <cell r="A1" t="str">
            <v>1월 생산실적</v>
          </cell>
        </row>
      </sheetData>
      <sheetData sheetId="7732">
        <row r="1">
          <cell r="A1" t="str">
            <v>1월 생산실적</v>
          </cell>
        </row>
      </sheetData>
      <sheetData sheetId="7733">
        <row r="1">
          <cell r="A1" t="str">
            <v>1월 생산실적</v>
          </cell>
        </row>
      </sheetData>
      <sheetData sheetId="7734">
        <row r="1">
          <cell r="A1" t="str">
            <v>1월 생산실적</v>
          </cell>
        </row>
      </sheetData>
      <sheetData sheetId="7735">
        <row r="1">
          <cell r="A1" t="str">
            <v>1월 생산실적</v>
          </cell>
        </row>
      </sheetData>
      <sheetData sheetId="7736">
        <row r="1">
          <cell r="A1" t="str">
            <v>1월 생산실적</v>
          </cell>
        </row>
      </sheetData>
      <sheetData sheetId="7737">
        <row r="1">
          <cell r="A1" t="str">
            <v>1월 생산실적</v>
          </cell>
        </row>
      </sheetData>
      <sheetData sheetId="7738">
        <row r="1">
          <cell r="A1" t="str">
            <v>1월 생산실적</v>
          </cell>
        </row>
      </sheetData>
      <sheetData sheetId="7739">
        <row r="1">
          <cell r="A1" t="str">
            <v>1월 생산실적</v>
          </cell>
        </row>
      </sheetData>
      <sheetData sheetId="7740">
        <row r="1">
          <cell r="A1" t="str">
            <v>1월 생산실적</v>
          </cell>
        </row>
      </sheetData>
      <sheetData sheetId="7741">
        <row r="1">
          <cell r="A1" t="str">
            <v>1월 생산실적</v>
          </cell>
        </row>
      </sheetData>
      <sheetData sheetId="7742">
        <row r="1">
          <cell r="A1" t="str">
            <v>1월 생산실적</v>
          </cell>
        </row>
      </sheetData>
      <sheetData sheetId="7743">
        <row r="1">
          <cell r="A1" t="str">
            <v>1월 생산실적</v>
          </cell>
        </row>
      </sheetData>
      <sheetData sheetId="7744">
        <row r="1">
          <cell r="A1" t="str">
            <v>1월 생산실적</v>
          </cell>
        </row>
      </sheetData>
      <sheetData sheetId="7745">
        <row r="1">
          <cell r="A1" t="str">
            <v>1월 생산실적</v>
          </cell>
        </row>
      </sheetData>
      <sheetData sheetId="7746">
        <row r="1">
          <cell r="A1" t="str">
            <v>1월 생산실적</v>
          </cell>
        </row>
      </sheetData>
      <sheetData sheetId="7747">
        <row r="1">
          <cell r="A1" t="str">
            <v>1월 생산실적</v>
          </cell>
        </row>
      </sheetData>
      <sheetData sheetId="7748">
        <row r="1">
          <cell r="A1" t="str">
            <v>1월 생산실적</v>
          </cell>
        </row>
      </sheetData>
      <sheetData sheetId="7749">
        <row r="1">
          <cell r="A1" t="str">
            <v>1월 생산실적</v>
          </cell>
        </row>
      </sheetData>
      <sheetData sheetId="7750">
        <row r="1">
          <cell r="A1" t="str">
            <v>1월 생산실적</v>
          </cell>
        </row>
      </sheetData>
      <sheetData sheetId="7751">
        <row r="1">
          <cell r="A1" t="str">
            <v>1월 생산실적</v>
          </cell>
        </row>
      </sheetData>
      <sheetData sheetId="7752">
        <row r="1">
          <cell r="A1" t="str">
            <v>1월 생산실적</v>
          </cell>
        </row>
      </sheetData>
      <sheetData sheetId="7753">
        <row r="1">
          <cell r="A1" t="str">
            <v>1월 생산실적</v>
          </cell>
        </row>
      </sheetData>
      <sheetData sheetId="7754">
        <row r="1">
          <cell r="A1" t="str">
            <v>1월 생산실적</v>
          </cell>
        </row>
      </sheetData>
      <sheetData sheetId="7755">
        <row r="1">
          <cell r="A1" t="str">
            <v>1월 생산실적</v>
          </cell>
        </row>
      </sheetData>
      <sheetData sheetId="7756">
        <row r="1">
          <cell r="A1" t="str">
            <v>1월 생산실적</v>
          </cell>
        </row>
      </sheetData>
      <sheetData sheetId="7757">
        <row r="1">
          <cell r="A1" t="str">
            <v>1월 생산실적</v>
          </cell>
        </row>
      </sheetData>
      <sheetData sheetId="7758">
        <row r="1">
          <cell r="A1" t="str">
            <v>1월 생산실적</v>
          </cell>
        </row>
      </sheetData>
      <sheetData sheetId="7759">
        <row r="1">
          <cell r="A1" t="str">
            <v>1월 생산실적</v>
          </cell>
        </row>
      </sheetData>
      <sheetData sheetId="7760">
        <row r="1">
          <cell r="A1" t="str">
            <v>1월 생산실적</v>
          </cell>
        </row>
      </sheetData>
      <sheetData sheetId="7761">
        <row r="1">
          <cell r="A1" t="str">
            <v>1월 생산실적</v>
          </cell>
        </row>
      </sheetData>
      <sheetData sheetId="7762">
        <row r="1">
          <cell r="A1" t="str">
            <v>1월 생산실적</v>
          </cell>
        </row>
      </sheetData>
      <sheetData sheetId="7763">
        <row r="1">
          <cell r="A1" t="str">
            <v>1월 생산실적</v>
          </cell>
        </row>
      </sheetData>
      <sheetData sheetId="7764">
        <row r="1">
          <cell r="A1" t="str">
            <v>1월 생산실적</v>
          </cell>
        </row>
      </sheetData>
      <sheetData sheetId="7765">
        <row r="1">
          <cell r="A1" t="str">
            <v>1월 생산실적</v>
          </cell>
        </row>
      </sheetData>
      <sheetData sheetId="7766">
        <row r="1">
          <cell r="A1" t="str">
            <v>1월 생산실적</v>
          </cell>
        </row>
      </sheetData>
      <sheetData sheetId="7767">
        <row r="1">
          <cell r="A1" t="str">
            <v>1월 생산실적</v>
          </cell>
        </row>
      </sheetData>
      <sheetData sheetId="7768">
        <row r="1">
          <cell r="A1" t="str">
            <v>1월 생산실적</v>
          </cell>
        </row>
      </sheetData>
      <sheetData sheetId="7769">
        <row r="1">
          <cell r="A1" t="str">
            <v>1월 생산실적</v>
          </cell>
        </row>
      </sheetData>
      <sheetData sheetId="7770">
        <row r="1">
          <cell r="A1" t="str">
            <v>1월 생산실적</v>
          </cell>
        </row>
      </sheetData>
      <sheetData sheetId="7771">
        <row r="1">
          <cell r="A1" t="str">
            <v>1월 생산실적</v>
          </cell>
        </row>
      </sheetData>
      <sheetData sheetId="7772">
        <row r="1">
          <cell r="A1" t="str">
            <v>1월 생산실적</v>
          </cell>
        </row>
      </sheetData>
      <sheetData sheetId="7773">
        <row r="1">
          <cell r="A1" t="str">
            <v>1월 생산실적</v>
          </cell>
        </row>
      </sheetData>
      <sheetData sheetId="7774">
        <row r="1">
          <cell r="A1" t="str">
            <v>1월 생산실적</v>
          </cell>
        </row>
      </sheetData>
      <sheetData sheetId="7775">
        <row r="1">
          <cell r="A1" t="str">
            <v>1월 생산실적</v>
          </cell>
        </row>
      </sheetData>
      <sheetData sheetId="7776">
        <row r="1">
          <cell r="A1" t="str">
            <v>1월 생산실적</v>
          </cell>
        </row>
      </sheetData>
      <sheetData sheetId="7777">
        <row r="1">
          <cell r="A1" t="str">
            <v>1월 생산실적</v>
          </cell>
        </row>
      </sheetData>
      <sheetData sheetId="7778">
        <row r="1">
          <cell r="A1" t="str">
            <v>1월 생산실적</v>
          </cell>
        </row>
      </sheetData>
      <sheetData sheetId="7779">
        <row r="1">
          <cell r="A1" t="str">
            <v>1월 생산실적</v>
          </cell>
        </row>
      </sheetData>
      <sheetData sheetId="7780">
        <row r="1">
          <cell r="A1" t="str">
            <v>1월 생산실적</v>
          </cell>
        </row>
      </sheetData>
      <sheetData sheetId="7781">
        <row r="1">
          <cell r="A1" t="str">
            <v>1월 생산실적</v>
          </cell>
        </row>
      </sheetData>
      <sheetData sheetId="7782">
        <row r="1">
          <cell r="A1" t="str">
            <v>1월 생산실적</v>
          </cell>
        </row>
      </sheetData>
      <sheetData sheetId="7783">
        <row r="1">
          <cell r="A1" t="str">
            <v>1월 생산실적</v>
          </cell>
        </row>
      </sheetData>
      <sheetData sheetId="7784">
        <row r="1">
          <cell r="A1" t="str">
            <v>1월 생산실적</v>
          </cell>
        </row>
      </sheetData>
      <sheetData sheetId="7785">
        <row r="1">
          <cell r="A1" t="str">
            <v>1월 생산실적</v>
          </cell>
        </row>
      </sheetData>
      <sheetData sheetId="7786">
        <row r="1">
          <cell r="A1" t="str">
            <v>1월 생산실적</v>
          </cell>
        </row>
      </sheetData>
      <sheetData sheetId="7787">
        <row r="1">
          <cell r="A1" t="str">
            <v>1월 생산실적</v>
          </cell>
        </row>
      </sheetData>
      <sheetData sheetId="7788">
        <row r="1">
          <cell r="A1" t="str">
            <v>1월 생산실적</v>
          </cell>
        </row>
      </sheetData>
      <sheetData sheetId="7789">
        <row r="1">
          <cell r="A1" t="str">
            <v>1월 생산실적</v>
          </cell>
        </row>
      </sheetData>
      <sheetData sheetId="7790">
        <row r="1">
          <cell r="A1" t="str">
            <v>1월 생산실적</v>
          </cell>
        </row>
      </sheetData>
      <sheetData sheetId="7791">
        <row r="1">
          <cell r="A1" t="str">
            <v>1월 생산실적</v>
          </cell>
        </row>
      </sheetData>
      <sheetData sheetId="7792">
        <row r="1">
          <cell r="A1" t="str">
            <v>1월 생산실적</v>
          </cell>
        </row>
      </sheetData>
      <sheetData sheetId="7793">
        <row r="1">
          <cell r="A1" t="str">
            <v>1월 생산실적</v>
          </cell>
        </row>
      </sheetData>
      <sheetData sheetId="7794">
        <row r="1">
          <cell r="A1" t="str">
            <v>1월 생산실적</v>
          </cell>
        </row>
      </sheetData>
      <sheetData sheetId="7795">
        <row r="1">
          <cell r="A1" t="str">
            <v>1월 생산실적</v>
          </cell>
        </row>
      </sheetData>
      <sheetData sheetId="7796">
        <row r="1">
          <cell r="A1" t="str">
            <v>1월 생산실적</v>
          </cell>
        </row>
      </sheetData>
      <sheetData sheetId="7797">
        <row r="1">
          <cell r="A1" t="str">
            <v>1월 생산실적</v>
          </cell>
        </row>
      </sheetData>
      <sheetData sheetId="7798">
        <row r="1">
          <cell r="A1" t="str">
            <v>1월 생산실적</v>
          </cell>
        </row>
      </sheetData>
      <sheetData sheetId="7799">
        <row r="1">
          <cell r="A1" t="str">
            <v>1월 생산실적</v>
          </cell>
        </row>
      </sheetData>
      <sheetData sheetId="7800">
        <row r="1">
          <cell r="A1" t="str">
            <v>1월 생산실적</v>
          </cell>
        </row>
      </sheetData>
      <sheetData sheetId="7801">
        <row r="1">
          <cell r="A1" t="str">
            <v>1월 생산실적</v>
          </cell>
        </row>
      </sheetData>
      <sheetData sheetId="7802">
        <row r="1">
          <cell r="A1" t="str">
            <v>1월 생산실적</v>
          </cell>
        </row>
      </sheetData>
      <sheetData sheetId="7803">
        <row r="1">
          <cell r="A1" t="str">
            <v>1월 생산실적</v>
          </cell>
        </row>
      </sheetData>
      <sheetData sheetId="7804">
        <row r="1">
          <cell r="A1" t="str">
            <v>1월 생산실적</v>
          </cell>
        </row>
      </sheetData>
      <sheetData sheetId="7805">
        <row r="1">
          <cell r="A1" t="str">
            <v>1월 생산실적</v>
          </cell>
        </row>
      </sheetData>
      <sheetData sheetId="7806">
        <row r="1">
          <cell r="A1" t="str">
            <v>1월 생산실적</v>
          </cell>
        </row>
      </sheetData>
      <sheetData sheetId="7807">
        <row r="1">
          <cell r="A1" t="str">
            <v>1월 생산실적</v>
          </cell>
        </row>
      </sheetData>
      <sheetData sheetId="7808">
        <row r="1">
          <cell r="A1" t="str">
            <v>1월 생산실적</v>
          </cell>
        </row>
      </sheetData>
      <sheetData sheetId="7809">
        <row r="1">
          <cell r="A1" t="str">
            <v>1월 생산실적</v>
          </cell>
        </row>
      </sheetData>
      <sheetData sheetId="7810">
        <row r="1">
          <cell r="A1" t="str">
            <v>1월 생산실적</v>
          </cell>
        </row>
      </sheetData>
      <sheetData sheetId="7811">
        <row r="1">
          <cell r="A1" t="str">
            <v>1월 생산실적</v>
          </cell>
        </row>
      </sheetData>
      <sheetData sheetId="7812">
        <row r="1">
          <cell r="A1" t="str">
            <v>1월 생산실적</v>
          </cell>
        </row>
      </sheetData>
      <sheetData sheetId="7813">
        <row r="1">
          <cell r="A1" t="str">
            <v>1월 생산실적</v>
          </cell>
        </row>
      </sheetData>
      <sheetData sheetId="7814">
        <row r="1">
          <cell r="A1" t="str">
            <v>1월 생산실적</v>
          </cell>
        </row>
      </sheetData>
      <sheetData sheetId="7815">
        <row r="1">
          <cell r="A1" t="str">
            <v>1월 생산실적</v>
          </cell>
        </row>
      </sheetData>
      <sheetData sheetId="7816">
        <row r="1">
          <cell r="A1" t="str">
            <v>1월 생산실적</v>
          </cell>
        </row>
      </sheetData>
      <sheetData sheetId="7817">
        <row r="1">
          <cell r="A1" t="str">
            <v>1월 생산실적</v>
          </cell>
        </row>
      </sheetData>
      <sheetData sheetId="7818">
        <row r="1">
          <cell r="A1" t="str">
            <v>1월 생산실적</v>
          </cell>
        </row>
      </sheetData>
      <sheetData sheetId="7819">
        <row r="1">
          <cell r="A1" t="str">
            <v>1월 생산실적</v>
          </cell>
        </row>
      </sheetData>
      <sheetData sheetId="7820">
        <row r="1">
          <cell r="A1" t="str">
            <v>1월 생산실적</v>
          </cell>
        </row>
      </sheetData>
      <sheetData sheetId="7821">
        <row r="1">
          <cell r="A1" t="str">
            <v>1월 생산실적</v>
          </cell>
        </row>
      </sheetData>
      <sheetData sheetId="7822">
        <row r="1">
          <cell r="A1" t="str">
            <v>1월 생산실적</v>
          </cell>
        </row>
      </sheetData>
      <sheetData sheetId="7823">
        <row r="1">
          <cell r="A1" t="str">
            <v>1월 생산실적</v>
          </cell>
        </row>
      </sheetData>
      <sheetData sheetId="7824">
        <row r="1">
          <cell r="A1" t="str">
            <v>1월 생산실적</v>
          </cell>
        </row>
      </sheetData>
      <sheetData sheetId="7825">
        <row r="1">
          <cell r="A1" t="str">
            <v>1월 생산실적</v>
          </cell>
        </row>
      </sheetData>
      <sheetData sheetId="7826">
        <row r="1">
          <cell r="A1" t="str">
            <v>1월 생산실적</v>
          </cell>
        </row>
      </sheetData>
      <sheetData sheetId="7827">
        <row r="1">
          <cell r="A1" t="str">
            <v>1월 생산실적</v>
          </cell>
        </row>
      </sheetData>
      <sheetData sheetId="7828">
        <row r="1">
          <cell r="A1" t="str">
            <v>1월 생산실적</v>
          </cell>
        </row>
      </sheetData>
      <sheetData sheetId="7829">
        <row r="1">
          <cell r="A1" t="str">
            <v>1월 생산실적</v>
          </cell>
        </row>
      </sheetData>
      <sheetData sheetId="7830">
        <row r="1">
          <cell r="A1" t="str">
            <v>1월 생산실적</v>
          </cell>
        </row>
      </sheetData>
      <sheetData sheetId="7831">
        <row r="1">
          <cell r="A1" t="str">
            <v>1월 생산실적</v>
          </cell>
        </row>
      </sheetData>
      <sheetData sheetId="7832">
        <row r="1">
          <cell r="A1" t="str">
            <v>1월 생산실적</v>
          </cell>
        </row>
      </sheetData>
      <sheetData sheetId="7833">
        <row r="1">
          <cell r="A1" t="str">
            <v>1월 생산실적</v>
          </cell>
        </row>
      </sheetData>
      <sheetData sheetId="7834">
        <row r="1">
          <cell r="A1" t="str">
            <v>1월 생산실적</v>
          </cell>
        </row>
      </sheetData>
      <sheetData sheetId="7835">
        <row r="1">
          <cell r="A1" t="str">
            <v>1월 생산실적</v>
          </cell>
        </row>
      </sheetData>
      <sheetData sheetId="7836">
        <row r="1">
          <cell r="A1" t="str">
            <v>1월 생산실적</v>
          </cell>
        </row>
      </sheetData>
      <sheetData sheetId="7837">
        <row r="1">
          <cell r="A1" t="str">
            <v>1월 생산실적</v>
          </cell>
        </row>
      </sheetData>
      <sheetData sheetId="7838">
        <row r="1">
          <cell r="A1" t="str">
            <v>1월 생산실적</v>
          </cell>
        </row>
      </sheetData>
      <sheetData sheetId="7839">
        <row r="1">
          <cell r="A1" t="str">
            <v>1월 생산실적</v>
          </cell>
        </row>
      </sheetData>
      <sheetData sheetId="7840">
        <row r="1">
          <cell r="A1" t="str">
            <v>1월 생산실적</v>
          </cell>
        </row>
      </sheetData>
      <sheetData sheetId="7841">
        <row r="1">
          <cell r="A1" t="str">
            <v>1월 생산실적</v>
          </cell>
        </row>
      </sheetData>
      <sheetData sheetId="7842">
        <row r="1">
          <cell r="A1" t="str">
            <v>1월 생산실적</v>
          </cell>
        </row>
      </sheetData>
      <sheetData sheetId="7843">
        <row r="1">
          <cell r="A1" t="str">
            <v>1월 생산실적</v>
          </cell>
        </row>
      </sheetData>
      <sheetData sheetId="7844">
        <row r="1">
          <cell r="A1" t="str">
            <v>1월 생산실적</v>
          </cell>
        </row>
      </sheetData>
      <sheetData sheetId="7845">
        <row r="1">
          <cell r="A1" t="str">
            <v>1월 생산실적</v>
          </cell>
        </row>
      </sheetData>
      <sheetData sheetId="7846">
        <row r="1">
          <cell r="A1" t="str">
            <v>1월 생산실적</v>
          </cell>
        </row>
      </sheetData>
      <sheetData sheetId="7847">
        <row r="1">
          <cell r="A1" t="str">
            <v>1월 생산실적</v>
          </cell>
        </row>
      </sheetData>
      <sheetData sheetId="7848">
        <row r="1">
          <cell r="A1" t="str">
            <v>1월 생산실적</v>
          </cell>
        </row>
      </sheetData>
      <sheetData sheetId="7849">
        <row r="1">
          <cell r="A1" t="str">
            <v>1월 생산실적</v>
          </cell>
        </row>
      </sheetData>
      <sheetData sheetId="7850">
        <row r="1">
          <cell r="A1" t="str">
            <v>1월 생산실적</v>
          </cell>
        </row>
      </sheetData>
      <sheetData sheetId="7851">
        <row r="1">
          <cell r="A1" t="str">
            <v>1월 생산실적</v>
          </cell>
        </row>
      </sheetData>
      <sheetData sheetId="7852">
        <row r="1">
          <cell r="A1" t="str">
            <v>1월 생산실적</v>
          </cell>
        </row>
      </sheetData>
      <sheetData sheetId="7853">
        <row r="1">
          <cell r="A1" t="str">
            <v>1월 생산실적</v>
          </cell>
        </row>
      </sheetData>
      <sheetData sheetId="7854">
        <row r="1">
          <cell r="A1" t="str">
            <v>1월 생산실적</v>
          </cell>
        </row>
      </sheetData>
      <sheetData sheetId="7855">
        <row r="1">
          <cell r="A1" t="str">
            <v>1월 생산실적</v>
          </cell>
        </row>
      </sheetData>
      <sheetData sheetId="7856">
        <row r="1">
          <cell r="A1" t="str">
            <v>1월 생산실적</v>
          </cell>
        </row>
      </sheetData>
      <sheetData sheetId="7857">
        <row r="1">
          <cell r="A1" t="str">
            <v>1월 생산실적</v>
          </cell>
        </row>
      </sheetData>
      <sheetData sheetId="7858">
        <row r="1">
          <cell r="A1" t="str">
            <v>1월 생산실적</v>
          </cell>
        </row>
      </sheetData>
      <sheetData sheetId="7859">
        <row r="1">
          <cell r="A1" t="str">
            <v>1월 생산실적</v>
          </cell>
        </row>
      </sheetData>
      <sheetData sheetId="7860">
        <row r="1">
          <cell r="A1" t="str">
            <v>1월 생산실적</v>
          </cell>
        </row>
      </sheetData>
      <sheetData sheetId="7861">
        <row r="1">
          <cell r="A1" t="str">
            <v>1월 생산실적</v>
          </cell>
        </row>
      </sheetData>
      <sheetData sheetId="7862">
        <row r="1">
          <cell r="A1" t="str">
            <v>1월 생산실적</v>
          </cell>
        </row>
      </sheetData>
      <sheetData sheetId="7863">
        <row r="1">
          <cell r="A1" t="str">
            <v>1월 생산실적</v>
          </cell>
        </row>
      </sheetData>
      <sheetData sheetId="7864">
        <row r="1">
          <cell r="A1" t="str">
            <v>1월 생산실적</v>
          </cell>
        </row>
      </sheetData>
      <sheetData sheetId="7865">
        <row r="1">
          <cell r="A1" t="str">
            <v>1월 생산실적</v>
          </cell>
        </row>
      </sheetData>
      <sheetData sheetId="7866">
        <row r="1">
          <cell r="A1" t="str">
            <v>1월 생산실적</v>
          </cell>
        </row>
      </sheetData>
      <sheetData sheetId="7867">
        <row r="1">
          <cell r="A1" t="str">
            <v>1월 생산실적</v>
          </cell>
        </row>
      </sheetData>
      <sheetData sheetId="7868">
        <row r="1">
          <cell r="A1" t="str">
            <v>1월 생산실적</v>
          </cell>
        </row>
      </sheetData>
      <sheetData sheetId="7869">
        <row r="1">
          <cell r="A1" t="str">
            <v>1월 생산실적</v>
          </cell>
        </row>
      </sheetData>
      <sheetData sheetId="7870">
        <row r="1">
          <cell r="A1" t="str">
            <v>1월 생산실적</v>
          </cell>
        </row>
      </sheetData>
      <sheetData sheetId="7871">
        <row r="1">
          <cell r="A1" t="str">
            <v>1월 생산실적</v>
          </cell>
        </row>
      </sheetData>
      <sheetData sheetId="7872">
        <row r="1">
          <cell r="A1" t="str">
            <v>1월 생산실적</v>
          </cell>
        </row>
      </sheetData>
      <sheetData sheetId="7873">
        <row r="1">
          <cell r="A1" t="str">
            <v>1월 생산실적</v>
          </cell>
        </row>
      </sheetData>
      <sheetData sheetId="7874">
        <row r="1">
          <cell r="A1" t="str">
            <v>1월 생산실적</v>
          </cell>
        </row>
      </sheetData>
      <sheetData sheetId="7875">
        <row r="1">
          <cell r="A1" t="str">
            <v>1월 생산실적</v>
          </cell>
        </row>
      </sheetData>
      <sheetData sheetId="7876">
        <row r="1">
          <cell r="A1" t="str">
            <v>1월 생산실적</v>
          </cell>
        </row>
      </sheetData>
      <sheetData sheetId="7877">
        <row r="1">
          <cell r="A1" t="str">
            <v>1월 생산실적</v>
          </cell>
        </row>
      </sheetData>
      <sheetData sheetId="7878">
        <row r="1">
          <cell r="A1" t="str">
            <v>1월 생산실적</v>
          </cell>
        </row>
      </sheetData>
      <sheetData sheetId="7879">
        <row r="1">
          <cell r="A1" t="str">
            <v>1월 생산실적</v>
          </cell>
        </row>
      </sheetData>
      <sheetData sheetId="7880">
        <row r="1">
          <cell r="A1" t="str">
            <v>1월 생산실적</v>
          </cell>
        </row>
      </sheetData>
      <sheetData sheetId="7881">
        <row r="1">
          <cell r="A1" t="str">
            <v>1월 생산실적</v>
          </cell>
        </row>
      </sheetData>
      <sheetData sheetId="7882">
        <row r="1">
          <cell r="A1" t="str">
            <v>1월 생산실적</v>
          </cell>
        </row>
      </sheetData>
      <sheetData sheetId="7883">
        <row r="1">
          <cell r="A1" t="str">
            <v>1월 생산실적</v>
          </cell>
        </row>
      </sheetData>
      <sheetData sheetId="7884">
        <row r="1">
          <cell r="A1" t="str">
            <v>1월 생산실적</v>
          </cell>
        </row>
      </sheetData>
      <sheetData sheetId="7885">
        <row r="1">
          <cell r="A1" t="str">
            <v>1월 생산실적</v>
          </cell>
        </row>
      </sheetData>
      <sheetData sheetId="7886">
        <row r="1">
          <cell r="A1" t="str">
            <v>1월 생산실적</v>
          </cell>
        </row>
      </sheetData>
      <sheetData sheetId="7887">
        <row r="1">
          <cell r="A1" t="str">
            <v>1월 생산실적</v>
          </cell>
        </row>
      </sheetData>
      <sheetData sheetId="7888">
        <row r="1">
          <cell r="A1" t="str">
            <v>1월 생산실적</v>
          </cell>
        </row>
      </sheetData>
      <sheetData sheetId="7889">
        <row r="1">
          <cell r="A1" t="str">
            <v>1월 생산실적</v>
          </cell>
        </row>
      </sheetData>
      <sheetData sheetId="7890">
        <row r="1">
          <cell r="A1" t="str">
            <v>1월 생산실적</v>
          </cell>
        </row>
      </sheetData>
      <sheetData sheetId="7891">
        <row r="1">
          <cell r="A1" t="str">
            <v>1월 생산실적</v>
          </cell>
        </row>
      </sheetData>
      <sheetData sheetId="7892">
        <row r="1">
          <cell r="A1" t="str">
            <v>1월 생산실적</v>
          </cell>
        </row>
      </sheetData>
      <sheetData sheetId="7893">
        <row r="1">
          <cell r="A1" t="str">
            <v>1월 생산실적</v>
          </cell>
        </row>
      </sheetData>
      <sheetData sheetId="7894">
        <row r="1">
          <cell r="A1" t="str">
            <v>1월 생산실적</v>
          </cell>
        </row>
      </sheetData>
      <sheetData sheetId="7895">
        <row r="1">
          <cell r="A1" t="str">
            <v>1월 생산실적</v>
          </cell>
        </row>
      </sheetData>
      <sheetData sheetId="7896">
        <row r="1">
          <cell r="A1" t="str">
            <v>1월 생산실적</v>
          </cell>
        </row>
      </sheetData>
      <sheetData sheetId="7897">
        <row r="1">
          <cell r="A1" t="str">
            <v>1월 생산실적</v>
          </cell>
        </row>
      </sheetData>
      <sheetData sheetId="7898">
        <row r="1">
          <cell r="A1" t="str">
            <v>1월 생산실적</v>
          </cell>
        </row>
      </sheetData>
      <sheetData sheetId="7899">
        <row r="1">
          <cell r="A1" t="str">
            <v>1월 생산실적</v>
          </cell>
        </row>
      </sheetData>
      <sheetData sheetId="7900">
        <row r="1">
          <cell r="A1" t="str">
            <v>1월 생산실적</v>
          </cell>
        </row>
      </sheetData>
      <sheetData sheetId="7901">
        <row r="1">
          <cell r="A1" t="str">
            <v>1월 생산실적</v>
          </cell>
        </row>
      </sheetData>
      <sheetData sheetId="7902">
        <row r="1">
          <cell r="A1" t="str">
            <v>1월 생산실적</v>
          </cell>
        </row>
      </sheetData>
      <sheetData sheetId="7903">
        <row r="1">
          <cell r="A1" t="str">
            <v>1월 생산실적</v>
          </cell>
        </row>
      </sheetData>
      <sheetData sheetId="7904">
        <row r="1">
          <cell r="A1" t="str">
            <v>1월 생산실적</v>
          </cell>
        </row>
      </sheetData>
      <sheetData sheetId="7905">
        <row r="1">
          <cell r="A1" t="str">
            <v>1월 생산실적</v>
          </cell>
        </row>
      </sheetData>
      <sheetData sheetId="7906">
        <row r="1">
          <cell r="A1" t="str">
            <v>1월 생산실적</v>
          </cell>
        </row>
      </sheetData>
      <sheetData sheetId="7907">
        <row r="1">
          <cell r="A1" t="str">
            <v>1월 생산실적</v>
          </cell>
        </row>
      </sheetData>
      <sheetData sheetId="7908">
        <row r="1">
          <cell r="A1" t="str">
            <v>1월 생산실적</v>
          </cell>
        </row>
      </sheetData>
      <sheetData sheetId="7909">
        <row r="1">
          <cell r="A1" t="str">
            <v>1월 생산실적</v>
          </cell>
        </row>
      </sheetData>
      <sheetData sheetId="7910">
        <row r="1">
          <cell r="A1" t="str">
            <v>1월 생산실적</v>
          </cell>
        </row>
      </sheetData>
      <sheetData sheetId="7911">
        <row r="1">
          <cell r="A1" t="str">
            <v>1월 생산실적</v>
          </cell>
        </row>
      </sheetData>
      <sheetData sheetId="7912">
        <row r="1">
          <cell r="A1" t="str">
            <v>1월 생산실적</v>
          </cell>
        </row>
      </sheetData>
      <sheetData sheetId="7913">
        <row r="1">
          <cell r="A1" t="str">
            <v>1월 생산실적</v>
          </cell>
        </row>
      </sheetData>
      <sheetData sheetId="7914">
        <row r="1">
          <cell r="A1" t="str">
            <v>1월 생산실적</v>
          </cell>
        </row>
      </sheetData>
      <sheetData sheetId="7915">
        <row r="1">
          <cell r="A1" t="str">
            <v>1월 생산실적</v>
          </cell>
        </row>
      </sheetData>
      <sheetData sheetId="7916">
        <row r="1">
          <cell r="A1" t="str">
            <v>1월 생산실적</v>
          </cell>
        </row>
      </sheetData>
      <sheetData sheetId="7917">
        <row r="1">
          <cell r="A1" t="str">
            <v>1월 생산실적</v>
          </cell>
        </row>
      </sheetData>
      <sheetData sheetId="7918">
        <row r="1">
          <cell r="A1" t="str">
            <v>1월 생산실적</v>
          </cell>
        </row>
      </sheetData>
      <sheetData sheetId="7919">
        <row r="1">
          <cell r="A1" t="str">
            <v>1월 생산실적</v>
          </cell>
        </row>
      </sheetData>
      <sheetData sheetId="7920">
        <row r="1">
          <cell r="A1" t="str">
            <v>1월 생산실적</v>
          </cell>
        </row>
      </sheetData>
      <sheetData sheetId="7921">
        <row r="1">
          <cell r="A1" t="str">
            <v>1월 생산실적</v>
          </cell>
        </row>
      </sheetData>
      <sheetData sheetId="7922">
        <row r="1">
          <cell r="A1" t="str">
            <v>1월 생산실적</v>
          </cell>
        </row>
      </sheetData>
      <sheetData sheetId="7923">
        <row r="1">
          <cell r="A1" t="str">
            <v>1월 생산실적</v>
          </cell>
        </row>
      </sheetData>
      <sheetData sheetId="7924">
        <row r="1">
          <cell r="A1" t="str">
            <v>1월 생산실적</v>
          </cell>
        </row>
      </sheetData>
      <sheetData sheetId="7925">
        <row r="1">
          <cell r="A1" t="str">
            <v>1월 생산실적</v>
          </cell>
        </row>
      </sheetData>
      <sheetData sheetId="7926">
        <row r="1">
          <cell r="A1" t="str">
            <v>1월 생산실적</v>
          </cell>
        </row>
      </sheetData>
      <sheetData sheetId="7927">
        <row r="1">
          <cell r="A1" t="str">
            <v>1월 생산실적</v>
          </cell>
        </row>
      </sheetData>
      <sheetData sheetId="7928">
        <row r="1">
          <cell r="A1" t="str">
            <v>1월 생산실적</v>
          </cell>
        </row>
      </sheetData>
      <sheetData sheetId="7929">
        <row r="1">
          <cell r="A1" t="str">
            <v>1월 생산실적</v>
          </cell>
        </row>
      </sheetData>
      <sheetData sheetId="7930">
        <row r="1">
          <cell r="A1" t="str">
            <v>1월 생산실적</v>
          </cell>
        </row>
      </sheetData>
      <sheetData sheetId="7931">
        <row r="1">
          <cell r="A1" t="str">
            <v>1월 생산실적</v>
          </cell>
        </row>
      </sheetData>
      <sheetData sheetId="7932">
        <row r="1">
          <cell r="A1" t="str">
            <v>1월 생산실적</v>
          </cell>
        </row>
      </sheetData>
      <sheetData sheetId="7933">
        <row r="1">
          <cell r="A1" t="str">
            <v>1월 생산실적</v>
          </cell>
        </row>
      </sheetData>
      <sheetData sheetId="7934">
        <row r="1">
          <cell r="A1" t="str">
            <v>1월 생산실적</v>
          </cell>
        </row>
      </sheetData>
      <sheetData sheetId="7935">
        <row r="1">
          <cell r="A1" t="str">
            <v>1월 생산실적</v>
          </cell>
        </row>
      </sheetData>
      <sheetData sheetId="7936">
        <row r="1">
          <cell r="A1" t="str">
            <v>1월 생산실적</v>
          </cell>
        </row>
      </sheetData>
      <sheetData sheetId="7937">
        <row r="1">
          <cell r="A1" t="str">
            <v>1월 생산실적</v>
          </cell>
        </row>
      </sheetData>
      <sheetData sheetId="7938">
        <row r="1">
          <cell r="A1" t="str">
            <v>1월 생산실적</v>
          </cell>
        </row>
      </sheetData>
      <sheetData sheetId="7939">
        <row r="1">
          <cell r="A1" t="str">
            <v>1월 생산실적</v>
          </cell>
        </row>
      </sheetData>
      <sheetData sheetId="7940">
        <row r="1">
          <cell r="A1" t="str">
            <v>1월 생산실적</v>
          </cell>
        </row>
      </sheetData>
      <sheetData sheetId="7941">
        <row r="1">
          <cell r="A1" t="str">
            <v>1월 생산실적</v>
          </cell>
        </row>
      </sheetData>
      <sheetData sheetId="7942">
        <row r="1">
          <cell r="A1" t="str">
            <v>1월 생산실적</v>
          </cell>
        </row>
      </sheetData>
      <sheetData sheetId="7943">
        <row r="1">
          <cell r="A1" t="str">
            <v>1월 생산실적</v>
          </cell>
        </row>
      </sheetData>
      <sheetData sheetId="7944">
        <row r="1">
          <cell r="A1" t="str">
            <v>1월 생산실적</v>
          </cell>
        </row>
      </sheetData>
      <sheetData sheetId="7945">
        <row r="1">
          <cell r="A1" t="str">
            <v>1월 생산실적</v>
          </cell>
        </row>
      </sheetData>
      <sheetData sheetId="7946">
        <row r="1">
          <cell r="A1" t="str">
            <v>1월 생산실적</v>
          </cell>
        </row>
      </sheetData>
      <sheetData sheetId="7947">
        <row r="1">
          <cell r="A1" t="str">
            <v>1월 생산실적</v>
          </cell>
        </row>
      </sheetData>
      <sheetData sheetId="7948">
        <row r="1">
          <cell r="A1" t="str">
            <v>1월 생산실적</v>
          </cell>
        </row>
      </sheetData>
      <sheetData sheetId="7949">
        <row r="1">
          <cell r="A1" t="str">
            <v>1월 생산실적</v>
          </cell>
        </row>
      </sheetData>
      <sheetData sheetId="7950">
        <row r="1">
          <cell r="A1" t="str">
            <v>1월 생산실적</v>
          </cell>
        </row>
      </sheetData>
      <sheetData sheetId="7951">
        <row r="1">
          <cell r="A1" t="str">
            <v>1월 생산실적</v>
          </cell>
        </row>
      </sheetData>
      <sheetData sheetId="7952">
        <row r="1">
          <cell r="A1" t="str">
            <v>1월 생산실적</v>
          </cell>
        </row>
      </sheetData>
      <sheetData sheetId="7953">
        <row r="1">
          <cell r="A1" t="str">
            <v>1월 생산실적</v>
          </cell>
        </row>
      </sheetData>
      <sheetData sheetId="7954">
        <row r="1">
          <cell r="A1" t="str">
            <v>1월 생산실적</v>
          </cell>
        </row>
      </sheetData>
      <sheetData sheetId="7955">
        <row r="1">
          <cell r="A1" t="str">
            <v>1월 생산실적</v>
          </cell>
        </row>
      </sheetData>
      <sheetData sheetId="7956">
        <row r="1">
          <cell r="A1" t="str">
            <v>1월 생산실적</v>
          </cell>
        </row>
      </sheetData>
      <sheetData sheetId="7957">
        <row r="1">
          <cell r="A1" t="str">
            <v>1월 생산실적</v>
          </cell>
        </row>
      </sheetData>
      <sheetData sheetId="7958">
        <row r="1">
          <cell r="A1" t="str">
            <v>1월 생산실적</v>
          </cell>
        </row>
      </sheetData>
      <sheetData sheetId="7959">
        <row r="1">
          <cell r="A1" t="str">
            <v>1월 생산실적</v>
          </cell>
        </row>
      </sheetData>
      <sheetData sheetId="7960">
        <row r="1">
          <cell r="A1" t="str">
            <v>1월 생산실적</v>
          </cell>
        </row>
      </sheetData>
      <sheetData sheetId="7961">
        <row r="1">
          <cell r="A1" t="str">
            <v>1월 생산실적</v>
          </cell>
        </row>
      </sheetData>
      <sheetData sheetId="7962">
        <row r="1">
          <cell r="A1" t="str">
            <v>1월 생산실적</v>
          </cell>
        </row>
      </sheetData>
      <sheetData sheetId="7963">
        <row r="1">
          <cell r="A1" t="str">
            <v>1월 생산실적</v>
          </cell>
        </row>
      </sheetData>
      <sheetData sheetId="7964">
        <row r="1">
          <cell r="A1" t="str">
            <v>1월 생산실적</v>
          </cell>
        </row>
      </sheetData>
      <sheetData sheetId="7965">
        <row r="1">
          <cell r="A1" t="str">
            <v>1월 생산실적</v>
          </cell>
        </row>
      </sheetData>
      <sheetData sheetId="7966">
        <row r="1">
          <cell r="A1" t="str">
            <v>1월 생산실적</v>
          </cell>
        </row>
      </sheetData>
      <sheetData sheetId="7967">
        <row r="1">
          <cell r="A1" t="str">
            <v>1월 생산실적</v>
          </cell>
        </row>
      </sheetData>
      <sheetData sheetId="7968">
        <row r="1">
          <cell r="A1" t="str">
            <v>1월 생산실적</v>
          </cell>
        </row>
      </sheetData>
      <sheetData sheetId="7969">
        <row r="1">
          <cell r="A1" t="str">
            <v>1월 생산실적</v>
          </cell>
        </row>
      </sheetData>
      <sheetData sheetId="7970">
        <row r="1">
          <cell r="A1" t="str">
            <v>1월 생산실적</v>
          </cell>
        </row>
      </sheetData>
      <sheetData sheetId="7971">
        <row r="1">
          <cell r="A1" t="str">
            <v>1월 생산실적</v>
          </cell>
        </row>
      </sheetData>
      <sheetData sheetId="7972">
        <row r="1">
          <cell r="A1" t="str">
            <v>1월 생산실적</v>
          </cell>
        </row>
      </sheetData>
      <sheetData sheetId="7973">
        <row r="1">
          <cell r="A1" t="str">
            <v>1월 생산실적</v>
          </cell>
        </row>
      </sheetData>
      <sheetData sheetId="7974">
        <row r="1">
          <cell r="A1" t="str">
            <v>1월 생산실적</v>
          </cell>
        </row>
      </sheetData>
      <sheetData sheetId="7975">
        <row r="1">
          <cell r="A1" t="str">
            <v>1월 생산실적</v>
          </cell>
        </row>
      </sheetData>
      <sheetData sheetId="7976">
        <row r="1">
          <cell r="A1" t="str">
            <v>1월 생산실적</v>
          </cell>
        </row>
      </sheetData>
      <sheetData sheetId="7977">
        <row r="1">
          <cell r="A1" t="str">
            <v>1월 생산실적</v>
          </cell>
        </row>
      </sheetData>
      <sheetData sheetId="7978">
        <row r="1">
          <cell r="A1" t="str">
            <v>1월 생산실적</v>
          </cell>
        </row>
      </sheetData>
      <sheetData sheetId="7979">
        <row r="1">
          <cell r="A1" t="str">
            <v>1월 생산실적</v>
          </cell>
        </row>
      </sheetData>
      <sheetData sheetId="7980">
        <row r="1">
          <cell r="A1" t="str">
            <v>1월 생산실적</v>
          </cell>
        </row>
      </sheetData>
      <sheetData sheetId="7981">
        <row r="1">
          <cell r="A1" t="str">
            <v>1월 생산실적</v>
          </cell>
        </row>
      </sheetData>
      <sheetData sheetId="7982">
        <row r="1">
          <cell r="A1" t="str">
            <v>1월 생산실적</v>
          </cell>
        </row>
      </sheetData>
      <sheetData sheetId="7983">
        <row r="1">
          <cell r="A1" t="str">
            <v>1월 생산실적</v>
          </cell>
        </row>
      </sheetData>
      <sheetData sheetId="7984">
        <row r="1">
          <cell r="A1" t="str">
            <v>1월 생산실적</v>
          </cell>
        </row>
      </sheetData>
      <sheetData sheetId="7985">
        <row r="1">
          <cell r="A1" t="str">
            <v>1월 생산실적</v>
          </cell>
        </row>
      </sheetData>
      <sheetData sheetId="7986">
        <row r="1">
          <cell r="A1" t="str">
            <v>1월 생산실적</v>
          </cell>
        </row>
      </sheetData>
      <sheetData sheetId="7987">
        <row r="1">
          <cell r="A1" t="str">
            <v>1월 생산실적</v>
          </cell>
        </row>
      </sheetData>
      <sheetData sheetId="7988">
        <row r="1">
          <cell r="A1" t="str">
            <v>1월 생산실적</v>
          </cell>
        </row>
      </sheetData>
      <sheetData sheetId="7989">
        <row r="1">
          <cell r="A1" t="str">
            <v>1월 생산실적</v>
          </cell>
        </row>
      </sheetData>
      <sheetData sheetId="7990">
        <row r="1">
          <cell r="A1" t="str">
            <v>1월 생산실적</v>
          </cell>
        </row>
      </sheetData>
      <sheetData sheetId="7991">
        <row r="1">
          <cell r="A1" t="str">
            <v>1월 생산실적</v>
          </cell>
        </row>
      </sheetData>
      <sheetData sheetId="7992">
        <row r="1">
          <cell r="A1" t="str">
            <v>1월 생산실적</v>
          </cell>
        </row>
      </sheetData>
      <sheetData sheetId="7993">
        <row r="1">
          <cell r="A1" t="str">
            <v>1월 생산실적</v>
          </cell>
        </row>
      </sheetData>
      <sheetData sheetId="7994">
        <row r="1">
          <cell r="A1" t="str">
            <v>1월 생산실적</v>
          </cell>
        </row>
      </sheetData>
      <sheetData sheetId="7995">
        <row r="1">
          <cell r="A1" t="str">
            <v>1월 생산실적</v>
          </cell>
        </row>
      </sheetData>
      <sheetData sheetId="7996">
        <row r="1">
          <cell r="A1" t="str">
            <v>1월 생산실적</v>
          </cell>
        </row>
      </sheetData>
      <sheetData sheetId="7997">
        <row r="1">
          <cell r="A1" t="str">
            <v>1월 생산실적</v>
          </cell>
        </row>
      </sheetData>
      <sheetData sheetId="7998">
        <row r="1">
          <cell r="A1" t="str">
            <v>1월 생산실적</v>
          </cell>
        </row>
      </sheetData>
      <sheetData sheetId="7999">
        <row r="1">
          <cell r="A1" t="str">
            <v>1월 생산실적</v>
          </cell>
        </row>
      </sheetData>
      <sheetData sheetId="8000">
        <row r="1">
          <cell r="A1" t="str">
            <v>1월 생산실적</v>
          </cell>
        </row>
      </sheetData>
      <sheetData sheetId="8001">
        <row r="1">
          <cell r="A1" t="str">
            <v>1월 생산실적</v>
          </cell>
        </row>
      </sheetData>
      <sheetData sheetId="8002">
        <row r="1">
          <cell r="A1" t="str">
            <v>1월 생산실적</v>
          </cell>
        </row>
      </sheetData>
      <sheetData sheetId="8003">
        <row r="1">
          <cell r="A1" t="str">
            <v>1월 생산실적</v>
          </cell>
        </row>
      </sheetData>
      <sheetData sheetId="8004">
        <row r="1">
          <cell r="A1" t="str">
            <v>1월 생산실적</v>
          </cell>
        </row>
      </sheetData>
      <sheetData sheetId="8005">
        <row r="1">
          <cell r="A1" t="str">
            <v>1월 생산실적</v>
          </cell>
        </row>
      </sheetData>
      <sheetData sheetId="8006">
        <row r="1">
          <cell r="A1" t="str">
            <v>1월 생산실적</v>
          </cell>
        </row>
      </sheetData>
      <sheetData sheetId="8007">
        <row r="1">
          <cell r="A1" t="str">
            <v>1월 생산실적</v>
          </cell>
        </row>
      </sheetData>
      <sheetData sheetId="8008">
        <row r="1">
          <cell r="A1" t="str">
            <v>1월 생산실적</v>
          </cell>
        </row>
      </sheetData>
      <sheetData sheetId="8009">
        <row r="1">
          <cell r="A1" t="str">
            <v>1월 생산실적</v>
          </cell>
        </row>
      </sheetData>
      <sheetData sheetId="8010">
        <row r="1">
          <cell r="A1" t="str">
            <v>1월 생산실적</v>
          </cell>
        </row>
      </sheetData>
      <sheetData sheetId="8011">
        <row r="1">
          <cell r="A1" t="str">
            <v>1월 생산실적</v>
          </cell>
        </row>
      </sheetData>
      <sheetData sheetId="8012">
        <row r="1">
          <cell r="A1" t="str">
            <v>1월 생산실적</v>
          </cell>
        </row>
      </sheetData>
      <sheetData sheetId="8013">
        <row r="1">
          <cell r="A1" t="str">
            <v>1월 생산실적</v>
          </cell>
        </row>
      </sheetData>
      <sheetData sheetId="8014">
        <row r="1">
          <cell r="A1" t="str">
            <v>1월 생산실적</v>
          </cell>
        </row>
      </sheetData>
      <sheetData sheetId="8015">
        <row r="1">
          <cell r="A1" t="str">
            <v>1월 생산실적</v>
          </cell>
        </row>
      </sheetData>
      <sheetData sheetId="8016">
        <row r="1">
          <cell r="A1" t="str">
            <v>1월 생산실적</v>
          </cell>
        </row>
      </sheetData>
      <sheetData sheetId="8017">
        <row r="1">
          <cell r="A1" t="str">
            <v>1월 생산실적</v>
          </cell>
        </row>
      </sheetData>
      <sheetData sheetId="8018">
        <row r="1">
          <cell r="A1" t="str">
            <v>1월 생산실적</v>
          </cell>
        </row>
      </sheetData>
      <sheetData sheetId="8019">
        <row r="1">
          <cell r="A1" t="str">
            <v>1월 생산실적</v>
          </cell>
        </row>
      </sheetData>
      <sheetData sheetId="8020">
        <row r="1">
          <cell r="A1" t="str">
            <v>1월 생산실적</v>
          </cell>
        </row>
      </sheetData>
      <sheetData sheetId="8021">
        <row r="1">
          <cell r="A1" t="str">
            <v>1월 생산실적</v>
          </cell>
        </row>
      </sheetData>
      <sheetData sheetId="8022">
        <row r="1">
          <cell r="A1" t="str">
            <v>1월 생산실적</v>
          </cell>
        </row>
      </sheetData>
      <sheetData sheetId="8023">
        <row r="1">
          <cell r="A1" t="str">
            <v>1월 생산실적</v>
          </cell>
        </row>
      </sheetData>
      <sheetData sheetId="8024">
        <row r="1">
          <cell r="A1" t="str">
            <v>1월 생산실적</v>
          </cell>
        </row>
      </sheetData>
      <sheetData sheetId="8025">
        <row r="1">
          <cell r="A1" t="str">
            <v>1월 생산실적</v>
          </cell>
        </row>
      </sheetData>
      <sheetData sheetId="8026">
        <row r="1">
          <cell r="A1" t="str">
            <v>1월 생산실적</v>
          </cell>
        </row>
      </sheetData>
      <sheetData sheetId="8027">
        <row r="1">
          <cell r="A1" t="str">
            <v>1월 생산실적</v>
          </cell>
        </row>
      </sheetData>
      <sheetData sheetId="8028">
        <row r="1">
          <cell r="A1" t="str">
            <v>1월 생산실적</v>
          </cell>
        </row>
      </sheetData>
      <sheetData sheetId="8029">
        <row r="1">
          <cell r="A1" t="str">
            <v>1월 생산실적</v>
          </cell>
        </row>
      </sheetData>
      <sheetData sheetId="8030">
        <row r="1">
          <cell r="A1" t="str">
            <v>1월 생산실적</v>
          </cell>
        </row>
      </sheetData>
      <sheetData sheetId="8031">
        <row r="1">
          <cell r="A1" t="str">
            <v>1월 생산실적</v>
          </cell>
        </row>
      </sheetData>
      <sheetData sheetId="8032">
        <row r="1">
          <cell r="A1" t="str">
            <v>1월 생산실적</v>
          </cell>
        </row>
      </sheetData>
      <sheetData sheetId="8033">
        <row r="1">
          <cell r="A1" t="str">
            <v>1월 생산실적</v>
          </cell>
        </row>
      </sheetData>
      <sheetData sheetId="8034">
        <row r="1">
          <cell r="A1" t="str">
            <v>1월 생산실적</v>
          </cell>
        </row>
      </sheetData>
      <sheetData sheetId="8035">
        <row r="1">
          <cell r="A1" t="str">
            <v>1월 생산실적</v>
          </cell>
        </row>
      </sheetData>
      <sheetData sheetId="8036">
        <row r="1">
          <cell r="A1" t="str">
            <v>1월 생산실적</v>
          </cell>
        </row>
      </sheetData>
      <sheetData sheetId="8037">
        <row r="1">
          <cell r="A1" t="str">
            <v>1월 생산실적</v>
          </cell>
        </row>
      </sheetData>
      <sheetData sheetId="8038">
        <row r="1">
          <cell r="A1" t="str">
            <v>1월 생산실적</v>
          </cell>
        </row>
      </sheetData>
      <sheetData sheetId="8039">
        <row r="1">
          <cell r="A1" t="str">
            <v>1월 생산실적</v>
          </cell>
        </row>
      </sheetData>
      <sheetData sheetId="8040">
        <row r="1">
          <cell r="A1" t="str">
            <v>1월 생산실적</v>
          </cell>
        </row>
      </sheetData>
      <sheetData sheetId="8041">
        <row r="1">
          <cell r="A1" t="str">
            <v>1월 생산실적</v>
          </cell>
        </row>
      </sheetData>
      <sheetData sheetId="8042">
        <row r="1">
          <cell r="A1" t="str">
            <v>1월 생산실적</v>
          </cell>
        </row>
      </sheetData>
      <sheetData sheetId="8043">
        <row r="1">
          <cell r="A1" t="str">
            <v>1월 생산실적</v>
          </cell>
        </row>
      </sheetData>
      <sheetData sheetId="8044">
        <row r="1">
          <cell r="A1" t="str">
            <v>1월 생산실적</v>
          </cell>
        </row>
      </sheetData>
      <sheetData sheetId="8045">
        <row r="1">
          <cell r="A1" t="str">
            <v>1월 생산실적</v>
          </cell>
        </row>
      </sheetData>
      <sheetData sheetId="8046">
        <row r="1">
          <cell r="A1" t="str">
            <v>1월 생산실적</v>
          </cell>
        </row>
      </sheetData>
      <sheetData sheetId="8047">
        <row r="1">
          <cell r="A1" t="str">
            <v>1월 생산실적</v>
          </cell>
        </row>
      </sheetData>
      <sheetData sheetId="8048">
        <row r="1">
          <cell r="A1" t="str">
            <v>1월 생산실적</v>
          </cell>
        </row>
      </sheetData>
      <sheetData sheetId="8049">
        <row r="1">
          <cell r="A1" t="str">
            <v>1월 생산실적</v>
          </cell>
        </row>
      </sheetData>
      <sheetData sheetId="8050">
        <row r="1">
          <cell r="A1" t="str">
            <v>1월 생산실적</v>
          </cell>
        </row>
      </sheetData>
      <sheetData sheetId="8051">
        <row r="1">
          <cell r="A1" t="str">
            <v>1월 생산실적</v>
          </cell>
        </row>
      </sheetData>
      <sheetData sheetId="8052">
        <row r="1">
          <cell r="A1" t="str">
            <v>1월 생산실적</v>
          </cell>
        </row>
      </sheetData>
      <sheetData sheetId="8053">
        <row r="1">
          <cell r="A1" t="str">
            <v>1월 생산실적</v>
          </cell>
        </row>
      </sheetData>
      <sheetData sheetId="8054">
        <row r="1">
          <cell r="A1" t="str">
            <v>1월 생산실적</v>
          </cell>
        </row>
      </sheetData>
      <sheetData sheetId="8055">
        <row r="1">
          <cell r="A1" t="str">
            <v>1월 생산실적</v>
          </cell>
        </row>
      </sheetData>
      <sheetData sheetId="8056">
        <row r="1">
          <cell r="A1" t="str">
            <v>1월 생산실적</v>
          </cell>
        </row>
      </sheetData>
      <sheetData sheetId="8057">
        <row r="1">
          <cell r="A1" t="str">
            <v>1월 생산실적</v>
          </cell>
        </row>
      </sheetData>
      <sheetData sheetId="8058">
        <row r="1">
          <cell r="A1" t="str">
            <v>1월 생산실적</v>
          </cell>
        </row>
      </sheetData>
      <sheetData sheetId="8059">
        <row r="1">
          <cell r="A1" t="str">
            <v>1월 생산실적</v>
          </cell>
        </row>
      </sheetData>
      <sheetData sheetId="8060">
        <row r="1">
          <cell r="A1" t="str">
            <v>1월 생산실적</v>
          </cell>
        </row>
      </sheetData>
      <sheetData sheetId="8061">
        <row r="1">
          <cell r="A1" t="str">
            <v>1월 생산실적</v>
          </cell>
        </row>
      </sheetData>
      <sheetData sheetId="8062">
        <row r="1">
          <cell r="A1" t="str">
            <v>1월 생산실적</v>
          </cell>
        </row>
      </sheetData>
      <sheetData sheetId="8063">
        <row r="1">
          <cell r="A1" t="str">
            <v>1월 생산실적</v>
          </cell>
        </row>
      </sheetData>
      <sheetData sheetId="8064">
        <row r="1">
          <cell r="A1" t="str">
            <v>1월 생산실적</v>
          </cell>
        </row>
      </sheetData>
      <sheetData sheetId="8065">
        <row r="1">
          <cell r="A1" t="str">
            <v>1월 생산실적</v>
          </cell>
        </row>
      </sheetData>
      <sheetData sheetId="8066">
        <row r="1">
          <cell r="A1" t="str">
            <v>1월 생산실적</v>
          </cell>
        </row>
      </sheetData>
      <sheetData sheetId="8067">
        <row r="1">
          <cell r="A1" t="str">
            <v>1월 생산실적</v>
          </cell>
        </row>
      </sheetData>
      <sheetData sheetId="8068">
        <row r="1">
          <cell r="A1" t="str">
            <v>1월 생산실적</v>
          </cell>
        </row>
      </sheetData>
      <sheetData sheetId="8069">
        <row r="1">
          <cell r="A1" t="str">
            <v>1월 생산실적</v>
          </cell>
        </row>
      </sheetData>
      <sheetData sheetId="8070">
        <row r="1">
          <cell r="A1" t="str">
            <v>1월 생산실적</v>
          </cell>
        </row>
      </sheetData>
      <sheetData sheetId="8071">
        <row r="1">
          <cell r="A1" t="str">
            <v>1월 생산실적</v>
          </cell>
        </row>
      </sheetData>
      <sheetData sheetId="8072">
        <row r="1">
          <cell r="A1" t="str">
            <v>1월 생산실적</v>
          </cell>
        </row>
      </sheetData>
      <sheetData sheetId="8073">
        <row r="1">
          <cell r="A1" t="str">
            <v>1월 생산실적</v>
          </cell>
        </row>
      </sheetData>
      <sheetData sheetId="8074">
        <row r="1">
          <cell r="A1" t="str">
            <v>1월 생산실적</v>
          </cell>
        </row>
      </sheetData>
      <sheetData sheetId="8075">
        <row r="1">
          <cell r="A1" t="str">
            <v>1월 생산실적</v>
          </cell>
        </row>
      </sheetData>
      <sheetData sheetId="8076">
        <row r="1">
          <cell r="A1" t="str">
            <v>1월 생산실적</v>
          </cell>
        </row>
      </sheetData>
      <sheetData sheetId="8077">
        <row r="1">
          <cell r="A1" t="str">
            <v>1월 생산실적</v>
          </cell>
        </row>
      </sheetData>
      <sheetData sheetId="8078">
        <row r="1">
          <cell r="A1" t="str">
            <v>1월 생산실적</v>
          </cell>
        </row>
      </sheetData>
      <sheetData sheetId="8079">
        <row r="1">
          <cell r="A1" t="str">
            <v>1월 생산실적</v>
          </cell>
        </row>
      </sheetData>
      <sheetData sheetId="8080">
        <row r="1">
          <cell r="A1" t="str">
            <v>1월 생산실적</v>
          </cell>
        </row>
      </sheetData>
      <sheetData sheetId="8081">
        <row r="1">
          <cell r="A1" t="str">
            <v>1월 생산실적</v>
          </cell>
        </row>
      </sheetData>
      <sheetData sheetId="8082">
        <row r="1">
          <cell r="A1" t="str">
            <v>1월 생산실적</v>
          </cell>
        </row>
      </sheetData>
      <sheetData sheetId="8083">
        <row r="1">
          <cell r="A1" t="str">
            <v>1월 생산실적</v>
          </cell>
        </row>
      </sheetData>
      <sheetData sheetId="8084">
        <row r="1">
          <cell r="A1" t="str">
            <v>1월 생산실적</v>
          </cell>
        </row>
      </sheetData>
      <sheetData sheetId="8085">
        <row r="1">
          <cell r="A1" t="str">
            <v>1월 생산실적</v>
          </cell>
        </row>
      </sheetData>
      <sheetData sheetId="8086">
        <row r="1">
          <cell r="A1" t="str">
            <v>1월 생산실적</v>
          </cell>
        </row>
      </sheetData>
      <sheetData sheetId="8087">
        <row r="1">
          <cell r="A1" t="str">
            <v>1월 생산실적</v>
          </cell>
        </row>
      </sheetData>
      <sheetData sheetId="8088">
        <row r="1">
          <cell r="A1" t="str">
            <v>1월 생산실적</v>
          </cell>
        </row>
      </sheetData>
      <sheetData sheetId="8089">
        <row r="1">
          <cell r="A1" t="str">
            <v>1월 생산실적</v>
          </cell>
        </row>
      </sheetData>
      <sheetData sheetId="8090">
        <row r="1">
          <cell r="A1" t="str">
            <v>1월 생산실적</v>
          </cell>
        </row>
      </sheetData>
      <sheetData sheetId="8091">
        <row r="1">
          <cell r="A1" t="str">
            <v>1월 생산실적</v>
          </cell>
        </row>
      </sheetData>
      <sheetData sheetId="8092">
        <row r="1">
          <cell r="A1" t="str">
            <v>1월 생산실적</v>
          </cell>
        </row>
      </sheetData>
      <sheetData sheetId="8093">
        <row r="1">
          <cell r="A1" t="str">
            <v>1월 생산실적</v>
          </cell>
        </row>
      </sheetData>
      <sheetData sheetId="8094">
        <row r="1">
          <cell r="A1" t="str">
            <v>1월 생산실적</v>
          </cell>
        </row>
      </sheetData>
      <sheetData sheetId="8095">
        <row r="1">
          <cell r="A1" t="str">
            <v>1월 생산실적</v>
          </cell>
        </row>
      </sheetData>
      <sheetData sheetId="8096">
        <row r="1">
          <cell r="A1" t="str">
            <v>1월 생산실적</v>
          </cell>
        </row>
      </sheetData>
      <sheetData sheetId="8097">
        <row r="1">
          <cell r="A1" t="str">
            <v>1월 생산실적</v>
          </cell>
        </row>
      </sheetData>
      <sheetData sheetId="8098">
        <row r="1">
          <cell r="A1" t="str">
            <v>1월 생산실적</v>
          </cell>
        </row>
      </sheetData>
      <sheetData sheetId="8099">
        <row r="1">
          <cell r="A1" t="str">
            <v>1월 생산실적</v>
          </cell>
        </row>
      </sheetData>
      <sheetData sheetId="8100">
        <row r="1">
          <cell r="A1" t="str">
            <v>1월 생산실적</v>
          </cell>
        </row>
      </sheetData>
      <sheetData sheetId="8101">
        <row r="1">
          <cell r="A1" t="str">
            <v>1월 생산실적</v>
          </cell>
        </row>
      </sheetData>
      <sheetData sheetId="8102">
        <row r="1">
          <cell r="A1" t="str">
            <v>1월 생산실적</v>
          </cell>
        </row>
      </sheetData>
      <sheetData sheetId="8103">
        <row r="1">
          <cell r="A1" t="str">
            <v>1월 생산실적</v>
          </cell>
        </row>
      </sheetData>
      <sheetData sheetId="8104">
        <row r="1">
          <cell r="A1" t="str">
            <v>1월 생산실적</v>
          </cell>
        </row>
      </sheetData>
      <sheetData sheetId="8105">
        <row r="1">
          <cell r="A1" t="str">
            <v>1월 생산실적</v>
          </cell>
        </row>
      </sheetData>
      <sheetData sheetId="8106">
        <row r="1">
          <cell r="A1" t="str">
            <v>1월 생산실적</v>
          </cell>
        </row>
      </sheetData>
      <sheetData sheetId="8107">
        <row r="1">
          <cell r="A1" t="str">
            <v>1월 생산실적</v>
          </cell>
        </row>
      </sheetData>
      <sheetData sheetId="8108">
        <row r="1">
          <cell r="A1" t="str">
            <v>1월 생산실적</v>
          </cell>
        </row>
      </sheetData>
      <sheetData sheetId="8109">
        <row r="1">
          <cell r="A1" t="str">
            <v>1월 생산실적</v>
          </cell>
        </row>
      </sheetData>
      <sheetData sheetId="8110">
        <row r="1">
          <cell r="A1" t="str">
            <v>1월 생산실적</v>
          </cell>
        </row>
      </sheetData>
      <sheetData sheetId="8111">
        <row r="1">
          <cell r="A1" t="str">
            <v>1월 생산실적</v>
          </cell>
        </row>
      </sheetData>
      <sheetData sheetId="8112">
        <row r="1">
          <cell r="A1" t="str">
            <v>1월 생산실적</v>
          </cell>
        </row>
      </sheetData>
      <sheetData sheetId="8113">
        <row r="1">
          <cell r="A1" t="str">
            <v>1월 생산실적</v>
          </cell>
        </row>
      </sheetData>
      <sheetData sheetId="8114">
        <row r="1">
          <cell r="A1" t="str">
            <v>1월 생산실적</v>
          </cell>
        </row>
      </sheetData>
      <sheetData sheetId="8115">
        <row r="1">
          <cell r="A1" t="str">
            <v>1월 생산실적</v>
          </cell>
        </row>
      </sheetData>
      <sheetData sheetId="8116">
        <row r="1">
          <cell r="A1" t="str">
            <v>1월 생산실적</v>
          </cell>
        </row>
      </sheetData>
      <sheetData sheetId="8117">
        <row r="1">
          <cell r="A1" t="str">
            <v>1월 생산실적</v>
          </cell>
        </row>
      </sheetData>
      <sheetData sheetId="8118">
        <row r="1">
          <cell r="A1" t="str">
            <v>1월 생산실적</v>
          </cell>
        </row>
      </sheetData>
      <sheetData sheetId="8119">
        <row r="1">
          <cell r="A1" t="str">
            <v>1월 생산실적</v>
          </cell>
        </row>
      </sheetData>
      <sheetData sheetId="8120">
        <row r="1">
          <cell r="A1" t="str">
            <v>1월 생산실적</v>
          </cell>
        </row>
      </sheetData>
      <sheetData sheetId="8121">
        <row r="1">
          <cell r="A1" t="str">
            <v>1월 생산실적</v>
          </cell>
        </row>
      </sheetData>
      <sheetData sheetId="8122">
        <row r="1">
          <cell r="A1" t="str">
            <v>1월 생산실적</v>
          </cell>
        </row>
      </sheetData>
      <sheetData sheetId="8123">
        <row r="1">
          <cell r="A1" t="str">
            <v>1월 생산실적</v>
          </cell>
        </row>
      </sheetData>
      <sheetData sheetId="8124">
        <row r="1">
          <cell r="A1" t="str">
            <v>1월 생산실적</v>
          </cell>
        </row>
      </sheetData>
      <sheetData sheetId="8125">
        <row r="1">
          <cell r="A1" t="str">
            <v>1월 생산실적</v>
          </cell>
        </row>
      </sheetData>
      <sheetData sheetId="8126">
        <row r="1">
          <cell r="A1" t="str">
            <v>1월 생산실적</v>
          </cell>
        </row>
      </sheetData>
      <sheetData sheetId="8127">
        <row r="1">
          <cell r="A1" t="str">
            <v>1월 생산실적</v>
          </cell>
        </row>
      </sheetData>
      <sheetData sheetId="8128">
        <row r="1">
          <cell r="A1" t="str">
            <v>1월 생산실적</v>
          </cell>
        </row>
      </sheetData>
      <sheetData sheetId="8129">
        <row r="1">
          <cell r="A1" t="str">
            <v>1월 생산실적</v>
          </cell>
        </row>
      </sheetData>
      <sheetData sheetId="8130">
        <row r="1">
          <cell r="A1" t="str">
            <v>1월 생산실적</v>
          </cell>
        </row>
      </sheetData>
      <sheetData sheetId="8131">
        <row r="1">
          <cell r="A1" t="str">
            <v>1월 생산실적</v>
          </cell>
        </row>
      </sheetData>
      <sheetData sheetId="8132">
        <row r="1">
          <cell r="A1" t="str">
            <v>1월 생산실적</v>
          </cell>
        </row>
      </sheetData>
      <sheetData sheetId="8133">
        <row r="1">
          <cell r="A1" t="str">
            <v>1월 생산실적</v>
          </cell>
        </row>
      </sheetData>
      <sheetData sheetId="8134">
        <row r="1">
          <cell r="A1" t="str">
            <v>1월 생산실적</v>
          </cell>
        </row>
      </sheetData>
      <sheetData sheetId="8135">
        <row r="1">
          <cell r="A1" t="str">
            <v>1월 생산실적</v>
          </cell>
        </row>
      </sheetData>
      <sheetData sheetId="8136">
        <row r="1">
          <cell r="A1" t="str">
            <v>1월 생산실적</v>
          </cell>
        </row>
      </sheetData>
      <sheetData sheetId="8137">
        <row r="1">
          <cell r="A1" t="str">
            <v>1월 생산실적</v>
          </cell>
        </row>
      </sheetData>
      <sheetData sheetId="8138">
        <row r="1">
          <cell r="A1" t="str">
            <v>1월 생산실적</v>
          </cell>
        </row>
      </sheetData>
      <sheetData sheetId="8139">
        <row r="1">
          <cell r="A1" t="str">
            <v>1월 생산실적</v>
          </cell>
        </row>
      </sheetData>
      <sheetData sheetId="8140">
        <row r="1">
          <cell r="A1" t="str">
            <v>1월 생산실적</v>
          </cell>
        </row>
      </sheetData>
      <sheetData sheetId="8141">
        <row r="1">
          <cell r="A1" t="str">
            <v>1월 생산실적</v>
          </cell>
        </row>
      </sheetData>
      <sheetData sheetId="8142">
        <row r="1">
          <cell r="A1" t="str">
            <v>1월 생산실적</v>
          </cell>
        </row>
      </sheetData>
      <sheetData sheetId="8143">
        <row r="1">
          <cell r="A1" t="str">
            <v>1월 생산실적</v>
          </cell>
        </row>
      </sheetData>
      <sheetData sheetId="8144">
        <row r="1">
          <cell r="A1" t="str">
            <v>1월 생산실적</v>
          </cell>
        </row>
      </sheetData>
      <sheetData sheetId="8145">
        <row r="1">
          <cell r="A1" t="str">
            <v>1월 생산실적</v>
          </cell>
        </row>
      </sheetData>
      <sheetData sheetId="8146">
        <row r="1">
          <cell r="A1" t="str">
            <v>1월 생산실적</v>
          </cell>
        </row>
      </sheetData>
      <sheetData sheetId="8147">
        <row r="1">
          <cell r="A1" t="str">
            <v>1월 생산실적</v>
          </cell>
        </row>
      </sheetData>
      <sheetData sheetId="8148">
        <row r="1">
          <cell r="A1" t="str">
            <v>1월 생산실적</v>
          </cell>
        </row>
      </sheetData>
      <sheetData sheetId="8149">
        <row r="1">
          <cell r="A1" t="str">
            <v>1월 생산실적</v>
          </cell>
        </row>
      </sheetData>
      <sheetData sheetId="8150">
        <row r="1">
          <cell r="A1" t="str">
            <v>1월 생산실적</v>
          </cell>
        </row>
      </sheetData>
      <sheetData sheetId="8151">
        <row r="1">
          <cell r="A1" t="str">
            <v>1월 생산실적</v>
          </cell>
        </row>
      </sheetData>
      <sheetData sheetId="8152">
        <row r="1">
          <cell r="A1" t="str">
            <v>1월 생산실적</v>
          </cell>
        </row>
      </sheetData>
      <sheetData sheetId="8153">
        <row r="1">
          <cell r="A1" t="str">
            <v>1월 생산실적</v>
          </cell>
        </row>
      </sheetData>
      <sheetData sheetId="8154">
        <row r="1">
          <cell r="A1" t="str">
            <v>1월 생산실적</v>
          </cell>
        </row>
      </sheetData>
      <sheetData sheetId="8155">
        <row r="1">
          <cell r="A1" t="str">
            <v>1월 생산실적</v>
          </cell>
        </row>
      </sheetData>
      <sheetData sheetId="8156">
        <row r="1">
          <cell r="A1" t="str">
            <v>1월 생산실적</v>
          </cell>
        </row>
      </sheetData>
      <sheetData sheetId="8157">
        <row r="1">
          <cell r="A1" t="str">
            <v>1월 생산실적</v>
          </cell>
        </row>
      </sheetData>
      <sheetData sheetId="8158">
        <row r="1">
          <cell r="A1" t="str">
            <v>1월 생산실적</v>
          </cell>
        </row>
      </sheetData>
      <sheetData sheetId="8159">
        <row r="1">
          <cell r="A1" t="str">
            <v>1월 생산실적</v>
          </cell>
        </row>
      </sheetData>
      <sheetData sheetId="8160">
        <row r="1">
          <cell r="A1" t="str">
            <v>1월 생산실적</v>
          </cell>
        </row>
      </sheetData>
      <sheetData sheetId="8161">
        <row r="1">
          <cell r="A1" t="str">
            <v>1월 생산실적</v>
          </cell>
        </row>
      </sheetData>
      <sheetData sheetId="8162">
        <row r="1">
          <cell r="A1" t="str">
            <v>1월 생산실적</v>
          </cell>
        </row>
      </sheetData>
      <sheetData sheetId="8163">
        <row r="1">
          <cell r="A1" t="str">
            <v>1월 생산실적</v>
          </cell>
        </row>
      </sheetData>
      <sheetData sheetId="8164">
        <row r="1">
          <cell r="A1" t="str">
            <v>1월 생산실적</v>
          </cell>
        </row>
      </sheetData>
      <sheetData sheetId="8165">
        <row r="1">
          <cell r="A1" t="str">
            <v>1월 생산실적</v>
          </cell>
        </row>
      </sheetData>
      <sheetData sheetId="8166">
        <row r="1">
          <cell r="A1" t="str">
            <v>1월 생산실적</v>
          </cell>
        </row>
      </sheetData>
      <sheetData sheetId="8167">
        <row r="1">
          <cell r="A1" t="str">
            <v>1월 생산실적</v>
          </cell>
        </row>
      </sheetData>
      <sheetData sheetId="8168">
        <row r="1">
          <cell r="A1" t="str">
            <v>1월 생산실적</v>
          </cell>
        </row>
      </sheetData>
      <sheetData sheetId="8169">
        <row r="1">
          <cell r="A1" t="str">
            <v>1월 생산실적</v>
          </cell>
        </row>
      </sheetData>
      <sheetData sheetId="8170">
        <row r="1">
          <cell r="A1" t="str">
            <v>1월 생산실적</v>
          </cell>
        </row>
      </sheetData>
      <sheetData sheetId="8171">
        <row r="1">
          <cell r="A1" t="str">
            <v>1월 생산실적</v>
          </cell>
        </row>
      </sheetData>
      <sheetData sheetId="8172">
        <row r="1">
          <cell r="A1" t="str">
            <v>1월 생산실적</v>
          </cell>
        </row>
      </sheetData>
      <sheetData sheetId="8173">
        <row r="1">
          <cell r="A1" t="str">
            <v>1월 생산실적</v>
          </cell>
        </row>
      </sheetData>
      <sheetData sheetId="8174">
        <row r="1">
          <cell r="A1" t="str">
            <v>1월 생산실적</v>
          </cell>
        </row>
      </sheetData>
      <sheetData sheetId="8175">
        <row r="1">
          <cell r="A1" t="str">
            <v>1월 생산실적</v>
          </cell>
        </row>
      </sheetData>
      <sheetData sheetId="8176">
        <row r="1">
          <cell r="A1" t="str">
            <v>1월 생산실적</v>
          </cell>
        </row>
      </sheetData>
      <sheetData sheetId="8177">
        <row r="1">
          <cell r="A1" t="str">
            <v>1월 생산실적</v>
          </cell>
        </row>
      </sheetData>
      <sheetData sheetId="8178">
        <row r="1">
          <cell r="A1" t="str">
            <v>1월 생산실적</v>
          </cell>
        </row>
      </sheetData>
      <sheetData sheetId="8179">
        <row r="1">
          <cell r="A1" t="str">
            <v>1월 생산실적</v>
          </cell>
        </row>
      </sheetData>
      <sheetData sheetId="8180">
        <row r="1">
          <cell r="A1" t="str">
            <v>1월 생산실적</v>
          </cell>
        </row>
      </sheetData>
      <sheetData sheetId="8181">
        <row r="1">
          <cell r="A1" t="str">
            <v>1월 생산실적</v>
          </cell>
        </row>
      </sheetData>
      <sheetData sheetId="8182">
        <row r="1">
          <cell r="A1" t="str">
            <v>1월 생산실적</v>
          </cell>
        </row>
      </sheetData>
      <sheetData sheetId="8183">
        <row r="1">
          <cell r="A1" t="str">
            <v>1월 생산실적</v>
          </cell>
        </row>
      </sheetData>
      <sheetData sheetId="8184">
        <row r="1">
          <cell r="A1" t="str">
            <v>1월 생산실적</v>
          </cell>
        </row>
      </sheetData>
      <sheetData sheetId="8185">
        <row r="1">
          <cell r="A1" t="str">
            <v>1월 생산실적</v>
          </cell>
        </row>
      </sheetData>
      <sheetData sheetId="8186">
        <row r="1">
          <cell r="A1" t="str">
            <v>1월 생산실적</v>
          </cell>
        </row>
      </sheetData>
      <sheetData sheetId="8187">
        <row r="1">
          <cell r="A1" t="str">
            <v>1월 생산실적</v>
          </cell>
        </row>
      </sheetData>
      <sheetData sheetId="8188">
        <row r="1">
          <cell r="A1" t="str">
            <v>1월 생산실적</v>
          </cell>
        </row>
      </sheetData>
      <sheetData sheetId="8189">
        <row r="1">
          <cell r="A1" t="str">
            <v>1월 생산실적</v>
          </cell>
        </row>
      </sheetData>
      <sheetData sheetId="8190">
        <row r="1">
          <cell r="A1" t="str">
            <v>1월 생산실적</v>
          </cell>
        </row>
      </sheetData>
      <sheetData sheetId="8191">
        <row r="1">
          <cell r="A1" t="str">
            <v>1월 생산실적</v>
          </cell>
        </row>
      </sheetData>
      <sheetData sheetId="8192">
        <row r="1">
          <cell r="A1" t="str">
            <v>1월 생산실적</v>
          </cell>
        </row>
      </sheetData>
      <sheetData sheetId="8193">
        <row r="1">
          <cell r="A1" t="str">
            <v>1월 생산실적</v>
          </cell>
        </row>
      </sheetData>
      <sheetData sheetId="8194">
        <row r="1">
          <cell r="A1" t="str">
            <v>1월 생산실적</v>
          </cell>
        </row>
      </sheetData>
      <sheetData sheetId="8195">
        <row r="1">
          <cell r="A1" t="str">
            <v>1월 생산실적</v>
          </cell>
        </row>
      </sheetData>
      <sheetData sheetId="8196">
        <row r="1">
          <cell r="A1" t="str">
            <v>1월 생산실적</v>
          </cell>
        </row>
      </sheetData>
      <sheetData sheetId="8197">
        <row r="1">
          <cell r="A1" t="str">
            <v>1월 생산실적</v>
          </cell>
        </row>
      </sheetData>
      <sheetData sheetId="8198">
        <row r="1">
          <cell r="A1" t="str">
            <v>1월 생산실적</v>
          </cell>
        </row>
      </sheetData>
      <sheetData sheetId="8199">
        <row r="1">
          <cell r="A1" t="str">
            <v>1월 생산실적</v>
          </cell>
        </row>
      </sheetData>
      <sheetData sheetId="8200">
        <row r="1">
          <cell r="A1" t="str">
            <v>1월 생산실적</v>
          </cell>
        </row>
      </sheetData>
      <sheetData sheetId="8201">
        <row r="1">
          <cell r="A1" t="str">
            <v>1월 생산실적</v>
          </cell>
        </row>
      </sheetData>
      <sheetData sheetId="8202">
        <row r="1">
          <cell r="A1" t="str">
            <v>1월 생산실적</v>
          </cell>
        </row>
      </sheetData>
      <sheetData sheetId="8203">
        <row r="1">
          <cell r="A1" t="str">
            <v>1월 생산실적</v>
          </cell>
        </row>
      </sheetData>
      <sheetData sheetId="8204">
        <row r="1">
          <cell r="A1" t="str">
            <v>1월 생산실적</v>
          </cell>
        </row>
      </sheetData>
      <sheetData sheetId="8205">
        <row r="1">
          <cell r="A1" t="str">
            <v>1월 생산실적</v>
          </cell>
        </row>
      </sheetData>
      <sheetData sheetId="8206">
        <row r="1">
          <cell r="A1" t="str">
            <v>1월 생산실적</v>
          </cell>
        </row>
      </sheetData>
      <sheetData sheetId="8207">
        <row r="1">
          <cell r="A1" t="str">
            <v>1월 생산실적</v>
          </cell>
        </row>
      </sheetData>
      <sheetData sheetId="8208">
        <row r="1">
          <cell r="A1" t="str">
            <v>1월 생산실적</v>
          </cell>
        </row>
      </sheetData>
      <sheetData sheetId="8209">
        <row r="1">
          <cell r="A1" t="str">
            <v>1월 생산실적</v>
          </cell>
        </row>
      </sheetData>
      <sheetData sheetId="8210">
        <row r="1">
          <cell r="A1" t="str">
            <v>1월 생산실적</v>
          </cell>
        </row>
      </sheetData>
      <sheetData sheetId="8211">
        <row r="1">
          <cell r="A1" t="str">
            <v>1월 생산실적</v>
          </cell>
        </row>
      </sheetData>
      <sheetData sheetId="8212">
        <row r="1">
          <cell r="A1" t="str">
            <v>1월 생산실적</v>
          </cell>
        </row>
      </sheetData>
      <sheetData sheetId="8213">
        <row r="1">
          <cell r="A1" t="str">
            <v>1월 생산실적</v>
          </cell>
        </row>
      </sheetData>
      <sheetData sheetId="8214">
        <row r="1">
          <cell r="A1" t="str">
            <v>1월 생산실적</v>
          </cell>
        </row>
      </sheetData>
      <sheetData sheetId="8215">
        <row r="1">
          <cell r="A1" t="str">
            <v>1월 생산실적</v>
          </cell>
        </row>
      </sheetData>
      <sheetData sheetId="8216">
        <row r="1">
          <cell r="A1" t="str">
            <v>1월 생산실적</v>
          </cell>
        </row>
      </sheetData>
      <sheetData sheetId="8217">
        <row r="1">
          <cell r="A1" t="str">
            <v>1월 생산실적</v>
          </cell>
        </row>
      </sheetData>
      <sheetData sheetId="8218">
        <row r="1">
          <cell r="A1" t="str">
            <v>1월 생산실적</v>
          </cell>
        </row>
      </sheetData>
      <sheetData sheetId="8219">
        <row r="1">
          <cell r="A1" t="str">
            <v>1월 생산실적</v>
          </cell>
        </row>
      </sheetData>
      <sheetData sheetId="8220">
        <row r="1">
          <cell r="A1" t="str">
            <v>1월 생산실적</v>
          </cell>
        </row>
      </sheetData>
      <sheetData sheetId="8221">
        <row r="1">
          <cell r="A1" t="str">
            <v>1월 생산실적</v>
          </cell>
        </row>
      </sheetData>
      <sheetData sheetId="8222">
        <row r="1">
          <cell r="A1" t="str">
            <v>1월 생산실적</v>
          </cell>
        </row>
      </sheetData>
      <sheetData sheetId="8223">
        <row r="1">
          <cell r="A1" t="str">
            <v>1월 생산실적</v>
          </cell>
        </row>
      </sheetData>
      <sheetData sheetId="8224">
        <row r="1">
          <cell r="A1" t="str">
            <v>1월 생산실적</v>
          </cell>
        </row>
      </sheetData>
      <sheetData sheetId="8225">
        <row r="1">
          <cell r="A1" t="str">
            <v>1월 생산실적</v>
          </cell>
        </row>
      </sheetData>
      <sheetData sheetId="8226">
        <row r="1">
          <cell r="A1" t="str">
            <v>1월 생산실적</v>
          </cell>
        </row>
      </sheetData>
      <sheetData sheetId="8227">
        <row r="1">
          <cell r="A1" t="str">
            <v>1월 생산실적</v>
          </cell>
        </row>
      </sheetData>
      <sheetData sheetId="8228">
        <row r="1">
          <cell r="A1" t="str">
            <v>1월 생산실적</v>
          </cell>
        </row>
      </sheetData>
      <sheetData sheetId="8229">
        <row r="1">
          <cell r="A1" t="str">
            <v>1월 생산실적</v>
          </cell>
        </row>
      </sheetData>
      <sheetData sheetId="8230">
        <row r="1">
          <cell r="A1" t="str">
            <v>1월 생산실적</v>
          </cell>
        </row>
      </sheetData>
      <sheetData sheetId="8231">
        <row r="1">
          <cell r="A1" t="str">
            <v>1월 생산실적</v>
          </cell>
        </row>
      </sheetData>
      <sheetData sheetId="8232">
        <row r="1">
          <cell r="A1" t="str">
            <v>1월 생산실적</v>
          </cell>
        </row>
      </sheetData>
      <sheetData sheetId="8233">
        <row r="1">
          <cell r="A1" t="str">
            <v>1월 생산실적</v>
          </cell>
        </row>
      </sheetData>
      <sheetData sheetId="8234">
        <row r="1">
          <cell r="A1" t="str">
            <v>1월 생산실적</v>
          </cell>
        </row>
      </sheetData>
      <sheetData sheetId="8235">
        <row r="1">
          <cell r="A1" t="str">
            <v>1월 생산실적</v>
          </cell>
        </row>
      </sheetData>
      <sheetData sheetId="8236">
        <row r="1">
          <cell r="A1" t="str">
            <v>1월 생산실적</v>
          </cell>
        </row>
      </sheetData>
      <sheetData sheetId="8237">
        <row r="1">
          <cell r="A1" t="str">
            <v>1월 생산실적</v>
          </cell>
        </row>
      </sheetData>
      <sheetData sheetId="8238">
        <row r="1">
          <cell r="A1" t="str">
            <v>1월 생산실적</v>
          </cell>
        </row>
      </sheetData>
      <sheetData sheetId="8239">
        <row r="1">
          <cell r="A1" t="str">
            <v>1월 생산실적</v>
          </cell>
        </row>
      </sheetData>
      <sheetData sheetId="8240">
        <row r="1">
          <cell r="A1" t="str">
            <v>1월 생산실적</v>
          </cell>
        </row>
      </sheetData>
      <sheetData sheetId="8241">
        <row r="1">
          <cell r="A1" t="str">
            <v>1월 생산실적</v>
          </cell>
        </row>
      </sheetData>
      <sheetData sheetId="8242">
        <row r="1">
          <cell r="A1" t="str">
            <v>1월 생산실적</v>
          </cell>
        </row>
      </sheetData>
      <sheetData sheetId="8243">
        <row r="1">
          <cell r="A1" t="str">
            <v>1월 생산실적</v>
          </cell>
        </row>
      </sheetData>
      <sheetData sheetId="8244">
        <row r="1">
          <cell r="A1" t="str">
            <v>1월 생산실적</v>
          </cell>
        </row>
      </sheetData>
      <sheetData sheetId="8245">
        <row r="1">
          <cell r="A1" t="str">
            <v>1월 생산실적</v>
          </cell>
        </row>
      </sheetData>
      <sheetData sheetId="8246">
        <row r="1">
          <cell r="A1" t="str">
            <v>1월 생산실적</v>
          </cell>
        </row>
      </sheetData>
      <sheetData sheetId="8247">
        <row r="1">
          <cell r="A1" t="str">
            <v>1월 생산실적</v>
          </cell>
        </row>
      </sheetData>
      <sheetData sheetId="8248">
        <row r="1">
          <cell r="A1" t="str">
            <v>1월 생산실적</v>
          </cell>
        </row>
      </sheetData>
      <sheetData sheetId="8249">
        <row r="1">
          <cell r="A1" t="str">
            <v>1월 생산실적</v>
          </cell>
        </row>
      </sheetData>
      <sheetData sheetId="8250">
        <row r="1">
          <cell r="A1" t="str">
            <v>1월 생산실적</v>
          </cell>
        </row>
      </sheetData>
      <sheetData sheetId="8251">
        <row r="1">
          <cell r="A1" t="str">
            <v>1월 생산실적</v>
          </cell>
        </row>
      </sheetData>
      <sheetData sheetId="8252">
        <row r="1">
          <cell r="A1" t="str">
            <v>1월 생산실적</v>
          </cell>
        </row>
      </sheetData>
      <sheetData sheetId="8253">
        <row r="1">
          <cell r="A1" t="str">
            <v>1월 생산실적</v>
          </cell>
        </row>
      </sheetData>
      <sheetData sheetId="8254">
        <row r="1">
          <cell r="A1" t="str">
            <v>1월 생산실적</v>
          </cell>
        </row>
      </sheetData>
      <sheetData sheetId="8255">
        <row r="1">
          <cell r="A1" t="str">
            <v>1월 생산실적</v>
          </cell>
        </row>
      </sheetData>
      <sheetData sheetId="8256">
        <row r="1">
          <cell r="A1" t="str">
            <v>1월 생산실적</v>
          </cell>
        </row>
      </sheetData>
      <sheetData sheetId="8257">
        <row r="1">
          <cell r="A1" t="str">
            <v>1월 생산실적</v>
          </cell>
        </row>
      </sheetData>
      <sheetData sheetId="8258">
        <row r="1">
          <cell r="A1" t="str">
            <v>1월 생산실적</v>
          </cell>
        </row>
      </sheetData>
      <sheetData sheetId="8259">
        <row r="1">
          <cell r="A1" t="str">
            <v>1월 생산실적</v>
          </cell>
        </row>
      </sheetData>
      <sheetData sheetId="8260">
        <row r="1">
          <cell r="A1" t="str">
            <v>1월 생산실적</v>
          </cell>
        </row>
      </sheetData>
      <sheetData sheetId="8261">
        <row r="1">
          <cell r="A1" t="str">
            <v>1월 생산실적</v>
          </cell>
        </row>
      </sheetData>
      <sheetData sheetId="8262">
        <row r="1">
          <cell r="A1" t="str">
            <v>1월 생산실적</v>
          </cell>
        </row>
      </sheetData>
      <sheetData sheetId="8263">
        <row r="1">
          <cell r="A1" t="str">
            <v>1월 생산실적</v>
          </cell>
        </row>
      </sheetData>
      <sheetData sheetId="8264">
        <row r="1">
          <cell r="A1" t="str">
            <v>1월 생산실적</v>
          </cell>
        </row>
      </sheetData>
      <sheetData sheetId="8265">
        <row r="1">
          <cell r="A1" t="str">
            <v>1월 생산실적</v>
          </cell>
        </row>
      </sheetData>
      <sheetData sheetId="8266">
        <row r="1">
          <cell r="A1" t="str">
            <v>1월 생산실적</v>
          </cell>
        </row>
      </sheetData>
      <sheetData sheetId="8267">
        <row r="1">
          <cell r="A1" t="str">
            <v>1월 생산실적</v>
          </cell>
        </row>
      </sheetData>
      <sheetData sheetId="8268">
        <row r="1">
          <cell r="A1" t="str">
            <v>1월 생산실적</v>
          </cell>
        </row>
      </sheetData>
      <sheetData sheetId="8269">
        <row r="1">
          <cell r="A1" t="str">
            <v>1월 생산실적</v>
          </cell>
        </row>
      </sheetData>
      <sheetData sheetId="8270">
        <row r="1">
          <cell r="A1" t="str">
            <v>1월 생산실적</v>
          </cell>
        </row>
      </sheetData>
      <sheetData sheetId="8271">
        <row r="1">
          <cell r="A1" t="str">
            <v>1월 생산실적</v>
          </cell>
        </row>
      </sheetData>
      <sheetData sheetId="8272">
        <row r="1">
          <cell r="A1" t="str">
            <v>1월 생산실적</v>
          </cell>
        </row>
      </sheetData>
      <sheetData sheetId="8273">
        <row r="1">
          <cell r="A1" t="str">
            <v>1월 생산실적</v>
          </cell>
        </row>
      </sheetData>
      <sheetData sheetId="8274">
        <row r="1">
          <cell r="A1" t="str">
            <v>1월 생산실적</v>
          </cell>
        </row>
      </sheetData>
      <sheetData sheetId="8275">
        <row r="1">
          <cell r="A1" t="str">
            <v>1월 생산실적</v>
          </cell>
        </row>
      </sheetData>
      <sheetData sheetId="8276">
        <row r="1">
          <cell r="A1" t="str">
            <v>1월 생산실적</v>
          </cell>
        </row>
      </sheetData>
      <sheetData sheetId="8277">
        <row r="1">
          <cell r="A1" t="str">
            <v>1월 생산실적</v>
          </cell>
        </row>
      </sheetData>
      <sheetData sheetId="8278">
        <row r="1">
          <cell r="A1" t="str">
            <v>1월 생산실적</v>
          </cell>
        </row>
      </sheetData>
      <sheetData sheetId="8279">
        <row r="1">
          <cell r="A1" t="str">
            <v>1월 생산실적</v>
          </cell>
        </row>
      </sheetData>
      <sheetData sheetId="8280">
        <row r="1">
          <cell r="A1" t="str">
            <v>1월 생산실적</v>
          </cell>
        </row>
      </sheetData>
      <sheetData sheetId="8281">
        <row r="1">
          <cell r="A1" t="str">
            <v>1월 생산실적</v>
          </cell>
        </row>
      </sheetData>
      <sheetData sheetId="8282">
        <row r="1">
          <cell r="A1" t="str">
            <v>1월 생산실적</v>
          </cell>
        </row>
      </sheetData>
      <sheetData sheetId="8283">
        <row r="1">
          <cell r="A1" t="str">
            <v>1월 생산실적</v>
          </cell>
        </row>
      </sheetData>
      <sheetData sheetId="8284">
        <row r="1">
          <cell r="A1" t="str">
            <v>1월 생산실적</v>
          </cell>
        </row>
      </sheetData>
      <sheetData sheetId="8285">
        <row r="1">
          <cell r="A1" t="str">
            <v>1월 생산실적</v>
          </cell>
        </row>
      </sheetData>
      <sheetData sheetId="8286">
        <row r="1">
          <cell r="A1" t="str">
            <v>1월 생산실적</v>
          </cell>
        </row>
      </sheetData>
      <sheetData sheetId="8287">
        <row r="1">
          <cell r="A1" t="str">
            <v>1월 생산실적</v>
          </cell>
        </row>
      </sheetData>
      <sheetData sheetId="8288">
        <row r="1">
          <cell r="A1" t="str">
            <v>1월 생산실적</v>
          </cell>
        </row>
      </sheetData>
      <sheetData sheetId="8289">
        <row r="1">
          <cell r="A1" t="str">
            <v>1월 생산실적</v>
          </cell>
        </row>
      </sheetData>
      <sheetData sheetId="8290">
        <row r="1">
          <cell r="A1" t="str">
            <v>1월 생산실적</v>
          </cell>
        </row>
      </sheetData>
      <sheetData sheetId="8291">
        <row r="1">
          <cell r="A1" t="str">
            <v>1월 생산실적</v>
          </cell>
        </row>
      </sheetData>
      <sheetData sheetId="8292">
        <row r="1">
          <cell r="A1" t="str">
            <v>1월 생산실적</v>
          </cell>
        </row>
      </sheetData>
      <sheetData sheetId="8293">
        <row r="1">
          <cell r="A1" t="str">
            <v>1월 생산실적</v>
          </cell>
        </row>
      </sheetData>
      <sheetData sheetId="8294">
        <row r="1">
          <cell r="A1" t="str">
            <v>1월 생산실적</v>
          </cell>
        </row>
      </sheetData>
      <sheetData sheetId="8295">
        <row r="1">
          <cell r="A1" t="str">
            <v>1월 생산실적</v>
          </cell>
        </row>
      </sheetData>
      <sheetData sheetId="8296">
        <row r="1">
          <cell r="A1" t="str">
            <v>1월 생산실적</v>
          </cell>
        </row>
      </sheetData>
      <sheetData sheetId="8297">
        <row r="1">
          <cell r="A1" t="str">
            <v>1월 생산실적</v>
          </cell>
        </row>
      </sheetData>
      <sheetData sheetId="8298">
        <row r="1">
          <cell r="A1" t="str">
            <v>1월 생산실적</v>
          </cell>
        </row>
      </sheetData>
      <sheetData sheetId="8299">
        <row r="1">
          <cell r="A1" t="str">
            <v>1월 생산실적</v>
          </cell>
        </row>
      </sheetData>
      <sheetData sheetId="8300">
        <row r="1">
          <cell r="A1" t="str">
            <v>1월 생산실적</v>
          </cell>
        </row>
      </sheetData>
      <sheetData sheetId="8301">
        <row r="1">
          <cell r="A1" t="str">
            <v>1월 생산실적</v>
          </cell>
        </row>
      </sheetData>
      <sheetData sheetId="8302">
        <row r="1">
          <cell r="A1" t="str">
            <v>1월 생산실적</v>
          </cell>
        </row>
      </sheetData>
      <sheetData sheetId="8303">
        <row r="1">
          <cell r="A1" t="str">
            <v>1월 생산실적</v>
          </cell>
        </row>
      </sheetData>
      <sheetData sheetId="8304">
        <row r="1">
          <cell r="A1" t="str">
            <v>1월 생산실적</v>
          </cell>
        </row>
      </sheetData>
      <sheetData sheetId="8305">
        <row r="1">
          <cell r="A1" t="str">
            <v>1월 생산실적</v>
          </cell>
        </row>
      </sheetData>
      <sheetData sheetId="8306">
        <row r="1">
          <cell r="A1" t="str">
            <v>1월 생산실적</v>
          </cell>
        </row>
      </sheetData>
      <sheetData sheetId="8307">
        <row r="1">
          <cell r="A1" t="str">
            <v>1월 생산실적</v>
          </cell>
        </row>
      </sheetData>
      <sheetData sheetId="8308">
        <row r="1">
          <cell r="A1" t="str">
            <v>1월 생산실적</v>
          </cell>
        </row>
      </sheetData>
      <sheetData sheetId="8309">
        <row r="1">
          <cell r="A1" t="str">
            <v>1월 생산실적</v>
          </cell>
        </row>
      </sheetData>
      <sheetData sheetId="8310">
        <row r="1">
          <cell r="A1" t="str">
            <v>1월 생산실적</v>
          </cell>
        </row>
      </sheetData>
      <sheetData sheetId="8311">
        <row r="1">
          <cell r="A1" t="str">
            <v>1월 생산실적</v>
          </cell>
        </row>
      </sheetData>
      <sheetData sheetId="8312">
        <row r="1">
          <cell r="A1" t="str">
            <v>1월 생산실적</v>
          </cell>
        </row>
      </sheetData>
      <sheetData sheetId="8313">
        <row r="1">
          <cell r="A1" t="str">
            <v>1월 생산실적</v>
          </cell>
        </row>
      </sheetData>
      <sheetData sheetId="8314">
        <row r="1">
          <cell r="A1" t="str">
            <v>1월 생산실적</v>
          </cell>
        </row>
      </sheetData>
      <sheetData sheetId="8315">
        <row r="1">
          <cell r="A1" t="str">
            <v>1월 생산실적</v>
          </cell>
        </row>
      </sheetData>
      <sheetData sheetId="8316">
        <row r="1">
          <cell r="A1" t="str">
            <v>1월 생산실적</v>
          </cell>
        </row>
      </sheetData>
      <sheetData sheetId="8317">
        <row r="1">
          <cell r="A1" t="str">
            <v>1월 생산실적</v>
          </cell>
        </row>
      </sheetData>
      <sheetData sheetId="8318">
        <row r="1">
          <cell r="A1" t="str">
            <v>1월 생산실적</v>
          </cell>
        </row>
      </sheetData>
      <sheetData sheetId="8319">
        <row r="1">
          <cell r="A1" t="str">
            <v>1월 생산실적</v>
          </cell>
        </row>
      </sheetData>
      <sheetData sheetId="8320">
        <row r="1">
          <cell r="A1" t="str">
            <v>1월 생산실적</v>
          </cell>
        </row>
      </sheetData>
      <sheetData sheetId="8321">
        <row r="1">
          <cell r="A1" t="str">
            <v>1월 생산실적</v>
          </cell>
        </row>
      </sheetData>
      <sheetData sheetId="8322">
        <row r="1">
          <cell r="A1" t="str">
            <v>1월 생산실적</v>
          </cell>
        </row>
      </sheetData>
      <sheetData sheetId="8323">
        <row r="1">
          <cell r="A1" t="str">
            <v>1월 생산실적</v>
          </cell>
        </row>
      </sheetData>
      <sheetData sheetId="8324">
        <row r="1">
          <cell r="A1" t="str">
            <v>1월 생산실적</v>
          </cell>
        </row>
      </sheetData>
      <sheetData sheetId="8325">
        <row r="1">
          <cell r="A1" t="str">
            <v>1월 생산실적</v>
          </cell>
        </row>
      </sheetData>
      <sheetData sheetId="8326">
        <row r="1">
          <cell r="A1" t="str">
            <v>1월 생산실적</v>
          </cell>
        </row>
      </sheetData>
      <sheetData sheetId="8327">
        <row r="1">
          <cell r="A1" t="str">
            <v>1월 생산실적</v>
          </cell>
        </row>
      </sheetData>
      <sheetData sheetId="8328">
        <row r="1">
          <cell r="A1" t="str">
            <v>1월 생산실적</v>
          </cell>
        </row>
      </sheetData>
      <sheetData sheetId="8329">
        <row r="1">
          <cell r="A1" t="str">
            <v>1월 생산실적</v>
          </cell>
        </row>
      </sheetData>
      <sheetData sheetId="8330">
        <row r="1">
          <cell r="A1" t="str">
            <v>1월 생산실적</v>
          </cell>
        </row>
      </sheetData>
      <sheetData sheetId="8331">
        <row r="1">
          <cell r="A1" t="str">
            <v>1월 생산실적</v>
          </cell>
        </row>
      </sheetData>
      <sheetData sheetId="8332">
        <row r="1">
          <cell r="A1" t="str">
            <v>1월 생산실적</v>
          </cell>
        </row>
      </sheetData>
      <sheetData sheetId="8333">
        <row r="1">
          <cell r="A1" t="str">
            <v>1월 생산실적</v>
          </cell>
        </row>
      </sheetData>
      <sheetData sheetId="8334">
        <row r="1">
          <cell r="A1" t="str">
            <v>1월 생산실적</v>
          </cell>
        </row>
      </sheetData>
      <sheetData sheetId="8335">
        <row r="1">
          <cell r="A1" t="str">
            <v>1월 생산실적</v>
          </cell>
        </row>
      </sheetData>
      <sheetData sheetId="8336">
        <row r="1">
          <cell r="A1" t="str">
            <v>1월 생산실적</v>
          </cell>
        </row>
      </sheetData>
      <sheetData sheetId="8337">
        <row r="1">
          <cell r="A1" t="str">
            <v>1월 생산실적</v>
          </cell>
        </row>
      </sheetData>
      <sheetData sheetId="8338">
        <row r="1">
          <cell r="A1" t="str">
            <v>1월 생산실적</v>
          </cell>
        </row>
      </sheetData>
      <sheetData sheetId="8339">
        <row r="1">
          <cell r="A1" t="str">
            <v>1월 생산실적</v>
          </cell>
        </row>
      </sheetData>
      <sheetData sheetId="8340">
        <row r="1">
          <cell r="A1" t="str">
            <v>1월 생산실적</v>
          </cell>
        </row>
      </sheetData>
      <sheetData sheetId="8341">
        <row r="1">
          <cell r="A1" t="str">
            <v>1월 생산실적</v>
          </cell>
        </row>
      </sheetData>
      <sheetData sheetId="8342">
        <row r="1">
          <cell r="A1" t="str">
            <v>1월 생산실적</v>
          </cell>
        </row>
      </sheetData>
      <sheetData sheetId="8343">
        <row r="1">
          <cell r="A1" t="str">
            <v>1월 생산실적</v>
          </cell>
        </row>
      </sheetData>
      <sheetData sheetId="8344">
        <row r="1">
          <cell r="A1" t="str">
            <v>1월 생산실적</v>
          </cell>
        </row>
      </sheetData>
      <sheetData sheetId="8345">
        <row r="1">
          <cell r="A1" t="str">
            <v>1월 생산실적</v>
          </cell>
        </row>
      </sheetData>
      <sheetData sheetId="8346">
        <row r="1">
          <cell r="A1" t="str">
            <v>1월 생산실적</v>
          </cell>
        </row>
      </sheetData>
      <sheetData sheetId="8347">
        <row r="1">
          <cell r="A1" t="str">
            <v>1월 생산실적</v>
          </cell>
        </row>
      </sheetData>
      <sheetData sheetId="8348">
        <row r="1">
          <cell r="A1" t="str">
            <v>1월 생산실적</v>
          </cell>
        </row>
      </sheetData>
      <sheetData sheetId="8349">
        <row r="1">
          <cell r="A1" t="str">
            <v>1월 생산실적</v>
          </cell>
        </row>
      </sheetData>
      <sheetData sheetId="8350">
        <row r="1">
          <cell r="A1" t="str">
            <v>1월 생산실적</v>
          </cell>
        </row>
      </sheetData>
      <sheetData sheetId="8351">
        <row r="1">
          <cell r="A1" t="str">
            <v>1월 생산실적</v>
          </cell>
        </row>
      </sheetData>
      <sheetData sheetId="8352">
        <row r="1">
          <cell r="A1" t="str">
            <v>1월 생산실적</v>
          </cell>
        </row>
      </sheetData>
      <sheetData sheetId="8353">
        <row r="1">
          <cell r="A1" t="str">
            <v>1월 생산실적</v>
          </cell>
        </row>
      </sheetData>
      <sheetData sheetId="8354">
        <row r="1">
          <cell r="A1" t="str">
            <v>1월 생산실적</v>
          </cell>
        </row>
      </sheetData>
      <sheetData sheetId="8355">
        <row r="1">
          <cell r="A1" t="str">
            <v>1월 생산실적</v>
          </cell>
        </row>
      </sheetData>
      <sheetData sheetId="8356">
        <row r="1">
          <cell r="A1" t="str">
            <v>1월 생산실적</v>
          </cell>
        </row>
      </sheetData>
      <sheetData sheetId="8357">
        <row r="1">
          <cell r="A1" t="str">
            <v>1월 생산실적</v>
          </cell>
        </row>
      </sheetData>
      <sheetData sheetId="8358">
        <row r="1">
          <cell r="A1" t="str">
            <v>1월 생산실적</v>
          </cell>
        </row>
      </sheetData>
      <sheetData sheetId="8359">
        <row r="1">
          <cell r="A1" t="str">
            <v>1월 생산실적</v>
          </cell>
        </row>
      </sheetData>
      <sheetData sheetId="8360">
        <row r="1">
          <cell r="A1" t="str">
            <v>1월 생산실적</v>
          </cell>
        </row>
      </sheetData>
      <sheetData sheetId="8361">
        <row r="1">
          <cell r="A1" t="str">
            <v>1월 생산실적</v>
          </cell>
        </row>
      </sheetData>
      <sheetData sheetId="8362">
        <row r="1">
          <cell r="A1" t="str">
            <v>1월 생산실적</v>
          </cell>
        </row>
      </sheetData>
      <sheetData sheetId="8363">
        <row r="1">
          <cell r="A1" t="str">
            <v>1월 생산실적</v>
          </cell>
        </row>
      </sheetData>
      <sheetData sheetId="8364">
        <row r="1">
          <cell r="A1" t="str">
            <v>1월 생산실적</v>
          </cell>
        </row>
      </sheetData>
      <sheetData sheetId="8365">
        <row r="1">
          <cell r="A1" t="str">
            <v>1월 생산실적</v>
          </cell>
        </row>
      </sheetData>
      <sheetData sheetId="8366">
        <row r="1">
          <cell r="A1" t="str">
            <v>1월 생산실적</v>
          </cell>
        </row>
      </sheetData>
      <sheetData sheetId="8367">
        <row r="1">
          <cell r="A1" t="str">
            <v>1월 생산실적</v>
          </cell>
        </row>
      </sheetData>
      <sheetData sheetId="8368">
        <row r="1">
          <cell r="A1" t="str">
            <v>1월 생산실적</v>
          </cell>
        </row>
      </sheetData>
      <sheetData sheetId="8369">
        <row r="1">
          <cell r="A1" t="str">
            <v>1월 생산실적</v>
          </cell>
        </row>
      </sheetData>
      <sheetData sheetId="8370">
        <row r="1">
          <cell r="A1" t="str">
            <v>1월 생산실적</v>
          </cell>
        </row>
      </sheetData>
      <sheetData sheetId="8371">
        <row r="1">
          <cell r="A1" t="str">
            <v>1월 생산실적</v>
          </cell>
        </row>
      </sheetData>
      <sheetData sheetId="8372">
        <row r="1">
          <cell r="A1" t="str">
            <v>1월 생산실적</v>
          </cell>
        </row>
      </sheetData>
      <sheetData sheetId="8373">
        <row r="1">
          <cell r="A1" t="str">
            <v>1월 생산실적</v>
          </cell>
        </row>
      </sheetData>
      <sheetData sheetId="8374">
        <row r="1">
          <cell r="A1" t="str">
            <v>1월 생산실적</v>
          </cell>
        </row>
      </sheetData>
      <sheetData sheetId="8375">
        <row r="1">
          <cell r="A1" t="str">
            <v>1월 생산실적</v>
          </cell>
        </row>
      </sheetData>
      <sheetData sheetId="8376">
        <row r="1">
          <cell r="A1" t="str">
            <v>1월 생산실적</v>
          </cell>
        </row>
      </sheetData>
      <sheetData sheetId="8377">
        <row r="1">
          <cell r="A1" t="str">
            <v>1월 생산실적</v>
          </cell>
        </row>
      </sheetData>
      <sheetData sheetId="8378">
        <row r="1">
          <cell r="A1" t="str">
            <v>1월 생산실적</v>
          </cell>
        </row>
      </sheetData>
      <sheetData sheetId="8379">
        <row r="1">
          <cell r="A1" t="str">
            <v>1월 생산실적</v>
          </cell>
        </row>
      </sheetData>
      <sheetData sheetId="8380">
        <row r="1">
          <cell r="A1" t="str">
            <v>1월 생산실적</v>
          </cell>
        </row>
      </sheetData>
      <sheetData sheetId="8381">
        <row r="1">
          <cell r="A1" t="str">
            <v>1월 생산실적</v>
          </cell>
        </row>
      </sheetData>
      <sheetData sheetId="8382">
        <row r="1">
          <cell r="A1" t="str">
            <v>1월 생산실적</v>
          </cell>
        </row>
      </sheetData>
      <sheetData sheetId="8383">
        <row r="1">
          <cell r="A1" t="str">
            <v>1월 생산실적</v>
          </cell>
        </row>
      </sheetData>
      <sheetData sheetId="8384">
        <row r="1">
          <cell r="A1" t="str">
            <v>1월 생산실적</v>
          </cell>
        </row>
      </sheetData>
      <sheetData sheetId="8385">
        <row r="1">
          <cell r="A1" t="str">
            <v>1월 생산실적</v>
          </cell>
        </row>
      </sheetData>
      <sheetData sheetId="8386">
        <row r="1">
          <cell r="A1" t="str">
            <v>1월 생산실적</v>
          </cell>
        </row>
      </sheetData>
      <sheetData sheetId="8387">
        <row r="1">
          <cell r="A1" t="str">
            <v>1월 생산실적</v>
          </cell>
        </row>
      </sheetData>
      <sheetData sheetId="8388">
        <row r="1">
          <cell r="A1" t="str">
            <v>1월 생산실적</v>
          </cell>
        </row>
      </sheetData>
      <sheetData sheetId="8389">
        <row r="1">
          <cell r="A1" t="str">
            <v>1월 생산실적</v>
          </cell>
        </row>
      </sheetData>
      <sheetData sheetId="8390">
        <row r="1">
          <cell r="A1" t="str">
            <v>1월 생산실적</v>
          </cell>
        </row>
      </sheetData>
      <sheetData sheetId="8391">
        <row r="1">
          <cell r="A1" t="str">
            <v>1월 생산실적</v>
          </cell>
        </row>
      </sheetData>
      <sheetData sheetId="8392">
        <row r="1">
          <cell r="A1" t="str">
            <v>1월 생산실적</v>
          </cell>
        </row>
      </sheetData>
      <sheetData sheetId="8393">
        <row r="1">
          <cell r="A1" t="str">
            <v>1월 생산실적</v>
          </cell>
        </row>
      </sheetData>
      <sheetData sheetId="8394">
        <row r="1">
          <cell r="A1" t="str">
            <v>1월 생산실적</v>
          </cell>
        </row>
      </sheetData>
      <sheetData sheetId="8395">
        <row r="1">
          <cell r="A1" t="str">
            <v>1월 생산실적</v>
          </cell>
        </row>
      </sheetData>
      <sheetData sheetId="8396">
        <row r="1">
          <cell r="A1" t="str">
            <v>1월 생산실적</v>
          </cell>
        </row>
      </sheetData>
      <sheetData sheetId="8397">
        <row r="1">
          <cell r="A1" t="str">
            <v>1월 생산실적</v>
          </cell>
        </row>
      </sheetData>
      <sheetData sheetId="8398">
        <row r="1">
          <cell r="A1" t="str">
            <v>1월 생산실적</v>
          </cell>
        </row>
      </sheetData>
      <sheetData sheetId="8399">
        <row r="1">
          <cell r="A1" t="str">
            <v>1월 생산실적</v>
          </cell>
        </row>
      </sheetData>
      <sheetData sheetId="8400">
        <row r="1">
          <cell r="A1" t="str">
            <v>1월 생산실적</v>
          </cell>
        </row>
      </sheetData>
      <sheetData sheetId="8401">
        <row r="1">
          <cell r="A1" t="str">
            <v>1월 생산실적</v>
          </cell>
        </row>
      </sheetData>
      <sheetData sheetId="8402">
        <row r="1">
          <cell r="A1" t="str">
            <v>1월 생산실적</v>
          </cell>
        </row>
      </sheetData>
      <sheetData sheetId="8403">
        <row r="1">
          <cell r="A1" t="str">
            <v>1월 생산실적</v>
          </cell>
        </row>
      </sheetData>
      <sheetData sheetId="8404">
        <row r="1">
          <cell r="A1" t="str">
            <v>1월 생산실적</v>
          </cell>
        </row>
      </sheetData>
      <sheetData sheetId="8405">
        <row r="1">
          <cell r="A1" t="str">
            <v>1월 생산실적</v>
          </cell>
        </row>
      </sheetData>
      <sheetData sheetId="8406">
        <row r="1">
          <cell r="A1" t="str">
            <v>1월 생산실적</v>
          </cell>
        </row>
      </sheetData>
      <sheetData sheetId="8407">
        <row r="1">
          <cell r="A1" t="str">
            <v>1월 생산실적</v>
          </cell>
        </row>
      </sheetData>
      <sheetData sheetId="8408">
        <row r="1">
          <cell r="A1" t="str">
            <v>1월 생산실적</v>
          </cell>
        </row>
      </sheetData>
      <sheetData sheetId="8409">
        <row r="1">
          <cell r="A1" t="str">
            <v>1월 생산실적</v>
          </cell>
        </row>
      </sheetData>
      <sheetData sheetId="8410">
        <row r="1">
          <cell r="A1" t="str">
            <v>1월 생산실적</v>
          </cell>
        </row>
      </sheetData>
      <sheetData sheetId="8411">
        <row r="1">
          <cell r="A1" t="str">
            <v>1월 생산실적</v>
          </cell>
        </row>
      </sheetData>
      <sheetData sheetId="8412">
        <row r="1">
          <cell r="A1" t="str">
            <v>1월 생산실적</v>
          </cell>
        </row>
      </sheetData>
      <sheetData sheetId="8413">
        <row r="1">
          <cell r="A1" t="str">
            <v>1월 생산실적</v>
          </cell>
        </row>
      </sheetData>
      <sheetData sheetId="8414">
        <row r="1">
          <cell r="A1" t="str">
            <v>1월 생산실적</v>
          </cell>
        </row>
      </sheetData>
      <sheetData sheetId="8415">
        <row r="1">
          <cell r="A1" t="str">
            <v>1월 생산실적</v>
          </cell>
        </row>
      </sheetData>
      <sheetData sheetId="8416">
        <row r="1">
          <cell r="A1" t="str">
            <v>1월 생산실적</v>
          </cell>
        </row>
      </sheetData>
      <sheetData sheetId="8417">
        <row r="1">
          <cell r="A1" t="str">
            <v>1월 생산실적</v>
          </cell>
        </row>
      </sheetData>
      <sheetData sheetId="8418">
        <row r="1">
          <cell r="A1" t="str">
            <v>1월 생산실적</v>
          </cell>
        </row>
      </sheetData>
      <sheetData sheetId="8419">
        <row r="1">
          <cell r="A1" t="str">
            <v>1월 생산실적</v>
          </cell>
        </row>
      </sheetData>
      <sheetData sheetId="8420">
        <row r="1">
          <cell r="A1" t="str">
            <v>1월 생산실적</v>
          </cell>
        </row>
      </sheetData>
      <sheetData sheetId="8421">
        <row r="1">
          <cell r="A1" t="str">
            <v>1월 생산실적</v>
          </cell>
        </row>
      </sheetData>
      <sheetData sheetId="8422">
        <row r="1">
          <cell r="A1" t="str">
            <v>1월 생산실적</v>
          </cell>
        </row>
      </sheetData>
      <sheetData sheetId="8423">
        <row r="1">
          <cell r="A1" t="str">
            <v>1월 생산실적</v>
          </cell>
        </row>
      </sheetData>
      <sheetData sheetId="8424">
        <row r="1">
          <cell r="A1" t="str">
            <v>1월 생산실적</v>
          </cell>
        </row>
      </sheetData>
      <sheetData sheetId="8425">
        <row r="1">
          <cell r="A1" t="str">
            <v>1월 생산실적</v>
          </cell>
        </row>
      </sheetData>
      <sheetData sheetId="8426">
        <row r="1">
          <cell r="A1" t="str">
            <v>1월 생산실적</v>
          </cell>
        </row>
      </sheetData>
      <sheetData sheetId="8427">
        <row r="1">
          <cell r="A1" t="str">
            <v>1월 생산실적</v>
          </cell>
        </row>
      </sheetData>
      <sheetData sheetId="8428">
        <row r="1">
          <cell r="A1" t="str">
            <v>1월 생산실적</v>
          </cell>
        </row>
      </sheetData>
      <sheetData sheetId="8429">
        <row r="1">
          <cell r="A1" t="str">
            <v>1월 생산실적</v>
          </cell>
        </row>
      </sheetData>
      <sheetData sheetId="8430">
        <row r="1">
          <cell r="A1" t="str">
            <v>1월 생산실적</v>
          </cell>
        </row>
      </sheetData>
      <sheetData sheetId="8431">
        <row r="1">
          <cell r="A1" t="str">
            <v>1월 생산실적</v>
          </cell>
        </row>
      </sheetData>
      <sheetData sheetId="8432">
        <row r="1">
          <cell r="A1" t="str">
            <v>1월 생산실적</v>
          </cell>
        </row>
      </sheetData>
      <sheetData sheetId="8433">
        <row r="1">
          <cell r="A1" t="str">
            <v>1월 생산실적</v>
          </cell>
        </row>
      </sheetData>
      <sheetData sheetId="8434">
        <row r="1">
          <cell r="A1" t="str">
            <v>1월 생산실적</v>
          </cell>
        </row>
      </sheetData>
      <sheetData sheetId="8435">
        <row r="1">
          <cell r="A1" t="str">
            <v>1월 생산실적</v>
          </cell>
        </row>
      </sheetData>
      <sheetData sheetId="8436">
        <row r="1">
          <cell r="A1" t="str">
            <v>1월 생산실적</v>
          </cell>
        </row>
      </sheetData>
      <sheetData sheetId="8437">
        <row r="1">
          <cell r="A1" t="str">
            <v>1월 생산실적</v>
          </cell>
        </row>
      </sheetData>
      <sheetData sheetId="8438">
        <row r="1">
          <cell r="A1" t="str">
            <v>1월 생산실적</v>
          </cell>
        </row>
      </sheetData>
      <sheetData sheetId="8439">
        <row r="1">
          <cell r="A1" t="str">
            <v>1월 생산실적</v>
          </cell>
        </row>
      </sheetData>
      <sheetData sheetId="8440">
        <row r="1">
          <cell r="A1" t="str">
            <v>1월 생산실적</v>
          </cell>
        </row>
      </sheetData>
      <sheetData sheetId="8441">
        <row r="1">
          <cell r="A1" t="str">
            <v>1월 생산실적</v>
          </cell>
        </row>
      </sheetData>
      <sheetData sheetId="8442">
        <row r="1">
          <cell r="A1" t="str">
            <v>1월 생산실적</v>
          </cell>
        </row>
      </sheetData>
      <sheetData sheetId="8443">
        <row r="1">
          <cell r="A1" t="str">
            <v>1월 생산실적</v>
          </cell>
        </row>
      </sheetData>
      <sheetData sheetId="8444">
        <row r="1">
          <cell r="A1" t="str">
            <v>1월 생산실적</v>
          </cell>
        </row>
      </sheetData>
      <sheetData sheetId="8445">
        <row r="1">
          <cell r="A1" t="str">
            <v>1월 생산실적</v>
          </cell>
        </row>
      </sheetData>
      <sheetData sheetId="8446">
        <row r="1">
          <cell r="A1" t="str">
            <v>1월 생산실적</v>
          </cell>
        </row>
      </sheetData>
      <sheetData sheetId="8447">
        <row r="1">
          <cell r="A1" t="str">
            <v>1월 생산실적</v>
          </cell>
        </row>
      </sheetData>
      <sheetData sheetId="8448">
        <row r="1">
          <cell r="A1" t="str">
            <v>1월 생산실적</v>
          </cell>
        </row>
      </sheetData>
      <sheetData sheetId="8449">
        <row r="1">
          <cell r="A1" t="str">
            <v>1월 생산실적</v>
          </cell>
        </row>
      </sheetData>
      <sheetData sheetId="8450">
        <row r="1">
          <cell r="A1" t="str">
            <v>1월 생산실적</v>
          </cell>
        </row>
      </sheetData>
      <sheetData sheetId="8451">
        <row r="1">
          <cell r="A1" t="str">
            <v>1월 생산실적</v>
          </cell>
        </row>
      </sheetData>
      <sheetData sheetId="8452">
        <row r="1">
          <cell r="A1" t="str">
            <v>1월 생산실적</v>
          </cell>
        </row>
      </sheetData>
      <sheetData sheetId="8453">
        <row r="1">
          <cell r="A1" t="str">
            <v>1월 생산실적</v>
          </cell>
        </row>
      </sheetData>
      <sheetData sheetId="8454">
        <row r="1">
          <cell r="A1" t="str">
            <v>1월 생산실적</v>
          </cell>
        </row>
      </sheetData>
      <sheetData sheetId="8455">
        <row r="1">
          <cell r="A1" t="str">
            <v>1월 생산실적</v>
          </cell>
        </row>
      </sheetData>
      <sheetData sheetId="8456">
        <row r="1">
          <cell r="A1" t="str">
            <v>1월 생산실적</v>
          </cell>
        </row>
      </sheetData>
      <sheetData sheetId="8457">
        <row r="1">
          <cell r="A1" t="str">
            <v>1월 생산실적</v>
          </cell>
        </row>
      </sheetData>
      <sheetData sheetId="8458">
        <row r="1">
          <cell r="A1" t="str">
            <v>1월 생산실적</v>
          </cell>
        </row>
      </sheetData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>
        <row r="1">
          <cell r="A1" t="str">
            <v>1월 생산실적</v>
          </cell>
        </row>
      </sheetData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>
        <row r="1">
          <cell r="A1" t="str">
            <v>1월 생산실적</v>
          </cell>
        </row>
      </sheetData>
      <sheetData sheetId="9100">
        <row r="1">
          <cell r="A1" t="str">
            <v>1월 생산실적</v>
          </cell>
        </row>
      </sheetData>
      <sheetData sheetId="9101">
        <row r="1">
          <cell r="A1" t="str">
            <v>1월 생산실적</v>
          </cell>
        </row>
      </sheetData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/>
      <sheetData sheetId="9436"/>
      <sheetData sheetId="9437">
        <row r="1">
          <cell r="A1" t="str">
            <v>1월 생산실적</v>
          </cell>
        </row>
      </sheetData>
      <sheetData sheetId="9438">
        <row r="1">
          <cell r="A1" t="str">
            <v>1월 생산실적</v>
          </cell>
        </row>
      </sheetData>
      <sheetData sheetId="9439">
        <row r="1">
          <cell r="A1" t="str">
            <v>1월 생산실적</v>
          </cell>
        </row>
      </sheetData>
      <sheetData sheetId="9440">
        <row r="1">
          <cell r="A1" t="str">
            <v>1월 생산실적</v>
          </cell>
        </row>
      </sheetData>
      <sheetData sheetId="9441"/>
      <sheetData sheetId="9442">
        <row r="1">
          <cell r="A1" t="str">
            <v>1월 생산실적</v>
          </cell>
        </row>
      </sheetData>
      <sheetData sheetId="9443"/>
      <sheetData sheetId="9444"/>
      <sheetData sheetId="9445"/>
      <sheetData sheetId="9446"/>
      <sheetData sheetId="9447"/>
      <sheetData sheetId="9448"/>
      <sheetData sheetId="9449"/>
      <sheetData sheetId="9450">
        <row r="6">
          <cell r="A6">
            <v>1</v>
          </cell>
        </row>
      </sheetData>
      <sheetData sheetId="9451">
        <row r="6">
          <cell r="A6">
            <v>1</v>
          </cell>
        </row>
      </sheetData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>
        <row r="1">
          <cell r="A1" t="str">
            <v>1월 생산실적</v>
          </cell>
        </row>
      </sheetData>
      <sheetData sheetId="9469">
        <row r="1">
          <cell r="A1" t="str">
            <v>1월 생산실적</v>
          </cell>
        </row>
      </sheetData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 refreshError="1"/>
      <sheetData sheetId="9489" refreshError="1"/>
      <sheetData sheetId="9490">
        <row r="6">
          <cell r="A6">
            <v>1</v>
          </cell>
        </row>
      </sheetData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>
        <row r="1">
          <cell r="A1" t="str">
            <v>1월 생산실적</v>
          </cell>
        </row>
      </sheetData>
      <sheetData sheetId="9510"/>
      <sheetData sheetId="9511"/>
      <sheetData sheetId="9512">
        <row r="1">
          <cell r="A1" t="str">
            <v>1월 생산실적</v>
          </cell>
        </row>
      </sheetData>
      <sheetData sheetId="9513">
        <row r="6">
          <cell r="A6">
            <v>1</v>
          </cell>
        </row>
      </sheetData>
      <sheetData sheetId="9514">
        <row r="6">
          <cell r="A6">
            <v>1</v>
          </cell>
        </row>
      </sheetData>
      <sheetData sheetId="9515"/>
      <sheetData sheetId="9516"/>
      <sheetData sheetId="9517"/>
      <sheetData sheetId="9518" refreshError="1"/>
      <sheetData sheetId="9519">
        <row r="6">
          <cell r="A6">
            <v>1</v>
          </cell>
        </row>
      </sheetData>
      <sheetData sheetId="9520">
        <row r="6">
          <cell r="A6">
            <v>1</v>
          </cell>
        </row>
      </sheetData>
      <sheetData sheetId="9521">
        <row r="6">
          <cell r="A6">
            <v>1</v>
          </cell>
        </row>
      </sheetData>
      <sheetData sheetId="9522">
        <row r="6">
          <cell r="A6">
            <v>1</v>
          </cell>
        </row>
      </sheetData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>
        <row r="5">
          <cell r="D5" t="str">
            <v>PROCESS PERFORMANCE STUDY</v>
          </cell>
        </row>
      </sheetData>
      <sheetData sheetId="9546">
        <row r="5">
          <cell r="D5" t="str">
            <v>PROCESS PERFORMANCE STUDY</v>
          </cell>
        </row>
      </sheetData>
      <sheetData sheetId="9547">
        <row r="5">
          <cell r="D5" t="str">
            <v>PROCESS PERFORMANCE STUDY</v>
          </cell>
        </row>
      </sheetData>
      <sheetData sheetId="9548">
        <row r="5">
          <cell r="D5" t="str">
            <v>PROCESS PERFORMANCE STUDY</v>
          </cell>
        </row>
      </sheetData>
      <sheetData sheetId="9549">
        <row r="5">
          <cell r="D5" t="str">
            <v>PROCESS PERFORMANCE STUDY</v>
          </cell>
        </row>
      </sheetData>
      <sheetData sheetId="9550">
        <row r="5">
          <cell r="D5" t="str">
            <v>PROCESS PERFORMANCE STUDY</v>
          </cell>
        </row>
      </sheetData>
      <sheetData sheetId="9551">
        <row r="5">
          <cell r="D5" t="str">
            <v>PROCESS PERFORMANCE STUDY</v>
          </cell>
        </row>
      </sheetData>
      <sheetData sheetId="9552">
        <row r="5">
          <cell r="D5" t="str">
            <v>PROCESS PERFORMANCE STUDY</v>
          </cell>
        </row>
      </sheetData>
      <sheetData sheetId="9553">
        <row r="5">
          <cell r="D5" t="str">
            <v>PROCESS PERFORMANCE STUDY</v>
          </cell>
        </row>
      </sheetData>
      <sheetData sheetId="9554">
        <row r="5">
          <cell r="D5" t="str">
            <v>PROCESS PERFORMANCE STUDY</v>
          </cell>
        </row>
      </sheetData>
      <sheetData sheetId="9555">
        <row r="5">
          <cell r="D5" t="str">
            <v>PROCESS PERFORMANCE STUDY</v>
          </cell>
        </row>
      </sheetData>
      <sheetData sheetId="9556">
        <row r="5">
          <cell r="D5" t="str">
            <v>PROCESS PERFORMANCE STUDY</v>
          </cell>
        </row>
      </sheetData>
      <sheetData sheetId="9557">
        <row r="5">
          <cell r="D5" t="str">
            <v>PROCESS PERFORMANCE STUDY</v>
          </cell>
        </row>
      </sheetData>
      <sheetData sheetId="9558">
        <row r="5">
          <cell r="D5" t="str">
            <v>PROCESS PERFORMANCE STUDY</v>
          </cell>
        </row>
      </sheetData>
      <sheetData sheetId="9559">
        <row r="5">
          <cell r="D5" t="str">
            <v>PROCESS PERFORMANCE STUDY</v>
          </cell>
        </row>
      </sheetData>
      <sheetData sheetId="9560">
        <row r="5">
          <cell r="D5" t="str">
            <v>PROCESS PERFORMANCE STUDY</v>
          </cell>
        </row>
      </sheetData>
      <sheetData sheetId="9561">
        <row r="5">
          <cell r="D5" t="str">
            <v>PROCESS PERFORMANCE STUDY</v>
          </cell>
        </row>
      </sheetData>
      <sheetData sheetId="9562">
        <row r="6">
          <cell r="A6">
            <v>1</v>
          </cell>
        </row>
      </sheetData>
      <sheetData sheetId="9563">
        <row r="6">
          <cell r="A6">
            <v>1</v>
          </cell>
        </row>
      </sheetData>
      <sheetData sheetId="9564">
        <row r="6">
          <cell r="A6">
            <v>1</v>
          </cell>
        </row>
      </sheetData>
      <sheetData sheetId="9565"/>
      <sheetData sheetId="9566"/>
      <sheetData sheetId="9567"/>
      <sheetData sheetId="9568">
        <row r="6">
          <cell r="A6">
            <v>1</v>
          </cell>
        </row>
      </sheetData>
      <sheetData sheetId="9569"/>
      <sheetData sheetId="9570">
        <row r="6">
          <cell r="A6">
            <v>1</v>
          </cell>
        </row>
      </sheetData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>
        <row r="5">
          <cell r="D5" t="str">
            <v>PROCESS PERFORMANCE STUDY</v>
          </cell>
        </row>
      </sheetData>
      <sheetData sheetId="9585">
        <row r="5">
          <cell r="D5" t="str">
            <v>PROCESS PERFORMANCE STUDY</v>
          </cell>
        </row>
      </sheetData>
      <sheetData sheetId="9586">
        <row r="5">
          <cell r="D5" t="str">
            <v>PROCESS PERFORMANCE STUDY</v>
          </cell>
        </row>
      </sheetData>
      <sheetData sheetId="9587">
        <row r="5">
          <cell r="D5" t="str">
            <v>PROCESS PERFORMANCE STUDY</v>
          </cell>
        </row>
      </sheetData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>
        <row r="6">
          <cell r="A6">
            <v>1</v>
          </cell>
        </row>
      </sheetData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>
        <row r="5">
          <cell r="D5" t="str">
            <v>PROCESS PERFORMANCE STUDY</v>
          </cell>
        </row>
      </sheetData>
      <sheetData sheetId="9668" refreshError="1"/>
      <sheetData sheetId="9669" refreshError="1"/>
      <sheetData sheetId="9670" refreshError="1"/>
      <sheetData sheetId="9671"/>
      <sheetData sheetId="9672" refreshError="1"/>
      <sheetData sheetId="9673">
        <row r="5">
          <cell r="D5" t="str">
            <v>PROCESS PERFORMANCE STUDY</v>
          </cell>
        </row>
      </sheetData>
      <sheetData sheetId="9674" refreshError="1"/>
      <sheetData sheetId="9675" refreshError="1"/>
      <sheetData sheetId="9676" refreshError="1"/>
      <sheetData sheetId="9677"/>
      <sheetData sheetId="9678"/>
      <sheetData sheetId="9679"/>
      <sheetData sheetId="9680"/>
      <sheetData sheetId="9681"/>
      <sheetData sheetId="9682"/>
      <sheetData sheetId="9683">
        <row r="5">
          <cell r="D5" t="str">
            <v>PROCESS PERFORMANCE STUDY</v>
          </cell>
        </row>
      </sheetData>
      <sheetData sheetId="9684">
        <row r="5">
          <cell r="D5" t="str">
            <v>PROCESS PERFORMANCE STUDY</v>
          </cell>
        </row>
      </sheetData>
      <sheetData sheetId="9685" refreshError="1"/>
      <sheetData sheetId="9686" refreshError="1"/>
      <sheetData sheetId="9687" refreshError="1"/>
      <sheetData sheetId="9688" refreshError="1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 refreshError="1"/>
      <sheetData sheetId="9700"/>
      <sheetData sheetId="9701"/>
      <sheetData sheetId="9702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/>
      <sheetData sheetId="9721" refreshError="1"/>
      <sheetData sheetId="9722"/>
      <sheetData sheetId="9723"/>
      <sheetData sheetId="9724"/>
      <sheetData sheetId="9725"/>
      <sheetData sheetId="9726" refreshError="1"/>
      <sheetData sheetId="9727"/>
      <sheetData sheetId="9728"/>
      <sheetData sheetId="9729" refreshError="1"/>
      <sheetData sheetId="9730" refreshError="1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/>
      <sheetData sheetId="9750">
        <row r="1">
          <cell r="A1" t="str">
            <v>1월 생산실적</v>
          </cell>
        </row>
      </sheetData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/>
      <sheetData sheetId="9819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>
        <row r="5">
          <cell r="D5" t="str">
            <v>PROCESS PERFORMANCE STUDY</v>
          </cell>
        </row>
      </sheetData>
      <sheetData sheetId="9829"/>
      <sheetData sheetId="9830">
        <row r="5">
          <cell r="D5" t="str">
            <v>PROCESS PERFORMANCE STUDY</v>
          </cell>
        </row>
      </sheetData>
      <sheetData sheetId="9831" refreshError="1"/>
      <sheetData sheetId="9832" refreshError="1"/>
      <sheetData sheetId="9833" refreshError="1"/>
      <sheetData sheetId="9834" refreshError="1"/>
      <sheetData sheetId="9835"/>
      <sheetData sheetId="9836"/>
      <sheetData sheetId="9837" refreshError="1"/>
      <sheetData sheetId="9838" refreshError="1"/>
      <sheetData sheetId="9839" refreshError="1"/>
      <sheetData sheetId="9840"/>
      <sheetData sheetId="984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/>
      <sheetData sheetId="9859" refreshError="1"/>
      <sheetData sheetId="9860" refreshError="1"/>
      <sheetData sheetId="9861" refreshError="1"/>
      <sheetData sheetId="9862" refreshError="1"/>
      <sheetData sheetId="9863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/>
      <sheetData sheetId="9875"/>
      <sheetData sheetId="9876"/>
      <sheetData sheetId="9877"/>
      <sheetData sheetId="9878"/>
      <sheetData sheetId="9879" refreshError="1"/>
      <sheetData sheetId="9880"/>
      <sheetData sheetId="9881"/>
      <sheetData sheetId="9882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>
        <row r="6">
          <cell r="A6">
            <v>1</v>
          </cell>
        </row>
      </sheetData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 refreshError="1"/>
      <sheetData sheetId="10082" refreshError="1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 refreshError="1"/>
      <sheetData sheetId="10096" refreshError="1"/>
      <sheetData sheetId="10097"/>
      <sheetData sheetId="10098"/>
      <sheetData sheetId="10099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 refreshError="1"/>
      <sheetData sheetId="10121"/>
      <sheetData sheetId="10122" refreshError="1"/>
      <sheetData sheetId="10123"/>
      <sheetData sheetId="10124"/>
      <sheetData sheetId="10125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>
        <row r="1">
          <cell r="A1" t="str">
            <v>1월 생산실적</v>
          </cell>
        </row>
      </sheetData>
      <sheetData sheetId="10138"/>
      <sheetData sheetId="10139"/>
      <sheetData sheetId="10140">
        <row r="1">
          <cell r="A1" t="str">
            <v>1월 생산실적</v>
          </cell>
        </row>
      </sheetData>
      <sheetData sheetId="10141" refreshError="1"/>
      <sheetData sheetId="10142"/>
      <sheetData sheetId="10143">
        <row r="1">
          <cell r="A1" t="str">
            <v>1월 생산실적</v>
          </cell>
        </row>
      </sheetData>
      <sheetData sheetId="10144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>
        <row r="1">
          <cell r="A1" t="str">
            <v>1월 생산실적</v>
          </cell>
        </row>
      </sheetData>
      <sheetData sheetId="10205">
        <row r="1">
          <cell r="A1" t="str">
            <v>1월 생산실적</v>
          </cell>
        </row>
      </sheetData>
      <sheetData sheetId="10206">
        <row r="1">
          <cell r="A1" t="str">
            <v>1월 생산실적</v>
          </cell>
        </row>
      </sheetData>
      <sheetData sheetId="10207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/>
      <sheetData sheetId="10362"/>
      <sheetData sheetId="10363" refreshError="1"/>
      <sheetData sheetId="10364" refreshError="1"/>
      <sheetData sheetId="10365" refreshError="1"/>
      <sheetData sheetId="10366" refreshError="1"/>
      <sheetData sheetId="10367"/>
      <sheetData sheetId="10368"/>
      <sheetData sheetId="10369" refreshError="1"/>
      <sheetData sheetId="10370" refreshError="1"/>
      <sheetData sheetId="10371" refreshError="1"/>
      <sheetData sheetId="10372" refreshError="1"/>
      <sheetData sheetId="10373">
        <row r="1">
          <cell r="A1" t="str">
            <v>1월 생산실적</v>
          </cell>
        </row>
      </sheetData>
      <sheetData sheetId="10374" refreshError="1"/>
      <sheetData sheetId="10375" refreshError="1"/>
      <sheetData sheetId="10376" refreshError="1"/>
      <sheetData sheetId="10377"/>
      <sheetData sheetId="10378">
        <row r="1">
          <cell r="A1" t="str">
            <v>1월 생산실적</v>
          </cell>
        </row>
      </sheetData>
      <sheetData sheetId="10379">
        <row r="1">
          <cell r="A1" t="str">
            <v>1월 생산실적</v>
          </cell>
        </row>
      </sheetData>
      <sheetData sheetId="10380">
        <row r="1">
          <cell r="A1" t="str">
            <v>1월 생산실적</v>
          </cell>
        </row>
      </sheetData>
      <sheetData sheetId="10381">
        <row r="1">
          <cell r="A1" t="str">
            <v>1월 생산실적</v>
          </cell>
        </row>
      </sheetData>
      <sheetData sheetId="10382">
        <row r="1">
          <cell r="A1" t="str">
            <v>1월 생산실적</v>
          </cell>
        </row>
      </sheetData>
      <sheetData sheetId="10383" refreshError="1"/>
      <sheetData sheetId="10384" refreshError="1"/>
      <sheetData sheetId="10385" refreshError="1"/>
      <sheetData sheetId="10386" refreshError="1"/>
      <sheetData sheetId="10387">
        <row r="1">
          <cell r="A1" t="str">
            <v>1월 생산실적</v>
          </cell>
        </row>
      </sheetData>
      <sheetData sheetId="10388">
        <row r="1">
          <cell r="A1" t="str">
            <v>1월 생산실적</v>
          </cell>
        </row>
      </sheetData>
      <sheetData sheetId="10389" refreshError="1"/>
      <sheetData sheetId="10390" refreshError="1"/>
      <sheetData sheetId="10391"/>
      <sheetData sheetId="10392"/>
      <sheetData sheetId="10393"/>
      <sheetData sheetId="10394">
        <row r="1">
          <cell r="A1" t="str">
            <v>1월 생산실적</v>
          </cell>
        </row>
      </sheetData>
      <sheetData sheetId="10395">
        <row r="1">
          <cell r="A1" t="str">
            <v>1월 생산실적</v>
          </cell>
        </row>
      </sheetData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>
        <row r="1">
          <cell r="A1" t="str">
            <v>1월 생산실적</v>
          </cell>
        </row>
      </sheetData>
      <sheetData sheetId="10420">
        <row r="1">
          <cell r="A1" t="str">
            <v>1월 생산실적</v>
          </cell>
        </row>
      </sheetData>
      <sheetData sheetId="10421">
        <row r="1">
          <cell r="A1" t="str">
            <v>1월 생산실적</v>
          </cell>
        </row>
      </sheetData>
      <sheetData sheetId="10422" refreshError="1"/>
      <sheetData sheetId="10423"/>
      <sheetData sheetId="10424" refreshError="1"/>
      <sheetData sheetId="10425"/>
      <sheetData sheetId="10426">
        <row r="1">
          <cell r="A1" t="str">
            <v>1월 생산실적</v>
          </cell>
        </row>
      </sheetData>
      <sheetData sheetId="10427"/>
      <sheetData sheetId="10428"/>
      <sheetData sheetId="10429"/>
      <sheetData sheetId="10430"/>
      <sheetData sheetId="10431"/>
      <sheetData sheetId="10432">
        <row r="1">
          <cell r="A1" t="str">
            <v>1월 생산실적</v>
          </cell>
        </row>
      </sheetData>
      <sheetData sheetId="10433"/>
      <sheetData sheetId="10434"/>
      <sheetData sheetId="10435">
        <row r="1">
          <cell r="A1" t="str">
            <v>1월 생산실적</v>
          </cell>
        </row>
      </sheetData>
      <sheetData sheetId="10436">
        <row r="1">
          <cell r="A1" t="str">
            <v>1월 생산실적</v>
          </cell>
        </row>
      </sheetData>
      <sheetData sheetId="10437">
        <row r="1">
          <cell r="A1" t="str">
            <v>1월 생산실적</v>
          </cell>
        </row>
      </sheetData>
      <sheetData sheetId="10438">
        <row r="1">
          <cell r="A1" t="str">
            <v>1월 생산실적</v>
          </cell>
        </row>
      </sheetData>
      <sheetData sheetId="10439">
        <row r="1">
          <cell r="A1" t="str">
            <v>1월 생산실적</v>
          </cell>
        </row>
      </sheetData>
      <sheetData sheetId="10440">
        <row r="1">
          <cell r="A1" t="str">
            <v>1월 생산실적</v>
          </cell>
        </row>
      </sheetData>
      <sheetData sheetId="10441">
        <row r="1">
          <cell r="A1" t="str">
            <v>1월 생산실적</v>
          </cell>
        </row>
      </sheetData>
      <sheetData sheetId="10442">
        <row r="1">
          <cell r="A1" t="str">
            <v>1월 생산실적</v>
          </cell>
        </row>
      </sheetData>
      <sheetData sheetId="10443">
        <row r="1">
          <cell r="A1" t="str">
            <v>1월 생산실적</v>
          </cell>
        </row>
      </sheetData>
      <sheetData sheetId="10444">
        <row r="1">
          <cell r="A1" t="str">
            <v>1월 생산실적</v>
          </cell>
        </row>
      </sheetData>
      <sheetData sheetId="10445"/>
      <sheetData sheetId="10446">
        <row r="1">
          <cell r="A1" t="str">
            <v>1월 생산실적</v>
          </cell>
        </row>
      </sheetData>
      <sheetData sheetId="10447">
        <row r="1">
          <cell r="A1" t="str">
            <v>1월 생산실적</v>
          </cell>
        </row>
      </sheetData>
      <sheetData sheetId="10448">
        <row r="1">
          <cell r="A1" t="str">
            <v>1월 생산실적</v>
          </cell>
        </row>
      </sheetData>
      <sheetData sheetId="10449">
        <row r="1">
          <cell r="A1" t="str">
            <v>1월 생산실적</v>
          </cell>
        </row>
      </sheetData>
      <sheetData sheetId="10450">
        <row r="1">
          <cell r="A1" t="str">
            <v>1월 생산실적</v>
          </cell>
        </row>
      </sheetData>
      <sheetData sheetId="10451">
        <row r="1">
          <cell r="A1" t="str">
            <v>1월 생산실적</v>
          </cell>
        </row>
      </sheetData>
      <sheetData sheetId="10452">
        <row r="1">
          <cell r="A1" t="str">
            <v>1월 생산실적</v>
          </cell>
        </row>
      </sheetData>
      <sheetData sheetId="10453">
        <row r="1">
          <cell r="A1" t="str">
            <v>1월 생산실적</v>
          </cell>
        </row>
      </sheetData>
      <sheetData sheetId="10454">
        <row r="1">
          <cell r="A1" t="str">
            <v>1월 생산실적</v>
          </cell>
        </row>
      </sheetData>
      <sheetData sheetId="10455">
        <row r="1">
          <cell r="A1" t="str">
            <v>1월 생산실적</v>
          </cell>
        </row>
      </sheetData>
      <sheetData sheetId="10456">
        <row r="1">
          <cell r="A1" t="str">
            <v>1월 생산실적</v>
          </cell>
        </row>
      </sheetData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/>
      <sheetData sheetId="10531"/>
      <sheetData sheetId="10532" refreshError="1"/>
      <sheetData sheetId="10533"/>
      <sheetData sheetId="10534" refreshError="1"/>
      <sheetData sheetId="10535"/>
      <sheetData sheetId="10536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/>
      <sheetData sheetId="10568"/>
      <sheetData sheetId="10569" refreshError="1"/>
      <sheetData sheetId="10570" refreshError="1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 refreshError="1"/>
      <sheetData sheetId="10580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>
        <row r="1">
          <cell r="A1" t="str">
            <v>1월 생산실적</v>
          </cell>
        </row>
      </sheetData>
      <sheetData sheetId="10603" refreshError="1"/>
      <sheetData sheetId="10604" refreshError="1"/>
      <sheetData sheetId="10605">
        <row r="1">
          <cell r="A1" t="str">
            <v>1월 생산실적</v>
          </cell>
        </row>
      </sheetData>
      <sheetData sheetId="10606"/>
      <sheetData sheetId="10607" refreshError="1"/>
      <sheetData sheetId="10608" refreshError="1"/>
      <sheetData sheetId="10609" refreshError="1"/>
      <sheetData sheetId="10610">
        <row r="6">
          <cell r="A6">
            <v>1</v>
          </cell>
        </row>
      </sheetData>
      <sheetData sheetId="1061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/>
      <sheetData sheetId="10620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>
        <row r="1">
          <cell r="A1" t="str">
            <v>1월 생산실적</v>
          </cell>
        </row>
      </sheetData>
      <sheetData sheetId="10644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/>
      <sheetData sheetId="10763" refreshError="1"/>
      <sheetData sheetId="10764" refreshError="1"/>
      <sheetData sheetId="10765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/>
      <sheetData sheetId="10802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/>
      <sheetData sheetId="10899" refreshError="1"/>
      <sheetData sheetId="10900" refreshError="1"/>
      <sheetData sheetId="10901" refreshError="1"/>
      <sheetData sheetId="10902" refreshError="1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/>
      <sheetData sheetId="10987">
        <row r="5">
          <cell r="D5" t="str">
            <v>PROCESS PERFORMANCE STUDY</v>
          </cell>
        </row>
      </sheetData>
      <sheetData sheetId="10988">
        <row r="5">
          <cell r="D5" t="str">
            <v>PROCESS PERFORMANCE STUDY</v>
          </cell>
        </row>
      </sheetData>
      <sheetData sheetId="10989">
        <row r="5">
          <cell r="D5" t="str">
            <v>PROCESS PERFORMANCE STUDY</v>
          </cell>
        </row>
      </sheetData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>
        <row r="6">
          <cell r="A6">
            <v>1</v>
          </cell>
        </row>
      </sheetData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>
        <row r="1">
          <cell r="A1" t="str">
            <v>1월 생산실적</v>
          </cell>
        </row>
      </sheetData>
      <sheetData sheetId="11094">
        <row r="1">
          <cell r="A1" t="str">
            <v>1월 생산실적</v>
          </cell>
        </row>
      </sheetData>
      <sheetData sheetId="11095"/>
      <sheetData sheetId="11096">
        <row r="1">
          <cell r="A1" t="str">
            <v>1월 생산실적</v>
          </cell>
        </row>
      </sheetData>
      <sheetData sheetId="11097">
        <row r="1">
          <cell r="A1" t="str">
            <v>1월 생산실적</v>
          </cell>
        </row>
      </sheetData>
      <sheetData sheetId="11098">
        <row r="1">
          <cell r="A1" t="str">
            <v>1월 생산실적</v>
          </cell>
        </row>
      </sheetData>
      <sheetData sheetId="11099">
        <row r="1">
          <cell r="A1" t="str">
            <v>1월 생산실적</v>
          </cell>
        </row>
      </sheetData>
      <sheetData sheetId="11100">
        <row r="1">
          <cell r="A1" t="str">
            <v>1월 생산실적</v>
          </cell>
        </row>
      </sheetData>
      <sheetData sheetId="11101">
        <row r="1">
          <cell r="A1" t="str">
            <v>1월 생산실적</v>
          </cell>
        </row>
      </sheetData>
      <sheetData sheetId="11102">
        <row r="1">
          <cell r="A1" t="str">
            <v>1월 생산실적</v>
          </cell>
        </row>
      </sheetData>
      <sheetData sheetId="11103">
        <row r="1">
          <cell r="A1" t="str">
            <v>1월 생산실적</v>
          </cell>
        </row>
      </sheetData>
      <sheetData sheetId="11104">
        <row r="1">
          <cell r="A1" t="str">
            <v>1월 생산실적</v>
          </cell>
        </row>
      </sheetData>
      <sheetData sheetId="11105">
        <row r="1">
          <cell r="A1" t="str">
            <v>1월 생산실적</v>
          </cell>
        </row>
      </sheetData>
      <sheetData sheetId="11106">
        <row r="1">
          <cell r="A1" t="str">
            <v>1월 생산실적</v>
          </cell>
        </row>
      </sheetData>
      <sheetData sheetId="11107">
        <row r="1">
          <cell r="A1" t="str">
            <v>1월 생산실적</v>
          </cell>
        </row>
      </sheetData>
      <sheetData sheetId="11108">
        <row r="1">
          <cell r="A1" t="str">
            <v>1월 생산실적</v>
          </cell>
        </row>
      </sheetData>
      <sheetData sheetId="11109">
        <row r="1">
          <cell r="A1" t="str">
            <v>1월 생산실적</v>
          </cell>
        </row>
      </sheetData>
      <sheetData sheetId="11110">
        <row r="1">
          <cell r="A1" t="str">
            <v>1월 생산실적</v>
          </cell>
        </row>
      </sheetData>
      <sheetData sheetId="11111">
        <row r="1">
          <cell r="A1" t="str">
            <v>1월 생산실적</v>
          </cell>
        </row>
      </sheetData>
      <sheetData sheetId="11112">
        <row r="1">
          <cell r="A1" t="str">
            <v>1월 생산실적</v>
          </cell>
        </row>
      </sheetData>
      <sheetData sheetId="11113">
        <row r="1">
          <cell r="A1" t="str">
            <v>1월 생산실적</v>
          </cell>
        </row>
      </sheetData>
      <sheetData sheetId="11114">
        <row r="1">
          <cell r="A1" t="str">
            <v>1월 생산실적</v>
          </cell>
        </row>
      </sheetData>
      <sheetData sheetId="11115">
        <row r="1">
          <cell r="A1" t="str">
            <v>1월 생산실적</v>
          </cell>
        </row>
      </sheetData>
      <sheetData sheetId="11116">
        <row r="1">
          <cell r="A1" t="str">
            <v>1월 생산실적</v>
          </cell>
        </row>
      </sheetData>
      <sheetData sheetId="11117">
        <row r="1">
          <cell r="A1" t="str">
            <v>1월 생산실적</v>
          </cell>
        </row>
      </sheetData>
      <sheetData sheetId="11118">
        <row r="1">
          <cell r="A1" t="str">
            <v>1월 생산실적</v>
          </cell>
        </row>
      </sheetData>
      <sheetData sheetId="11119">
        <row r="1">
          <cell r="A1" t="str">
            <v>1월 생산실적</v>
          </cell>
        </row>
      </sheetData>
      <sheetData sheetId="11120">
        <row r="1">
          <cell r="A1" t="str">
            <v>1월 생산실적</v>
          </cell>
        </row>
      </sheetData>
      <sheetData sheetId="11121">
        <row r="1">
          <cell r="A1" t="str">
            <v>1월 생산실적</v>
          </cell>
        </row>
      </sheetData>
      <sheetData sheetId="11122">
        <row r="1">
          <cell r="A1" t="str">
            <v>1월 생산실적</v>
          </cell>
        </row>
      </sheetData>
      <sheetData sheetId="11123">
        <row r="1">
          <cell r="A1" t="str">
            <v>1월 생산실적</v>
          </cell>
        </row>
      </sheetData>
      <sheetData sheetId="11124">
        <row r="1">
          <cell r="A1" t="str">
            <v>1월 생산실적</v>
          </cell>
        </row>
      </sheetData>
      <sheetData sheetId="11125">
        <row r="1">
          <cell r="A1" t="str">
            <v>1월 생산실적</v>
          </cell>
        </row>
      </sheetData>
      <sheetData sheetId="11126">
        <row r="1">
          <cell r="A1" t="str">
            <v>1월 생산실적</v>
          </cell>
        </row>
      </sheetData>
      <sheetData sheetId="11127">
        <row r="1">
          <cell r="A1" t="str">
            <v>1월 생산실적</v>
          </cell>
        </row>
      </sheetData>
      <sheetData sheetId="11128">
        <row r="1">
          <cell r="A1" t="str">
            <v>1월 생산실적</v>
          </cell>
        </row>
      </sheetData>
      <sheetData sheetId="11129">
        <row r="1">
          <cell r="A1" t="str">
            <v>1월 생산실적</v>
          </cell>
        </row>
      </sheetData>
      <sheetData sheetId="11130">
        <row r="1">
          <cell r="A1" t="str">
            <v>1월 생산실적</v>
          </cell>
        </row>
      </sheetData>
      <sheetData sheetId="11131">
        <row r="1">
          <cell r="A1" t="str">
            <v>1월 생산실적</v>
          </cell>
        </row>
      </sheetData>
      <sheetData sheetId="11132">
        <row r="1">
          <cell r="A1" t="str">
            <v>1월 생산실적</v>
          </cell>
        </row>
      </sheetData>
      <sheetData sheetId="11133">
        <row r="1">
          <cell r="A1" t="str">
            <v>1월 생산실적</v>
          </cell>
        </row>
      </sheetData>
      <sheetData sheetId="11134">
        <row r="1">
          <cell r="A1" t="str">
            <v>1월 생산실적</v>
          </cell>
        </row>
      </sheetData>
      <sheetData sheetId="11135">
        <row r="1">
          <cell r="A1" t="str">
            <v>1월 생산실적</v>
          </cell>
        </row>
      </sheetData>
      <sheetData sheetId="11136">
        <row r="1">
          <cell r="A1" t="str">
            <v>1월 생산실적</v>
          </cell>
        </row>
      </sheetData>
      <sheetData sheetId="11137">
        <row r="1">
          <cell r="A1" t="str">
            <v>1월 생산실적</v>
          </cell>
        </row>
      </sheetData>
      <sheetData sheetId="11138">
        <row r="1">
          <cell r="A1" t="str">
            <v>1월 생산실적</v>
          </cell>
        </row>
      </sheetData>
      <sheetData sheetId="11139">
        <row r="1">
          <cell r="A1" t="str">
            <v>1월 생산실적</v>
          </cell>
        </row>
      </sheetData>
      <sheetData sheetId="11140">
        <row r="1">
          <cell r="A1" t="str">
            <v>1월 생산실적</v>
          </cell>
        </row>
      </sheetData>
      <sheetData sheetId="11141">
        <row r="1">
          <cell r="A1" t="str">
            <v>1월 생산실적</v>
          </cell>
        </row>
      </sheetData>
      <sheetData sheetId="11142">
        <row r="1">
          <cell r="A1" t="str">
            <v>1월 생산실적</v>
          </cell>
        </row>
      </sheetData>
      <sheetData sheetId="11143">
        <row r="1">
          <cell r="A1" t="str">
            <v>1월 생산실적</v>
          </cell>
        </row>
      </sheetData>
      <sheetData sheetId="11144">
        <row r="1">
          <cell r="A1" t="str">
            <v>1월 생산실적</v>
          </cell>
        </row>
      </sheetData>
      <sheetData sheetId="11145">
        <row r="1">
          <cell r="A1" t="str">
            <v>1월 생산실적</v>
          </cell>
        </row>
      </sheetData>
      <sheetData sheetId="11146">
        <row r="1">
          <cell r="A1" t="str">
            <v>1월 생산실적</v>
          </cell>
        </row>
      </sheetData>
      <sheetData sheetId="11147">
        <row r="1">
          <cell r="A1" t="str">
            <v>1월 생산실적</v>
          </cell>
        </row>
      </sheetData>
      <sheetData sheetId="11148">
        <row r="1">
          <cell r="A1" t="str">
            <v>1월 생산실적</v>
          </cell>
        </row>
      </sheetData>
      <sheetData sheetId="11149">
        <row r="1">
          <cell r="A1" t="str">
            <v>1월 생산실적</v>
          </cell>
        </row>
      </sheetData>
      <sheetData sheetId="11150">
        <row r="1">
          <cell r="A1" t="str">
            <v>1월 생산실적</v>
          </cell>
        </row>
      </sheetData>
      <sheetData sheetId="11151">
        <row r="1">
          <cell r="A1" t="str">
            <v>1월 생산실적</v>
          </cell>
        </row>
      </sheetData>
      <sheetData sheetId="11152">
        <row r="1">
          <cell r="A1" t="str">
            <v>1월 생산실적</v>
          </cell>
        </row>
      </sheetData>
      <sheetData sheetId="11153">
        <row r="1">
          <cell r="A1" t="str">
            <v>1월 생산실적</v>
          </cell>
        </row>
      </sheetData>
      <sheetData sheetId="11154">
        <row r="1">
          <cell r="A1" t="str">
            <v>1월 생산실적</v>
          </cell>
        </row>
      </sheetData>
      <sheetData sheetId="11155">
        <row r="1">
          <cell r="A1" t="str">
            <v>1월 생산실적</v>
          </cell>
        </row>
      </sheetData>
      <sheetData sheetId="11156">
        <row r="1">
          <cell r="A1" t="str">
            <v>1월 생산실적</v>
          </cell>
        </row>
      </sheetData>
      <sheetData sheetId="11157">
        <row r="1">
          <cell r="A1" t="str">
            <v>1월 생산실적</v>
          </cell>
        </row>
      </sheetData>
      <sheetData sheetId="11158">
        <row r="1">
          <cell r="A1" t="str">
            <v>1월 생산실적</v>
          </cell>
        </row>
      </sheetData>
      <sheetData sheetId="11159">
        <row r="1">
          <cell r="A1" t="str">
            <v>1월 생산실적</v>
          </cell>
        </row>
      </sheetData>
      <sheetData sheetId="11160">
        <row r="1">
          <cell r="A1" t="str">
            <v>1월 생산실적</v>
          </cell>
        </row>
      </sheetData>
      <sheetData sheetId="11161">
        <row r="1">
          <cell r="A1" t="str">
            <v>1월 생산실적</v>
          </cell>
        </row>
      </sheetData>
      <sheetData sheetId="11162">
        <row r="1">
          <cell r="A1" t="str">
            <v>1월 생산실적</v>
          </cell>
        </row>
      </sheetData>
      <sheetData sheetId="11163">
        <row r="1">
          <cell r="A1" t="str">
            <v>1월 생산실적</v>
          </cell>
        </row>
      </sheetData>
      <sheetData sheetId="11164">
        <row r="1">
          <cell r="A1" t="str">
            <v>1월 생산실적</v>
          </cell>
        </row>
      </sheetData>
      <sheetData sheetId="11165">
        <row r="1">
          <cell r="A1" t="str">
            <v>1월 생산실적</v>
          </cell>
        </row>
      </sheetData>
      <sheetData sheetId="11166">
        <row r="1">
          <cell r="A1" t="str">
            <v>1월 생산실적</v>
          </cell>
        </row>
      </sheetData>
      <sheetData sheetId="11167">
        <row r="1">
          <cell r="A1" t="str">
            <v>1월 생산실적</v>
          </cell>
        </row>
      </sheetData>
      <sheetData sheetId="11168">
        <row r="1">
          <cell r="A1" t="str">
            <v>1월 생산실적</v>
          </cell>
        </row>
      </sheetData>
      <sheetData sheetId="11169">
        <row r="1">
          <cell r="A1" t="str">
            <v>1월 생산실적</v>
          </cell>
        </row>
      </sheetData>
      <sheetData sheetId="11170">
        <row r="1">
          <cell r="A1" t="str">
            <v>1월 생산실적</v>
          </cell>
        </row>
      </sheetData>
      <sheetData sheetId="11171">
        <row r="1">
          <cell r="A1" t="str">
            <v>1월 생산실적</v>
          </cell>
        </row>
      </sheetData>
      <sheetData sheetId="11172">
        <row r="1">
          <cell r="A1" t="str">
            <v>1월 생산실적</v>
          </cell>
        </row>
      </sheetData>
      <sheetData sheetId="11173">
        <row r="1">
          <cell r="A1" t="str">
            <v>1월 생산실적</v>
          </cell>
        </row>
      </sheetData>
      <sheetData sheetId="11174">
        <row r="1">
          <cell r="A1" t="str">
            <v>1월 생산실적</v>
          </cell>
        </row>
      </sheetData>
      <sheetData sheetId="11175">
        <row r="1">
          <cell r="A1" t="str">
            <v>1월 생산실적</v>
          </cell>
        </row>
      </sheetData>
      <sheetData sheetId="11176">
        <row r="1">
          <cell r="A1" t="str">
            <v>1월 생산실적</v>
          </cell>
        </row>
      </sheetData>
      <sheetData sheetId="11177">
        <row r="1">
          <cell r="A1" t="str">
            <v>1월 생산실적</v>
          </cell>
        </row>
      </sheetData>
      <sheetData sheetId="11178">
        <row r="1">
          <cell r="A1" t="str">
            <v>1월 생산실적</v>
          </cell>
        </row>
      </sheetData>
      <sheetData sheetId="11179">
        <row r="1">
          <cell r="A1" t="str">
            <v>1월 생산실적</v>
          </cell>
        </row>
      </sheetData>
      <sheetData sheetId="11180">
        <row r="1">
          <cell r="A1" t="str">
            <v>1월 생산실적</v>
          </cell>
        </row>
      </sheetData>
      <sheetData sheetId="11181">
        <row r="1">
          <cell r="A1" t="str">
            <v>1월 생산실적</v>
          </cell>
        </row>
      </sheetData>
      <sheetData sheetId="11182">
        <row r="1">
          <cell r="A1" t="str">
            <v>1월 생산실적</v>
          </cell>
        </row>
      </sheetData>
      <sheetData sheetId="11183">
        <row r="1">
          <cell r="A1" t="str">
            <v>1월 생산실적</v>
          </cell>
        </row>
      </sheetData>
      <sheetData sheetId="11184">
        <row r="1">
          <cell r="A1" t="str">
            <v>1월 생산실적</v>
          </cell>
        </row>
      </sheetData>
      <sheetData sheetId="11185">
        <row r="1">
          <cell r="A1" t="str">
            <v>1월 생산실적</v>
          </cell>
        </row>
      </sheetData>
      <sheetData sheetId="11186">
        <row r="1">
          <cell r="A1" t="str">
            <v>1월 생산실적</v>
          </cell>
        </row>
      </sheetData>
      <sheetData sheetId="11187">
        <row r="1">
          <cell r="A1" t="str">
            <v>1월 생산실적</v>
          </cell>
        </row>
      </sheetData>
      <sheetData sheetId="11188">
        <row r="1">
          <cell r="A1" t="str">
            <v>1월 생산실적</v>
          </cell>
        </row>
      </sheetData>
      <sheetData sheetId="11189"/>
      <sheetData sheetId="11190"/>
      <sheetData sheetId="11191"/>
      <sheetData sheetId="11192">
        <row r="1">
          <cell r="A1" t="str">
            <v>1월 생산실적</v>
          </cell>
        </row>
      </sheetData>
      <sheetData sheetId="11193">
        <row r="1">
          <cell r="A1" t="str">
            <v>1월 생산실적</v>
          </cell>
        </row>
      </sheetData>
      <sheetData sheetId="11194">
        <row r="1">
          <cell r="A1" t="str">
            <v>1월 생산실적</v>
          </cell>
        </row>
      </sheetData>
      <sheetData sheetId="11195">
        <row r="1">
          <cell r="A1" t="str">
            <v>1월 생산실적</v>
          </cell>
        </row>
      </sheetData>
      <sheetData sheetId="11196">
        <row r="1">
          <cell r="A1" t="str">
            <v>1월 생산실적</v>
          </cell>
        </row>
      </sheetData>
      <sheetData sheetId="11197">
        <row r="1">
          <cell r="A1" t="str">
            <v>1월 생산실적</v>
          </cell>
        </row>
      </sheetData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>
        <row r="1">
          <cell r="A1" t="str">
            <v>1월 생산실적</v>
          </cell>
        </row>
      </sheetData>
      <sheetData sheetId="11214">
        <row r="1">
          <cell r="A1" t="str">
            <v>1월 생산실적</v>
          </cell>
        </row>
      </sheetData>
      <sheetData sheetId="11215">
        <row r="1">
          <cell r="A1" t="str">
            <v>1월 생산실적</v>
          </cell>
        </row>
      </sheetData>
      <sheetData sheetId="11216">
        <row r="1">
          <cell r="A1" t="str">
            <v>1월 생산실적</v>
          </cell>
        </row>
      </sheetData>
      <sheetData sheetId="11217">
        <row r="1">
          <cell r="A1" t="str">
            <v>1월 생산실적</v>
          </cell>
        </row>
      </sheetData>
      <sheetData sheetId="11218">
        <row r="1">
          <cell r="A1" t="str">
            <v>1월 생산실적</v>
          </cell>
        </row>
      </sheetData>
      <sheetData sheetId="11219">
        <row r="1">
          <cell r="A1" t="str">
            <v>1월 생산실적</v>
          </cell>
        </row>
      </sheetData>
      <sheetData sheetId="11220">
        <row r="1">
          <cell r="A1" t="str">
            <v>1월 생산실적</v>
          </cell>
        </row>
      </sheetData>
      <sheetData sheetId="11221">
        <row r="1">
          <cell r="A1" t="str">
            <v>1월 생산실적</v>
          </cell>
        </row>
      </sheetData>
      <sheetData sheetId="11222">
        <row r="1">
          <cell r="A1" t="str">
            <v>1월 생산실적</v>
          </cell>
        </row>
      </sheetData>
      <sheetData sheetId="11223">
        <row r="1">
          <cell r="A1" t="str">
            <v>1월 생산실적</v>
          </cell>
        </row>
      </sheetData>
      <sheetData sheetId="11224">
        <row r="1">
          <cell r="A1" t="str">
            <v>1월 생산실적</v>
          </cell>
        </row>
      </sheetData>
      <sheetData sheetId="11225">
        <row r="1">
          <cell r="A1" t="str">
            <v>1월 생산실적</v>
          </cell>
        </row>
      </sheetData>
      <sheetData sheetId="11226">
        <row r="1">
          <cell r="A1" t="str">
            <v>1월 생산실적</v>
          </cell>
        </row>
      </sheetData>
      <sheetData sheetId="11227">
        <row r="1">
          <cell r="A1" t="str">
            <v>1월 생산실적</v>
          </cell>
        </row>
      </sheetData>
      <sheetData sheetId="11228">
        <row r="1">
          <cell r="A1" t="str">
            <v>1월 생산실적</v>
          </cell>
        </row>
      </sheetData>
      <sheetData sheetId="11229">
        <row r="1">
          <cell r="A1" t="str">
            <v>1월 생산실적</v>
          </cell>
        </row>
      </sheetData>
      <sheetData sheetId="11230">
        <row r="1">
          <cell r="A1" t="str">
            <v>1월 생산실적</v>
          </cell>
        </row>
      </sheetData>
      <sheetData sheetId="11231">
        <row r="1">
          <cell r="A1" t="str">
            <v>1월 생산실적</v>
          </cell>
        </row>
      </sheetData>
      <sheetData sheetId="11232">
        <row r="1">
          <cell r="A1" t="str">
            <v>1월 생산실적</v>
          </cell>
        </row>
      </sheetData>
      <sheetData sheetId="11233">
        <row r="1">
          <cell r="A1" t="str">
            <v>1월 생산실적</v>
          </cell>
        </row>
      </sheetData>
      <sheetData sheetId="11234">
        <row r="1">
          <cell r="A1" t="str">
            <v>1월 생산실적</v>
          </cell>
        </row>
      </sheetData>
      <sheetData sheetId="11235">
        <row r="1">
          <cell r="A1" t="str">
            <v>1월 생산실적</v>
          </cell>
        </row>
      </sheetData>
      <sheetData sheetId="11236">
        <row r="1">
          <cell r="A1" t="str">
            <v>1월 생산실적</v>
          </cell>
        </row>
      </sheetData>
      <sheetData sheetId="11237">
        <row r="1">
          <cell r="A1" t="str">
            <v>1월 생산실적</v>
          </cell>
        </row>
      </sheetData>
      <sheetData sheetId="11238">
        <row r="1">
          <cell r="A1" t="str">
            <v>1월 생산실적</v>
          </cell>
        </row>
      </sheetData>
      <sheetData sheetId="11239">
        <row r="1">
          <cell r="A1" t="str">
            <v>1월 생산실적</v>
          </cell>
        </row>
      </sheetData>
      <sheetData sheetId="11240">
        <row r="1">
          <cell r="A1" t="str">
            <v>1월 생산실적</v>
          </cell>
        </row>
      </sheetData>
      <sheetData sheetId="11241">
        <row r="1">
          <cell r="A1" t="str">
            <v>1월 생산실적</v>
          </cell>
        </row>
      </sheetData>
      <sheetData sheetId="11242">
        <row r="1">
          <cell r="A1" t="str">
            <v>1월 생산실적</v>
          </cell>
        </row>
      </sheetData>
      <sheetData sheetId="11243">
        <row r="1">
          <cell r="A1" t="str">
            <v>1월 생산실적</v>
          </cell>
        </row>
      </sheetData>
      <sheetData sheetId="11244">
        <row r="1">
          <cell r="A1" t="str">
            <v>1월 생산실적</v>
          </cell>
        </row>
      </sheetData>
      <sheetData sheetId="11245">
        <row r="1">
          <cell r="A1" t="str">
            <v>1월 생산실적</v>
          </cell>
        </row>
      </sheetData>
      <sheetData sheetId="11246">
        <row r="1">
          <cell r="A1" t="str">
            <v>1월 생산실적</v>
          </cell>
        </row>
      </sheetData>
      <sheetData sheetId="11247">
        <row r="1">
          <cell r="A1" t="str">
            <v>1월 생산실적</v>
          </cell>
        </row>
      </sheetData>
      <sheetData sheetId="11248">
        <row r="1">
          <cell r="A1" t="str">
            <v>1월 생산실적</v>
          </cell>
        </row>
      </sheetData>
      <sheetData sheetId="11249">
        <row r="1">
          <cell r="A1" t="str">
            <v>1월 생산실적</v>
          </cell>
        </row>
      </sheetData>
      <sheetData sheetId="11250">
        <row r="1">
          <cell r="A1" t="str">
            <v>1월 생산실적</v>
          </cell>
        </row>
      </sheetData>
      <sheetData sheetId="11251">
        <row r="1">
          <cell r="A1" t="str">
            <v>1월 생산실적</v>
          </cell>
        </row>
      </sheetData>
      <sheetData sheetId="11252">
        <row r="1">
          <cell r="A1" t="str">
            <v>1월 생산실적</v>
          </cell>
        </row>
      </sheetData>
      <sheetData sheetId="11253">
        <row r="1">
          <cell r="A1" t="str">
            <v>1월 생산실적</v>
          </cell>
        </row>
      </sheetData>
      <sheetData sheetId="11254">
        <row r="1">
          <cell r="A1" t="str">
            <v>1월 생산실적</v>
          </cell>
        </row>
      </sheetData>
      <sheetData sheetId="11255">
        <row r="1">
          <cell r="A1" t="str">
            <v>1월 생산실적</v>
          </cell>
        </row>
      </sheetData>
      <sheetData sheetId="11256">
        <row r="1">
          <cell r="A1" t="str">
            <v>1월 생산실적</v>
          </cell>
        </row>
      </sheetData>
      <sheetData sheetId="11257">
        <row r="1">
          <cell r="A1" t="str">
            <v>1월 생산실적</v>
          </cell>
        </row>
      </sheetData>
      <sheetData sheetId="11258">
        <row r="1">
          <cell r="A1" t="str">
            <v>1월 생산실적</v>
          </cell>
        </row>
      </sheetData>
      <sheetData sheetId="11259">
        <row r="1">
          <cell r="A1" t="str">
            <v>1월 생산실적</v>
          </cell>
        </row>
      </sheetData>
      <sheetData sheetId="11260">
        <row r="1">
          <cell r="A1" t="str">
            <v>1월 생산실적</v>
          </cell>
        </row>
      </sheetData>
      <sheetData sheetId="11261">
        <row r="1">
          <cell r="A1" t="str">
            <v>1월 생산실적</v>
          </cell>
        </row>
      </sheetData>
      <sheetData sheetId="11262">
        <row r="1">
          <cell r="A1" t="str">
            <v>1월 생산실적</v>
          </cell>
        </row>
      </sheetData>
      <sheetData sheetId="11263">
        <row r="1">
          <cell r="A1" t="str">
            <v>1월 생산실적</v>
          </cell>
        </row>
      </sheetData>
      <sheetData sheetId="11264">
        <row r="1">
          <cell r="A1" t="str">
            <v>1월 생산실적</v>
          </cell>
        </row>
      </sheetData>
      <sheetData sheetId="11265">
        <row r="1">
          <cell r="A1" t="str">
            <v>1월 생산실적</v>
          </cell>
        </row>
      </sheetData>
      <sheetData sheetId="11266">
        <row r="1">
          <cell r="A1" t="str">
            <v>1월 생산실적</v>
          </cell>
        </row>
      </sheetData>
      <sheetData sheetId="11267">
        <row r="1">
          <cell r="A1" t="str">
            <v>1월 생산실적</v>
          </cell>
        </row>
      </sheetData>
      <sheetData sheetId="11268">
        <row r="1">
          <cell r="A1" t="str">
            <v>1월 생산실적</v>
          </cell>
        </row>
      </sheetData>
      <sheetData sheetId="11269">
        <row r="1">
          <cell r="A1" t="str">
            <v>1월 생산실적</v>
          </cell>
        </row>
      </sheetData>
      <sheetData sheetId="11270">
        <row r="1">
          <cell r="A1" t="str">
            <v>1월 생산실적</v>
          </cell>
        </row>
      </sheetData>
      <sheetData sheetId="11271">
        <row r="1">
          <cell r="A1" t="str">
            <v>1월 생산실적</v>
          </cell>
        </row>
      </sheetData>
      <sheetData sheetId="11272">
        <row r="1">
          <cell r="A1" t="str">
            <v>1월 생산실적</v>
          </cell>
        </row>
      </sheetData>
      <sheetData sheetId="11273">
        <row r="1">
          <cell r="A1" t="str">
            <v>1월 생산실적</v>
          </cell>
        </row>
      </sheetData>
      <sheetData sheetId="11274">
        <row r="1">
          <cell r="A1" t="str">
            <v>1월 생산실적</v>
          </cell>
        </row>
      </sheetData>
      <sheetData sheetId="11275">
        <row r="1">
          <cell r="A1" t="str">
            <v>1월 생산실적</v>
          </cell>
        </row>
      </sheetData>
      <sheetData sheetId="11276">
        <row r="1">
          <cell r="A1" t="str">
            <v>1월 생산실적</v>
          </cell>
        </row>
      </sheetData>
      <sheetData sheetId="11277">
        <row r="1">
          <cell r="A1" t="str">
            <v>1월 생산실적</v>
          </cell>
        </row>
      </sheetData>
      <sheetData sheetId="11278">
        <row r="1">
          <cell r="A1" t="str">
            <v>1월 생산실적</v>
          </cell>
        </row>
      </sheetData>
      <sheetData sheetId="11279">
        <row r="1">
          <cell r="A1" t="str">
            <v>1월 생산실적</v>
          </cell>
        </row>
      </sheetData>
      <sheetData sheetId="11280">
        <row r="1">
          <cell r="A1" t="str">
            <v>1월 생산실적</v>
          </cell>
        </row>
      </sheetData>
      <sheetData sheetId="11281">
        <row r="1">
          <cell r="A1" t="str">
            <v>1월 생산실적</v>
          </cell>
        </row>
      </sheetData>
      <sheetData sheetId="11282">
        <row r="1">
          <cell r="A1" t="str">
            <v>1월 생산실적</v>
          </cell>
        </row>
      </sheetData>
      <sheetData sheetId="11283">
        <row r="1">
          <cell r="A1" t="str">
            <v>1월 생산실적</v>
          </cell>
        </row>
      </sheetData>
      <sheetData sheetId="11284">
        <row r="1">
          <cell r="A1" t="str">
            <v>1월 생산실적</v>
          </cell>
        </row>
      </sheetData>
      <sheetData sheetId="11285">
        <row r="1">
          <cell r="A1" t="str">
            <v>1월 생산실적</v>
          </cell>
        </row>
      </sheetData>
      <sheetData sheetId="11286">
        <row r="1">
          <cell r="A1" t="str">
            <v>1월 생산실적</v>
          </cell>
        </row>
      </sheetData>
      <sheetData sheetId="11287">
        <row r="1">
          <cell r="A1" t="str">
            <v>1월 생산실적</v>
          </cell>
        </row>
      </sheetData>
      <sheetData sheetId="11288">
        <row r="1">
          <cell r="A1" t="str">
            <v>1월 생산실적</v>
          </cell>
        </row>
      </sheetData>
      <sheetData sheetId="11289">
        <row r="1">
          <cell r="A1" t="str">
            <v>1월 생산실적</v>
          </cell>
        </row>
      </sheetData>
      <sheetData sheetId="11290">
        <row r="1">
          <cell r="A1" t="str">
            <v>1월 생산실적</v>
          </cell>
        </row>
      </sheetData>
      <sheetData sheetId="11291">
        <row r="1">
          <cell r="A1" t="str">
            <v>1월 생산실적</v>
          </cell>
        </row>
      </sheetData>
      <sheetData sheetId="11292">
        <row r="1">
          <cell r="A1" t="str">
            <v>1월 생산실적</v>
          </cell>
        </row>
      </sheetData>
      <sheetData sheetId="11293">
        <row r="1">
          <cell r="A1" t="str">
            <v>1월 생산실적</v>
          </cell>
        </row>
      </sheetData>
      <sheetData sheetId="11294">
        <row r="1">
          <cell r="A1" t="str">
            <v>1월 생산실적</v>
          </cell>
        </row>
      </sheetData>
      <sheetData sheetId="11295">
        <row r="1">
          <cell r="A1" t="str">
            <v>1월 생산실적</v>
          </cell>
        </row>
      </sheetData>
      <sheetData sheetId="11296">
        <row r="1">
          <cell r="A1" t="str">
            <v>1월 생산실적</v>
          </cell>
        </row>
      </sheetData>
      <sheetData sheetId="11297">
        <row r="1">
          <cell r="A1" t="str">
            <v>1월 생산실적</v>
          </cell>
        </row>
      </sheetData>
      <sheetData sheetId="11298">
        <row r="1">
          <cell r="A1" t="str">
            <v>1월 생산실적</v>
          </cell>
        </row>
      </sheetData>
      <sheetData sheetId="11299">
        <row r="1">
          <cell r="A1" t="str">
            <v>1월 생산실적</v>
          </cell>
        </row>
      </sheetData>
      <sheetData sheetId="11300">
        <row r="1">
          <cell r="A1" t="str">
            <v>1월 생산실적</v>
          </cell>
        </row>
      </sheetData>
      <sheetData sheetId="11301">
        <row r="1">
          <cell r="A1" t="str">
            <v>1월 생산실적</v>
          </cell>
        </row>
      </sheetData>
      <sheetData sheetId="11302">
        <row r="1">
          <cell r="A1" t="str">
            <v>1월 생산실적</v>
          </cell>
        </row>
      </sheetData>
      <sheetData sheetId="11303">
        <row r="1">
          <cell r="A1" t="str">
            <v>1월 생산실적</v>
          </cell>
        </row>
      </sheetData>
      <sheetData sheetId="11304">
        <row r="1">
          <cell r="A1" t="str">
            <v>1월 생산실적</v>
          </cell>
        </row>
      </sheetData>
      <sheetData sheetId="11305">
        <row r="1">
          <cell r="A1" t="str">
            <v>1월 생산실적</v>
          </cell>
        </row>
      </sheetData>
      <sheetData sheetId="11306">
        <row r="1">
          <cell r="A1" t="str">
            <v>1월 생산실적</v>
          </cell>
        </row>
      </sheetData>
      <sheetData sheetId="11307">
        <row r="1">
          <cell r="A1" t="str">
            <v>1월 생산실적</v>
          </cell>
        </row>
      </sheetData>
      <sheetData sheetId="11308">
        <row r="1">
          <cell r="A1" t="str">
            <v>1월 생산실적</v>
          </cell>
        </row>
      </sheetData>
      <sheetData sheetId="11309">
        <row r="1">
          <cell r="A1" t="str">
            <v>1월 생산실적</v>
          </cell>
        </row>
      </sheetData>
      <sheetData sheetId="11310">
        <row r="1">
          <cell r="A1" t="str">
            <v>1월 생산실적</v>
          </cell>
        </row>
      </sheetData>
      <sheetData sheetId="11311">
        <row r="1">
          <cell r="A1" t="str">
            <v>1월 생산실적</v>
          </cell>
        </row>
      </sheetData>
      <sheetData sheetId="11312">
        <row r="1">
          <cell r="A1" t="str">
            <v>1월 생산실적</v>
          </cell>
        </row>
      </sheetData>
      <sheetData sheetId="11313">
        <row r="1">
          <cell r="A1" t="str">
            <v>1월 생산실적</v>
          </cell>
        </row>
      </sheetData>
      <sheetData sheetId="11314"/>
      <sheetData sheetId="11315"/>
      <sheetData sheetId="11316"/>
      <sheetData sheetId="11317"/>
      <sheetData sheetId="11318"/>
      <sheetData sheetId="11319">
        <row r="1">
          <cell r="A1" t="str">
            <v>1월 생산실적</v>
          </cell>
        </row>
      </sheetData>
      <sheetData sheetId="11320">
        <row r="1">
          <cell r="A1" t="str">
            <v>1월 생산실적</v>
          </cell>
        </row>
      </sheetData>
      <sheetData sheetId="11321">
        <row r="1">
          <cell r="A1" t="str">
            <v>1월 생산실적</v>
          </cell>
        </row>
      </sheetData>
      <sheetData sheetId="11322">
        <row r="1">
          <cell r="A1" t="str">
            <v>1월 생산실적</v>
          </cell>
        </row>
      </sheetData>
      <sheetData sheetId="11323"/>
      <sheetData sheetId="11324">
        <row r="1">
          <cell r="A1" t="str">
            <v>1월 생산실적</v>
          </cell>
        </row>
      </sheetData>
      <sheetData sheetId="11325">
        <row r="1">
          <cell r="A1" t="str">
            <v>1월 생산실적</v>
          </cell>
        </row>
      </sheetData>
      <sheetData sheetId="11326">
        <row r="1">
          <cell r="A1" t="str">
            <v>1월 생산실적</v>
          </cell>
        </row>
      </sheetData>
      <sheetData sheetId="11327"/>
      <sheetData sheetId="11328">
        <row r="1">
          <cell r="A1" t="str">
            <v>1월 생산실적</v>
          </cell>
        </row>
      </sheetData>
      <sheetData sheetId="11329">
        <row r="1">
          <cell r="A1" t="str">
            <v>1월 생산실적</v>
          </cell>
        </row>
      </sheetData>
      <sheetData sheetId="11330">
        <row r="1">
          <cell r="A1" t="str">
            <v>1월 생산실적</v>
          </cell>
        </row>
      </sheetData>
      <sheetData sheetId="11331">
        <row r="1">
          <cell r="A1" t="str">
            <v>1월 생산실적</v>
          </cell>
        </row>
      </sheetData>
      <sheetData sheetId="11332">
        <row r="1">
          <cell r="A1" t="str">
            <v>1월 생산실적</v>
          </cell>
        </row>
      </sheetData>
      <sheetData sheetId="11333">
        <row r="1">
          <cell r="A1" t="str">
            <v>1월 생산실적</v>
          </cell>
        </row>
      </sheetData>
      <sheetData sheetId="11334">
        <row r="1">
          <cell r="A1" t="str">
            <v>1월 생산실적</v>
          </cell>
        </row>
      </sheetData>
      <sheetData sheetId="11335">
        <row r="1">
          <cell r="A1" t="str">
            <v>1월 생산실적</v>
          </cell>
        </row>
      </sheetData>
      <sheetData sheetId="11336">
        <row r="1">
          <cell r="A1" t="str">
            <v>1월 생산실적</v>
          </cell>
        </row>
      </sheetData>
      <sheetData sheetId="11337">
        <row r="1">
          <cell r="A1" t="str">
            <v>1월 생산실적</v>
          </cell>
        </row>
      </sheetData>
      <sheetData sheetId="11338">
        <row r="1">
          <cell r="A1" t="str">
            <v>1월 생산실적</v>
          </cell>
        </row>
      </sheetData>
      <sheetData sheetId="11339">
        <row r="1">
          <cell r="A1" t="str">
            <v>1월 생산실적</v>
          </cell>
        </row>
      </sheetData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>
        <row r="1">
          <cell r="A1" t="str">
            <v>1월 생산실적</v>
          </cell>
        </row>
      </sheetData>
      <sheetData sheetId="11371">
        <row r="1">
          <cell r="A1" t="str">
            <v>1월 생산실적</v>
          </cell>
        </row>
      </sheetData>
      <sheetData sheetId="11372">
        <row r="1">
          <cell r="A1" t="str">
            <v>1월 생산실적</v>
          </cell>
        </row>
      </sheetData>
      <sheetData sheetId="11373">
        <row r="1">
          <cell r="A1" t="str">
            <v>1월 생산실적</v>
          </cell>
        </row>
      </sheetData>
      <sheetData sheetId="11374"/>
      <sheetData sheetId="11375">
        <row r="1">
          <cell r="A1" t="str">
            <v>1월 생산실적</v>
          </cell>
        </row>
      </sheetData>
      <sheetData sheetId="11376">
        <row r="1">
          <cell r="A1" t="str">
            <v>1월 생산실적</v>
          </cell>
        </row>
      </sheetData>
      <sheetData sheetId="11377">
        <row r="1">
          <cell r="A1" t="str">
            <v>1월 생산실적</v>
          </cell>
        </row>
      </sheetData>
      <sheetData sheetId="11378"/>
      <sheetData sheetId="11379"/>
      <sheetData sheetId="11380">
        <row r="1">
          <cell r="A1" t="str">
            <v>1월 생산실적</v>
          </cell>
        </row>
      </sheetData>
      <sheetData sheetId="11381">
        <row r="1">
          <cell r="A1" t="str">
            <v>1월 생산실적</v>
          </cell>
        </row>
      </sheetData>
      <sheetData sheetId="11382">
        <row r="1">
          <cell r="A1" t="str">
            <v>1월 생산실적</v>
          </cell>
        </row>
      </sheetData>
      <sheetData sheetId="11383">
        <row r="1">
          <cell r="A1" t="str">
            <v>1월 생산실적</v>
          </cell>
        </row>
      </sheetData>
      <sheetData sheetId="11384">
        <row r="1">
          <cell r="A1" t="str">
            <v>1월 생산실적</v>
          </cell>
        </row>
      </sheetData>
      <sheetData sheetId="11385"/>
      <sheetData sheetId="11386"/>
      <sheetData sheetId="11387"/>
      <sheetData sheetId="11388"/>
      <sheetData sheetId="11389"/>
      <sheetData sheetId="11390">
        <row r="1">
          <cell r="A1" t="str">
            <v>1월 생산실적</v>
          </cell>
        </row>
      </sheetData>
      <sheetData sheetId="11391">
        <row r="1">
          <cell r="A1" t="str">
            <v>1월 생산실적</v>
          </cell>
        </row>
      </sheetData>
      <sheetData sheetId="11392"/>
      <sheetData sheetId="11393"/>
      <sheetData sheetId="11394"/>
      <sheetData sheetId="11395"/>
      <sheetData sheetId="11396"/>
      <sheetData sheetId="11397"/>
      <sheetData sheetId="11398"/>
      <sheetData sheetId="11399">
        <row r="1">
          <cell r="A1" t="str">
            <v>1월 생산실적</v>
          </cell>
        </row>
      </sheetData>
      <sheetData sheetId="11400">
        <row r="1">
          <cell r="A1" t="str">
            <v>1월 생산실적</v>
          </cell>
        </row>
      </sheetData>
      <sheetData sheetId="11401"/>
      <sheetData sheetId="11402">
        <row r="1">
          <cell r="A1" t="str">
            <v>1월 생산실적</v>
          </cell>
        </row>
      </sheetData>
      <sheetData sheetId="11403">
        <row r="1">
          <cell r="A1" t="str">
            <v>1월 생산실적</v>
          </cell>
        </row>
      </sheetData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>
        <row r="6">
          <cell r="A6">
            <v>1</v>
          </cell>
        </row>
      </sheetData>
      <sheetData sheetId="11414">
        <row r="1">
          <cell r="A1" t="str">
            <v>1월 생산실적</v>
          </cell>
        </row>
      </sheetData>
      <sheetData sheetId="11415">
        <row r="1">
          <cell r="A1" t="str">
            <v>1월 생산실적</v>
          </cell>
        </row>
      </sheetData>
      <sheetData sheetId="11416"/>
      <sheetData sheetId="11417"/>
      <sheetData sheetId="11418"/>
      <sheetData sheetId="11419"/>
      <sheetData sheetId="11420"/>
      <sheetData sheetId="11421">
        <row r="1">
          <cell r="A1" t="str">
            <v>1월 생산실적</v>
          </cell>
        </row>
      </sheetData>
      <sheetData sheetId="11422"/>
      <sheetData sheetId="11423"/>
      <sheetData sheetId="11424">
        <row r="6">
          <cell r="A6">
            <v>1</v>
          </cell>
        </row>
      </sheetData>
      <sheetData sheetId="11425">
        <row r="6">
          <cell r="A6">
            <v>1</v>
          </cell>
        </row>
      </sheetData>
      <sheetData sheetId="11426"/>
      <sheetData sheetId="11427"/>
      <sheetData sheetId="11428"/>
      <sheetData sheetId="11429"/>
      <sheetData sheetId="11430"/>
      <sheetData sheetId="11431">
        <row r="1">
          <cell r="A1" t="str">
            <v>1월 생산실적</v>
          </cell>
        </row>
      </sheetData>
      <sheetData sheetId="11432">
        <row r="1">
          <cell r="A1" t="str">
            <v>1월 생산실적</v>
          </cell>
        </row>
      </sheetData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>
        <row r="6">
          <cell r="A6">
            <v>1</v>
          </cell>
        </row>
      </sheetData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>
        <row r="1">
          <cell r="A1" t="str">
            <v>1월 생산실적</v>
          </cell>
        </row>
      </sheetData>
      <sheetData sheetId="11497">
        <row r="5">
          <cell r="D5" t="str">
            <v>PROCESS PERFORMANCE STUDY</v>
          </cell>
        </row>
      </sheetData>
      <sheetData sheetId="11498">
        <row r="1">
          <cell r="A1" t="str">
            <v>1월 생산실적</v>
          </cell>
        </row>
      </sheetData>
      <sheetData sheetId="11499">
        <row r="1">
          <cell r="A1" t="str">
            <v>1월 생산실적</v>
          </cell>
        </row>
      </sheetData>
      <sheetData sheetId="11500">
        <row r="1">
          <cell r="A1" t="str">
            <v>1월 생산실적</v>
          </cell>
        </row>
      </sheetData>
      <sheetData sheetId="11501">
        <row r="1">
          <cell r="A1" t="str">
            <v>1월 생산실적</v>
          </cell>
        </row>
      </sheetData>
      <sheetData sheetId="11502">
        <row r="1">
          <cell r="A1" t="str">
            <v>1월 생산실적</v>
          </cell>
        </row>
      </sheetData>
      <sheetData sheetId="11503">
        <row r="1">
          <cell r="A1" t="str">
            <v>1월 생산실적</v>
          </cell>
        </row>
      </sheetData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>
        <row r="73">
          <cell r="E73">
            <v>-1978066.1999669024</v>
          </cell>
        </row>
      </sheetData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 refreshError="1"/>
      <sheetData sheetId="11753"/>
      <sheetData sheetId="11754"/>
      <sheetData sheetId="11755"/>
      <sheetData sheetId="11756"/>
      <sheetData sheetId="11757"/>
      <sheetData sheetId="11758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2년12월 생산계획 R2 2022.11.15"/>
      <sheetName val="12월 입고 요청 수량"/>
      <sheetName val="12월 라인운영계획 R3"/>
      <sheetName val="Module R3"/>
      <sheetName val="OneCell_R3"/>
      <sheetName val="12월 EDLC 단셀 계획 Rev03"/>
      <sheetName val="12월 모듈계획 Rev03"/>
      <sheetName val="12월 VPC 생산계획"/>
      <sheetName val="12월~2월 단셀 FCST"/>
      <sheetName val="PIVOT1"/>
      <sheetName val="Electrode Plan"/>
      <sheetName val="Calendate"/>
      <sheetName val="생산capa"/>
      <sheetName val="Pivot 1"/>
      <sheetName val="All 수주 정보"/>
      <sheetName val="재고, 예상 입고"/>
      <sheetName val="품목 코드"/>
      <sheetName val="Saicode"/>
      <sheetName val="확인 요청"/>
      <sheetName val="영업 미납"/>
      <sheetName val="12월 수주"/>
      <sheetName val="월본사경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OQATEST"/>
      <sheetName val="OQAVM"/>
      <sheetName val="OQACPK"/>
      <sheetName val="Sheet2"/>
      <sheetName val="Sheet3"/>
      <sheetName val="Sheet4"/>
      <sheetName val="Sheet5"/>
      <sheetName val="Sheet6"/>
      <sheetName val="Sheet7"/>
      <sheetName val="Sheet8"/>
      <sheetName val="F09"/>
      <sheetName val="차체부품 INS REPORT(갑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4A"/>
      <sheetName val="OQAVM"/>
      <sheetName val="FAB별"/>
      <sheetName val="전체"/>
    </sheetNames>
    <definedNames>
      <definedName name="입출고삭제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중장기 계획"/>
      <sheetName val="2023년 사업목표"/>
      <sheetName val="DATA-SC부문"/>
      <sheetName val="제품사이즈별"/>
      <sheetName val="법임 공장 구분"/>
      <sheetName val="분석-지역.고객사별"/>
      <sheetName val="#참고-연도별 매출금액"/>
    </sheetNames>
    <sheetDataSet>
      <sheetData sheetId="0" refreshError="1"/>
      <sheetData sheetId="1" refreshError="1"/>
      <sheetData sheetId="2">
        <row r="1">
          <cell r="M1">
            <v>1230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C2222-BAD0-4424-8DC9-62E83710DAF7}">
  <dimension ref="A2:W27"/>
  <sheetViews>
    <sheetView showGridLines="0" zoomScale="90" zoomScaleNormal="90" workbookViewId="0">
      <selection activeCell="L10" sqref="L10"/>
    </sheetView>
  </sheetViews>
  <sheetFormatPr defaultRowHeight="14.4" x14ac:dyDescent="0.3"/>
  <cols>
    <col min="1" max="1" width="4.33203125" style="1" customWidth="1"/>
    <col min="2" max="2" width="8.88671875" style="1"/>
    <col min="3" max="3" width="11.77734375" style="1" customWidth="1"/>
    <col min="4" max="4" width="11.77734375" style="7" customWidth="1"/>
    <col min="5" max="5" width="11.77734375" style="1" customWidth="1"/>
    <col min="6" max="7" width="11.77734375" style="7" customWidth="1"/>
    <col min="8" max="8" width="14.5546875" style="1" customWidth="1"/>
    <col min="9" max="9" width="14.109375" style="7" hidden="1" customWidth="1"/>
    <col min="10" max="10" width="31.88671875" style="1" customWidth="1"/>
    <col min="11" max="11" width="5.77734375" style="1" customWidth="1"/>
    <col min="12" max="12" width="19.44140625" style="1" customWidth="1"/>
    <col min="13" max="14" width="12.21875" style="1" customWidth="1"/>
    <col min="15" max="15" width="12.21875" style="9" customWidth="1"/>
    <col min="16" max="16" width="12.21875" style="1" customWidth="1"/>
    <col min="17" max="17" width="8.5546875" style="1" customWidth="1"/>
  </cols>
  <sheetData>
    <row r="2" spans="2:23" ht="34.200000000000003" customHeight="1" x14ac:dyDescent="0.3">
      <c r="B2" s="44" t="s">
        <v>1</v>
      </c>
      <c r="C2" s="44" t="s">
        <v>0</v>
      </c>
      <c r="D2" s="45" t="s">
        <v>17</v>
      </c>
      <c r="E2" s="46"/>
      <c r="F2" s="45" t="s">
        <v>16</v>
      </c>
      <c r="G2" s="46"/>
      <c r="H2" s="46"/>
      <c r="I2" s="42" t="s">
        <v>5</v>
      </c>
      <c r="J2" s="44" t="s">
        <v>4</v>
      </c>
      <c r="L2" s="47" t="s">
        <v>0</v>
      </c>
      <c r="M2" s="45" t="s">
        <v>2</v>
      </c>
      <c r="N2" s="48"/>
      <c r="O2" s="44" t="s">
        <v>2</v>
      </c>
      <c r="P2" s="44"/>
      <c r="R2">
        <v>3</v>
      </c>
      <c r="V2">
        <v>6</v>
      </c>
    </row>
    <row r="3" spans="2:23" ht="34.200000000000003" customHeight="1" x14ac:dyDescent="0.3">
      <c r="B3" s="44"/>
      <c r="C3" s="44"/>
      <c r="D3" s="12" t="s">
        <v>27</v>
      </c>
      <c r="E3" s="4" t="s">
        <v>3</v>
      </c>
      <c r="F3" s="12" t="s">
        <v>27</v>
      </c>
      <c r="G3" s="18" t="s">
        <v>27</v>
      </c>
      <c r="H3" s="4" t="s">
        <v>3</v>
      </c>
      <c r="I3" s="43"/>
      <c r="J3" s="44"/>
      <c r="L3" s="47"/>
      <c r="M3" s="3" t="s">
        <v>20</v>
      </c>
      <c r="N3" s="3" t="s">
        <v>21</v>
      </c>
      <c r="O3" s="3" t="s">
        <v>20</v>
      </c>
      <c r="P3" s="3" t="s">
        <v>21</v>
      </c>
    </row>
    <row r="4" spans="2:23" ht="33.6" customHeight="1" x14ac:dyDescent="0.3">
      <c r="B4" s="2">
        <v>1</v>
      </c>
      <c r="C4" s="2">
        <v>1320</v>
      </c>
      <c r="D4" s="6">
        <v>1280</v>
      </c>
      <c r="E4" s="2" t="s">
        <v>6</v>
      </c>
      <c r="F4" s="6">
        <v>2000</v>
      </c>
      <c r="G4" s="19">
        <v>2000</v>
      </c>
      <c r="H4" s="2" t="s">
        <v>7</v>
      </c>
      <c r="I4" s="6">
        <v>2400</v>
      </c>
      <c r="J4" s="5" t="s">
        <v>11</v>
      </c>
      <c r="L4" s="2">
        <v>1320</v>
      </c>
      <c r="M4" s="2">
        <v>21</v>
      </c>
      <c r="N4" s="2">
        <f>M4*3</f>
        <v>63</v>
      </c>
      <c r="O4" s="2">
        <v>13</v>
      </c>
      <c r="P4" s="2">
        <f>O4*3</f>
        <v>39</v>
      </c>
      <c r="R4" s="21">
        <f>$R$2/F4</f>
        <v>1.5E-3</v>
      </c>
      <c r="S4" s="20">
        <f>$R$2/G4</f>
        <v>1.5E-3</v>
      </c>
      <c r="V4" s="21">
        <f>$V$2/F4</f>
        <v>3.0000000000000001E-3</v>
      </c>
      <c r="W4" s="21">
        <f>$V$2/G4</f>
        <v>3.0000000000000001E-3</v>
      </c>
    </row>
    <row r="5" spans="2:23" ht="33.6" customHeight="1" x14ac:dyDescent="0.3">
      <c r="B5" s="2">
        <v>2</v>
      </c>
      <c r="C5" s="2">
        <v>1325</v>
      </c>
      <c r="D5" s="6">
        <v>1280</v>
      </c>
      <c r="E5" s="2" t="s">
        <v>6</v>
      </c>
      <c r="F5" s="6">
        <f>850*2</f>
        <v>1700</v>
      </c>
      <c r="G5" s="19">
        <v>3400</v>
      </c>
      <c r="H5" s="2" t="s">
        <v>7</v>
      </c>
      <c r="I5" s="6">
        <v>2400</v>
      </c>
      <c r="J5" s="5" t="s">
        <v>14</v>
      </c>
      <c r="L5" s="2">
        <v>1325</v>
      </c>
      <c r="M5" s="2">
        <v>21</v>
      </c>
      <c r="N5" s="2">
        <f t="shared" ref="N5:N8" si="0">M5*3</f>
        <v>63</v>
      </c>
      <c r="O5" s="2">
        <v>15</v>
      </c>
      <c r="P5" s="2">
        <f t="shared" ref="P5:P8" si="1">O5*3</f>
        <v>45</v>
      </c>
      <c r="R5" s="21">
        <f t="shared" ref="R5:R15" si="2">$R$2/F5</f>
        <v>1.7647058823529412E-3</v>
      </c>
      <c r="S5" s="20">
        <f t="shared" ref="S5:S15" si="3">$R$2/G5</f>
        <v>8.8235294117647062E-4</v>
      </c>
      <c r="V5" s="21">
        <f t="shared" ref="V5:V15" si="4">$V$2/F5</f>
        <v>3.5294117647058825E-3</v>
      </c>
      <c r="W5" s="21">
        <f t="shared" ref="W5:W15" si="5">$V$2/G5</f>
        <v>1.7647058823529412E-3</v>
      </c>
    </row>
    <row r="6" spans="2:23" ht="33.6" customHeight="1" x14ac:dyDescent="0.3">
      <c r="B6" s="2">
        <v>3</v>
      </c>
      <c r="C6" s="2">
        <v>1346</v>
      </c>
      <c r="D6" s="6">
        <v>600</v>
      </c>
      <c r="E6" s="2" t="s">
        <v>6</v>
      </c>
      <c r="F6" s="6">
        <v>800</v>
      </c>
      <c r="G6" s="19">
        <v>1600</v>
      </c>
      <c r="H6" s="2" t="s">
        <v>7</v>
      </c>
      <c r="I6" s="6">
        <v>1200</v>
      </c>
      <c r="J6" s="5" t="s">
        <v>13</v>
      </c>
      <c r="L6" s="2">
        <v>1346</v>
      </c>
      <c r="M6" s="2">
        <v>17</v>
      </c>
      <c r="N6" s="2">
        <f t="shared" si="0"/>
        <v>51</v>
      </c>
      <c r="O6" s="2">
        <v>12</v>
      </c>
      <c r="P6" s="2">
        <f t="shared" si="1"/>
        <v>36</v>
      </c>
      <c r="R6" s="21">
        <f t="shared" si="2"/>
        <v>3.7499999999999999E-3</v>
      </c>
      <c r="S6" s="20">
        <f t="shared" si="3"/>
        <v>1.8749999999999999E-3</v>
      </c>
      <c r="V6" s="21">
        <f t="shared" si="4"/>
        <v>7.4999999999999997E-3</v>
      </c>
      <c r="W6" s="21">
        <f t="shared" si="5"/>
        <v>3.7499999999999999E-3</v>
      </c>
    </row>
    <row r="7" spans="2:23" ht="33.6" customHeight="1" x14ac:dyDescent="0.3">
      <c r="B7" s="2">
        <v>4</v>
      </c>
      <c r="C7" s="2">
        <v>1625</v>
      </c>
      <c r="D7" s="6">
        <v>900</v>
      </c>
      <c r="E7" s="2" t="s">
        <v>6</v>
      </c>
      <c r="F7" s="6">
        <v>1400</v>
      </c>
      <c r="G7" s="19">
        <v>2400</v>
      </c>
      <c r="H7" s="2" t="s">
        <v>7</v>
      </c>
      <c r="I7" s="6">
        <v>1400</v>
      </c>
      <c r="J7" s="5" t="s">
        <v>12</v>
      </c>
      <c r="L7" s="2">
        <v>1625</v>
      </c>
      <c r="M7" s="2">
        <v>20</v>
      </c>
      <c r="N7" s="2">
        <f t="shared" si="0"/>
        <v>60</v>
      </c>
      <c r="O7" s="2">
        <v>13</v>
      </c>
      <c r="P7" s="2">
        <f t="shared" si="1"/>
        <v>39</v>
      </c>
      <c r="R7" s="21">
        <f t="shared" si="2"/>
        <v>2.142857142857143E-3</v>
      </c>
      <c r="S7" s="20">
        <f t="shared" si="3"/>
        <v>1.25E-3</v>
      </c>
      <c r="V7" s="21">
        <f t="shared" si="4"/>
        <v>4.2857142857142859E-3</v>
      </c>
      <c r="W7" s="21">
        <f t="shared" si="5"/>
        <v>2.5000000000000001E-3</v>
      </c>
    </row>
    <row r="8" spans="2:23" ht="33.6" customHeight="1" x14ac:dyDescent="0.3">
      <c r="B8" s="2">
        <v>5</v>
      </c>
      <c r="C8" s="2">
        <v>1840</v>
      </c>
      <c r="D8" s="6">
        <v>500</v>
      </c>
      <c r="E8" s="2" t="s">
        <v>6</v>
      </c>
      <c r="F8" s="6">
        <v>1000</v>
      </c>
      <c r="G8" s="19">
        <v>1000</v>
      </c>
      <c r="H8" s="2" t="s">
        <v>7</v>
      </c>
      <c r="I8" s="8" t="s">
        <v>10</v>
      </c>
      <c r="J8" s="5" t="s">
        <v>15</v>
      </c>
      <c r="L8" s="2">
        <v>1840</v>
      </c>
      <c r="M8" s="2">
        <v>36</v>
      </c>
      <c r="N8" s="2">
        <f t="shared" si="0"/>
        <v>108</v>
      </c>
      <c r="O8" s="2">
        <v>18</v>
      </c>
      <c r="P8" s="2">
        <f t="shared" si="1"/>
        <v>54</v>
      </c>
      <c r="R8" s="21">
        <f t="shared" si="2"/>
        <v>3.0000000000000001E-3</v>
      </c>
      <c r="S8" s="20">
        <f t="shared" si="3"/>
        <v>3.0000000000000001E-3</v>
      </c>
      <c r="V8" s="21">
        <f t="shared" si="4"/>
        <v>6.0000000000000001E-3</v>
      </c>
      <c r="W8" s="21">
        <f t="shared" si="5"/>
        <v>6.0000000000000001E-3</v>
      </c>
    </row>
    <row r="9" spans="2:23" ht="33.6" customHeight="1" x14ac:dyDescent="0.3">
      <c r="B9" s="2">
        <v>6</v>
      </c>
      <c r="C9" s="2">
        <v>1859</v>
      </c>
      <c r="D9" s="6">
        <v>300</v>
      </c>
      <c r="E9" s="2" t="s">
        <v>6</v>
      </c>
      <c r="F9" s="6">
        <v>900</v>
      </c>
      <c r="G9" s="19">
        <v>900</v>
      </c>
      <c r="H9" s="2" t="s">
        <v>6</v>
      </c>
      <c r="I9" s="8"/>
      <c r="J9" s="5" t="s">
        <v>29</v>
      </c>
      <c r="L9" s="2"/>
      <c r="M9" s="2"/>
      <c r="N9" s="2"/>
      <c r="O9" s="2"/>
      <c r="P9" s="2"/>
      <c r="R9" s="21">
        <f t="shared" si="2"/>
        <v>3.3333333333333335E-3</v>
      </c>
      <c r="S9" s="20">
        <f t="shared" si="3"/>
        <v>3.3333333333333335E-3</v>
      </c>
      <c r="V9" s="21">
        <f t="shared" si="4"/>
        <v>6.6666666666666671E-3</v>
      </c>
      <c r="W9" s="21">
        <f t="shared" si="5"/>
        <v>6.6666666666666671E-3</v>
      </c>
    </row>
    <row r="10" spans="2:23" ht="33.6" customHeight="1" x14ac:dyDescent="0.3">
      <c r="B10" s="2">
        <v>7</v>
      </c>
      <c r="C10" s="2" t="s">
        <v>30</v>
      </c>
      <c r="D10" s="6">
        <v>3000</v>
      </c>
      <c r="E10" s="2" t="s">
        <v>6</v>
      </c>
      <c r="F10" s="6">
        <v>3000</v>
      </c>
      <c r="G10" s="19">
        <v>3000</v>
      </c>
      <c r="H10" s="2" t="s">
        <v>6</v>
      </c>
      <c r="I10" s="8"/>
      <c r="J10" s="5" t="s">
        <v>29</v>
      </c>
      <c r="L10" s="2"/>
      <c r="M10" s="2"/>
      <c r="N10" s="2"/>
      <c r="O10" s="2"/>
      <c r="P10" s="2"/>
      <c r="R10" s="21">
        <f t="shared" si="2"/>
        <v>1E-3</v>
      </c>
      <c r="S10" s="20">
        <f t="shared" si="3"/>
        <v>1E-3</v>
      </c>
      <c r="V10" s="21">
        <f t="shared" si="4"/>
        <v>2E-3</v>
      </c>
      <c r="W10" s="21">
        <f t="shared" si="5"/>
        <v>2E-3</v>
      </c>
    </row>
    <row r="11" spans="2:23" ht="33.6" customHeight="1" x14ac:dyDescent="0.3">
      <c r="B11" s="2">
        <v>8</v>
      </c>
      <c r="C11" s="2" t="s">
        <v>31</v>
      </c>
      <c r="D11" s="6">
        <v>3000</v>
      </c>
      <c r="E11" s="2" t="s">
        <v>6</v>
      </c>
      <c r="F11" s="6">
        <v>3000</v>
      </c>
      <c r="G11" s="19">
        <v>3000</v>
      </c>
      <c r="H11" s="2" t="s">
        <v>6</v>
      </c>
      <c r="I11" s="8"/>
      <c r="J11" s="5" t="s">
        <v>29</v>
      </c>
      <c r="L11" s="2"/>
      <c r="M11" s="2"/>
      <c r="N11" s="2"/>
      <c r="O11" s="2"/>
      <c r="P11" s="2"/>
      <c r="R11" s="21">
        <f t="shared" si="2"/>
        <v>1E-3</v>
      </c>
      <c r="S11" s="20">
        <f t="shared" si="3"/>
        <v>1E-3</v>
      </c>
      <c r="V11" s="21">
        <f t="shared" si="4"/>
        <v>2E-3</v>
      </c>
      <c r="W11" s="21">
        <f t="shared" si="5"/>
        <v>2E-3</v>
      </c>
    </row>
    <row r="12" spans="2:23" ht="33.6" customHeight="1" x14ac:dyDescent="0.3">
      <c r="B12" s="2">
        <v>9</v>
      </c>
      <c r="C12" s="2" t="s">
        <v>32</v>
      </c>
      <c r="D12" s="6">
        <v>2000</v>
      </c>
      <c r="E12" s="2" t="s">
        <v>6</v>
      </c>
      <c r="F12" s="6">
        <v>2000</v>
      </c>
      <c r="G12" s="19">
        <v>2000</v>
      </c>
      <c r="H12" s="2" t="s">
        <v>6</v>
      </c>
      <c r="I12" s="8"/>
      <c r="J12" s="5" t="s">
        <v>29</v>
      </c>
      <c r="L12" s="2"/>
      <c r="M12" s="2"/>
      <c r="N12" s="2"/>
      <c r="O12" s="2"/>
      <c r="P12" s="2"/>
      <c r="R12" s="21">
        <f t="shared" si="2"/>
        <v>1.5E-3</v>
      </c>
      <c r="S12" s="20">
        <f t="shared" si="3"/>
        <v>1.5E-3</v>
      </c>
      <c r="V12" s="21">
        <f t="shared" si="4"/>
        <v>3.0000000000000001E-3</v>
      </c>
      <c r="W12" s="21">
        <f t="shared" si="5"/>
        <v>3.0000000000000001E-3</v>
      </c>
    </row>
    <row r="13" spans="2:23" ht="33.6" customHeight="1" x14ac:dyDescent="0.3">
      <c r="B13" s="2">
        <v>10</v>
      </c>
      <c r="C13" s="2" t="s">
        <v>33</v>
      </c>
      <c r="D13" s="6">
        <v>2000</v>
      </c>
      <c r="E13" s="2" t="s">
        <v>6</v>
      </c>
      <c r="F13" s="6">
        <v>2000</v>
      </c>
      <c r="G13" s="19">
        <v>2000</v>
      </c>
      <c r="H13" s="2" t="s">
        <v>6</v>
      </c>
      <c r="I13" s="8"/>
      <c r="J13" s="5" t="s">
        <v>29</v>
      </c>
      <c r="L13" s="2"/>
      <c r="M13" s="2"/>
      <c r="N13" s="2"/>
      <c r="O13" s="2"/>
      <c r="P13" s="2"/>
      <c r="R13" s="21">
        <f t="shared" si="2"/>
        <v>1.5E-3</v>
      </c>
      <c r="S13" s="20">
        <f t="shared" si="3"/>
        <v>1.5E-3</v>
      </c>
      <c r="V13" s="21">
        <f t="shared" si="4"/>
        <v>3.0000000000000001E-3</v>
      </c>
      <c r="W13" s="21">
        <f t="shared" si="5"/>
        <v>3.0000000000000001E-3</v>
      </c>
    </row>
    <row r="14" spans="2:23" ht="33.6" customHeight="1" x14ac:dyDescent="0.3">
      <c r="B14" s="2">
        <v>11</v>
      </c>
      <c r="C14" s="2" t="s">
        <v>34</v>
      </c>
      <c r="D14" s="6">
        <v>1000</v>
      </c>
      <c r="E14" s="2" t="s">
        <v>6</v>
      </c>
      <c r="F14" s="6">
        <v>3000</v>
      </c>
      <c r="G14" s="19">
        <v>3000</v>
      </c>
      <c r="H14" s="2" t="s">
        <v>6</v>
      </c>
      <c r="I14" s="8"/>
      <c r="J14" s="5" t="s">
        <v>29</v>
      </c>
      <c r="L14" s="2"/>
      <c r="M14" s="2"/>
      <c r="N14" s="2"/>
      <c r="O14" s="2"/>
      <c r="P14" s="2"/>
      <c r="R14" s="21">
        <f t="shared" si="2"/>
        <v>1E-3</v>
      </c>
      <c r="S14" s="20">
        <f t="shared" si="3"/>
        <v>1E-3</v>
      </c>
      <c r="V14" s="21">
        <f t="shared" si="4"/>
        <v>2E-3</v>
      </c>
      <c r="W14" s="21">
        <f t="shared" si="5"/>
        <v>2E-3</v>
      </c>
    </row>
    <row r="15" spans="2:23" ht="33.6" customHeight="1" x14ac:dyDescent="0.3">
      <c r="B15" s="2">
        <v>12</v>
      </c>
      <c r="C15" s="2" t="s">
        <v>35</v>
      </c>
      <c r="D15" s="6">
        <v>1000</v>
      </c>
      <c r="E15" s="2" t="s">
        <v>6</v>
      </c>
      <c r="F15" s="6">
        <v>3000</v>
      </c>
      <c r="G15" s="19">
        <v>3000</v>
      </c>
      <c r="H15" s="2" t="s">
        <v>6</v>
      </c>
      <c r="I15" s="8"/>
      <c r="J15" s="5" t="s">
        <v>29</v>
      </c>
      <c r="L15" s="2"/>
      <c r="M15" s="2"/>
      <c r="N15" s="2"/>
      <c r="O15" s="2"/>
      <c r="P15" s="2"/>
      <c r="R15" s="21">
        <f t="shared" si="2"/>
        <v>1E-3</v>
      </c>
      <c r="S15" s="20">
        <f t="shared" si="3"/>
        <v>1E-3</v>
      </c>
      <c r="V15" s="21">
        <f t="shared" si="4"/>
        <v>2E-3</v>
      </c>
      <c r="W15" s="21">
        <f t="shared" si="5"/>
        <v>2E-3</v>
      </c>
    </row>
    <row r="16" spans="2:23" ht="33.6" customHeight="1" x14ac:dyDescent="0.3">
      <c r="B16" s="2">
        <v>13</v>
      </c>
      <c r="C16" s="2">
        <v>3562</v>
      </c>
      <c r="D16" s="6">
        <v>179</v>
      </c>
      <c r="E16" s="2" t="s">
        <v>6</v>
      </c>
      <c r="F16" s="6">
        <f>D16*3</f>
        <v>537</v>
      </c>
      <c r="G16" s="19">
        <f>537*2</f>
        <v>1074</v>
      </c>
      <c r="H16" s="2" t="s">
        <v>6</v>
      </c>
      <c r="I16" s="6">
        <v>600</v>
      </c>
      <c r="J16" s="5" t="s">
        <v>8</v>
      </c>
      <c r="L16" s="2">
        <v>3562</v>
      </c>
      <c r="M16" s="2">
        <v>50</v>
      </c>
      <c r="N16" s="2">
        <f>M16*1</f>
        <v>50</v>
      </c>
      <c r="O16" s="2">
        <v>17</v>
      </c>
      <c r="P16" s="2">
        <f>O16</f>
        <v>17</v>
      </c>
      <c r="R16" s="21">
        <f>T16/F16</f>
        <v>3.7243947858472998E-3</v>
      </c>
      <c r="S16" s="20">
        <f>T16/G16</f>
        <v>1.8621973929236499E-3</v>
      </c>
      <c r="T16">
        <v>2</v>
      </c>
      <c r="V16" s="21">
        <f>3/F16</f>
        <v>5.5865921787709499E-3</v>
      </c>
      <c r="W16" s="21">
        <f>3/G16</f>
        <v>2.7932960893854749E-3</v>
      </c>
    </row>
    <row r="17" spans="2:23" ht="33.6" customHeight="1" x14ac:dyDescent="0.3">
      <c r="B17" s="2">
        <v>14</v>
      </c>
      <c r="C17" s="2">
        <v>3582</v>
      </c>
      <c r="D17" s="6">
        <v>179</v>
      </c>
      <c r="E17" s="2" t="s">
        <v>6</v>
      </c>
      <c r="F17" s="6">
        <f>D17*2</f>
        <v>358</v>
      </c>
      <c r="G17" s="19">
        <f>F17*2</f>
        <v>716</v>
      </c>
      <c r="H17" s="2" t="s">
        <v>6</v>
      </c>
      <c r="I17" s="6">
        <v>600</v>
      </c>
      <c r="J17" s="5" t="s">
        <v>9</v>
      </c>
      <c r="L17" s="2">
        <v>3582</v>
      </c>
      <c r="M17" s="2">
        <v>16</v>
      </c>
      <c r="N17" s="2">
        <f t="shared" ref="N17:N18" si="6">M17*1</f>
        <v>16</v>
      </c>
      <c r="O17" s="2">
        <v>8</v>
      </c>
      <c r="P17" s="2">
        <f t="shared" ref="P17:P18" si="7">O17</f>
        <v>8</v>
      </c>
      <c r="R17" s="21">
        <f>T16/F17</f>
        <v>5.5865921787709499E-3</v>
      </c>
      <c r="S17" s="20">
        <f>T16/G17</f>
        <v>2.7932960893854749E-3</v>
      </c>
      <c r="V17" s="21">
        <f>3/F17</f>
        <v>8.3798882681564244E-3</v>
      </c>
      <c r="W17" s="21">
        <f>3/G17</f>
        <v>4.1899441340782122E-3</v>
      </c>
    </row>
    <row r="18" spans="2:23" ht="33.6" customHeight="1" x14ac:dyDescent="0.3">
      <c r="B18" s="2">
        <v>15</v>
      </c>
      <c r="C18" s="2">
        <v>35105</v>
      </c>
      <c r="D18" s="6">
        <v>179</v>
      </c>
      <c r="E18" s="2" t="s">
        <v>6</v>
      </c>
      <c r="F18" s="6">
        <f>D18*2</f>
        <v>358</v>
      </c>
      <c r="G18" s="19">
        <f>F18*2</f>
        <v>716</v>
      </c>
      <c r="H18" s="2" t="s">
        <v>6</v>
      </c>
      <c r="I18" s="6">
        <v>600</v>
      </c>
      <c r="J18" s="5" t="s">
        <v>9</v>
      </c>
      <c r="L18" s="2">
        <v>35105</v>
      </c>
      <c r="M18" s="2">
        <v>16</v>
      </c>
      <c r="N18" s="2">
        <f t="shared" si="6"/>
        <v>16</v>
      </c>
      <c r="O18" s="2">
        <v>8</v>
      </c>
      <c r="P18" s="2">
        <f t="shared" si="7"/>
        <v>8</v>
      </c>
      <c r="R18" s="21">
        <f>T16/F18</f>
        <v>5.5865921787709499E-3</v>
      </c>
      <c r="S18" s="20">
        <f>T16/G18</f>
        <v>2.7932960893854749E-3</v>
      </c>
      <c r="V18" s="21">
        <f t="shared" ref="V18:W18" si="8">3/F18</f>
        <v>8.3798882681564244E-3</v>
      </c>
      <c r="W18" s="21">
        <f t="shared" si="8"/>
        <v>4.1899441340782122E-3</v>
      </c>
    </row>
    <row r="19" spans="2:23" ht="15.6" x14ac:dyDescent="0.3">
      <c r="L19" s="10" t="s">
        <v>22</v>
      </c>
      <c r="M19" s="10">
        <f>SUM(M4:M18)</f>
        <v>197</v>
      </c>
      <c r="N19" s="10">
        <f t="shared" ref="N19:P19" si="9">SUM(N4:N18)</f>
        <v>427</v>
      </c>
      <c r="O19" s="10">
        <f t="shared" si="9"/>
        <v>104</v>
      </c>
      <c r="P19" s="10">
        <f t="shared" si="9"/>
        <v>246</v>
      </c>
      <c r="Q19" s="11">
        <f>P19-N19</f>
        <v>-181</v>
      </c>
      <c r="R19" s="20"/>
    </row>
    <row r="20" spans="2:23" ht="18" x14ac:dyDescent="0.3">
      <c r="B20" s="41" t="s">
        <v>18</v>
      </c>
      <c r="C20" s="41"/>
      <c r="D20" s="17"/>
      <c r="R20" s="20"/>
    </row>
    <row r="21" spans="2:23" ht="18" x14ac:dyDescent="0.3">
      <c r="B21" s="41" t="s">
        <v>19</v>
      </c>
      <c r="C21" s="41"/>
      <c r="D21" s="41"/>
    </row>
    <row r="22" spans="2:23" ht="15.6" x14ac:dyDescent="0.3">
      <c r="B22" s="14" t="s">
        <v>25</v>
      </c>
      <c r="C22" s="15"/>
      <c r="D22" s="13"/>
    </row>
    <row r="23" spans="2:23" ht="15.6" x14ac:dyDescent="0.3">
      <c r="B23" s="14" t="s">
        <v>26</v>
      </c>
      <c r="C23" s="15"/>
      <c r="D23" s="13"/>
    </row>
    <row r="24" spans="2:23" ht="18" x14ac:dyDescent="0.3">
      <c r="B24" s="41" t="s">
        <v>23</v>
      </c>
      <c r="C24" s="41"/>
      <c r="D24" s="41"/>
    </row>
    <row r="25" spans="2:23" ht="15.6" x14ac:dyDescent="0.3">
      <c r="B25" s="16" t="s">
        <v>28</v>
      </c>
      <c r="C25" s="15"/>
      <c r="D25" s="13"/>
    </row>
    <row r="26" spans="2:23" ht="15.6" x14ac:dyDescent="0.3">
      <c r="B26" s="16" t="s">
        <v>24</v>
      </c>
      <c r="C26" s="15"/>
      <c r="D26" s="13"/>
    </row>
    <row r="27" spans="2:23" ht="15.6" x14ac:dyDescent="0.3">
      <c r="B27" s="16"/>
      <c r="C27" s="15"/>
      <c r="D27" s="13"/>
    </row>
  </sheetData>
  <mergeCells count="12">
    <mergeCell ref="B20:C20"/>
    <mergeCell ref="B21:D21"/>
    <mergeCell ref="B24:D24"/>
    <mergeCell ref="M2:N2"/>
    <mergeCell ref="O2:P2"/>
    <mergeCell ref="L2:L3"/>
    <mergeCell ref="C2:C3"/>
    <mergeCell ref="B2:B3"/>
    <mergeCell ref="J2:J3"/>
    <mergeCell ref="I2:I3"/>
    <mergeCell ref="D2:E2"/>
    <mergeCell ref="F2:H2"/>
  </mergeCells>
  <phoneticPr fontId="2" type="noConversion"/>
  <pageMargins left="0.7" right="0.7" top="0.75" bottom="0.75" header="0.3" footer="0.3"/>
  <pageSetup paperSize="9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7C9A-4099-47D7-8AEE-A551DEEB1C5D}">
  <dimension ref="A1:AU43"/>
  <sheetViews>
    <sheetView showGridLines="0" tabSelected="1" zoomScale="90" zoomScaleNormal="90" workbookViewId="0">
      <selection activeCell="AP10" sqref="AP10"/>
    </sheetView>
  </sheetViews>
  <sheetFormatPr defaultRowHeight="14.4" x14ac:dyDescent="0.3"/>
  <cols>
    <col min="1" max="1" width="4.33203125" style="1" customWidth="1"/>
    <col min="2" max="2" width="10.5546875" style="1" customWidth="1"/>
    <col min="3" max="3" width="19.88671875" style="1" customWidth="1"/>
    <col min="4" max="9" width="21.109375" style="7" customWidth="1"/>
    <col min="10" max="10" width="26.88671875" style="1" customWidth="1"/>
    <col min="11" max="11" width="5.77734375" style="1" customWidth="1"/>
    <col min="12" max="12" width="19.44140625" style="1" hidden="1" customWidth="1"/>
    <col min="13" max="13" width="11.77734375" style="7" hidden="1" customWidth="1"/>
    <col min="14" max="15" width="11.77734375" style="1" hidden="1" customWidth="1"/>
    <col min="16" max="16" width="11.77734375" style="9" hidden="1" customWidth="1"/>
    <col min="17" max="17" width="11.77734375" style="1" hidden="1" customWidth="1"/>
    <col min="18" max="19" width="8.5546875" style="1" hidden="1" customWidth="1"/>
    <col min="20" max="20" width="0" style="31" hidden="1" customWidth="1"/>
    <col min="21" max="21" width="10.6640625" style="31" hidden="1" customWidth="1"/>
    <col min="22" max="22" width="0" style="31" hidden="1" customWidth="1"/>
    <col min="23" max="38" width="0" hidden="1" customWidth="1"/>
  </cols>
  <sheetData>
    <row r="1" spans="2:47" x14ac:dyDescent="0.3">
      <c r="T1" s="31">
        <v>3</v>
      </c>
    </row>
    <row r="2" spans="2:47" ht="40.799999999999997" customHeight="1" x14ac:dyDescent="0.3">
      <c r="B2" s="71" t="s">
        <v>45</v>
      </c>
    </row>
    <row r="3" spans="2:47" ht="34.200000000000003" customHeight="1" x14ac:dyDescent="0.3">
      <c r="B3" s="44" t="s">
        <v>1</v>
      </c>
      <c r="C3" s="44" t="s">
        <v>0</v>
      </c>
      <c r="D3" s="45" t="s">
        <v>17</v>
      </c>
      <c r="E3" s="46"/>
      <c r="F3" s="46"/>
      <c r="G3" s="45" t="s">
        <v>16</v>
      </c>
      <c r="H3" s="46"/>
      <c r="I3" s="46"/>
      <c r="J3" s="44" t="s">
        <v>4</v>
      </c>
      <c r="L3" s="47" t="s">
        <v>0</v>
      </c>
      <c r="M3" s="42" t="s">
        <v>36</v>
      </c>
      <c r="N3" s="45" t="s">
        <v>17</v>
      </c>
      <c r="O3" s="48"/>
      <c r="P3" s="49" t="s">
        <v>16</v>
      </c>
      <c r="Q3" s="49"/>
    </row>
    <row r="4" spans="2:47" ht="34.200000000000003" customHeight="1" x14ac:dyDescent="0.3">
      <c r="B4" s="44"/>
      <c r="C4" s="44"/>
      <c r="D4" s="12" t="s">
        <v>38</v>
      </c>
      <c r="E4" s="12" t="s">
        <v>40</v>
      </c>
      <c r="F4" s="12" t="s">
        <v>39</v>
      </c>
      <c r="G4" s="12" t="s">
        <v>38</v>
      </c>
      <c r="H4" s="12" t="s">
        <v>40</v>
      </c>
      <c r="I4" s="12" t="s">
        <v>39</v>
      </c>
      <c r="J4" s="44"/>
      <c r="L4" s="47"/>
      <c r="M4" s="43"/>
      <c r="N4" s="3" t="s">
        <v>20</v>
      </c>
      <c r="O4" s="3" t="s">
        <v>21</v>
      </c>
      <c r="P4" s="25" t="s">
        <v>20</v>
      </c>
      <c r="Q4" s="25" t="s">
        <v>21</v>
      </c>
      <c r="T4" s="30" t="s">
        <v>17</v>
      </c>
      <c r="U4" s="30" t="s">
        <v>16</v>
      </c>
      <c r="V4" s="30" t="s">
        <v>37</v>
      </c>
    </row>
    <row r="5" spans="2:47" ht="22.8" customHeight="1" x14ac:dyDescent="0.3">
      <c r="B5" s="2">
        <v>1</v>
      </c>
      <c r="C5" s="2">
        <v>1320</v>
      </c>
      <c r="D5" s="6">
        <v>2000</v>
      </c>
      <c r="E5" s="6">
        <v>6</v>
      </c>
      <c r="F5" s="32">
        <f>+E5/D5</f>
        <v>3.0000000000000001E-3</v>
      </c>
      <c r="G5" s="26">
        <v>4000</v>
      </c>
      <c r="H5" s="26">
        <v>6</v>
      </c>
      <c r="I5" s="39">
        <f>H5/G5</f>
        <v>1.5E-3</v>
      </c>
      <c r="J5" s="72" t="s">
        <v>65</v>
      </c>
      <c r="L5" s="2">
        <v>1320</v>
      </c>
      <c r="M5" s="6">
        <v>26400</v>
      </c>
      <c r="N5" s="24">
        <f t="shared" ref="N5:N16" si="0">M5/D5</f>
        <v>13.2</v>
      </c>
      <c r="O5" s="24">
        <f>N5*3</f>
        <v>39.599999999999994</v>
      </c>
      <c r="P5" s="27">
        <f t="shared" ref="P5:P16" si="1">M5/G5</f>
        <v>6.6</v>
      </c>
      <c r="Q5" s="27">
        <f>P5*3</f>
        <v>19.799999999999997</v>
      </c>
      <c r="T5" s="32">
        <f t="shared" ref="T5:T22" si="2">$T$1/D5</f>
        <v>1.5E-3</v>
      </c>
      <c r="U5" s="32">
        <f t="shared" ref="U5:U16" si="3">$T$1/G5</f>
        <v>7.5000000000000002E-4</v>
      </c>
      <c r="V5" s="33">
        <f>T5-U5</f>
        <v>7.5000000000000002E-4</v>
      </c>
    </row>
    <row r="6" spans="2:47" ht="22.8" customHeight="1" x14ac:dyDescent="0.3">
      <c r="B6" s="2">
        <v>2</v>
      </c>
      <c r="C6" s="2">
        <v>1325</v>
      </c>
      <c r="D6" s="6">
        <v>1700</v>
      </c>
      <c r="E6" s="6">
        <v>6</v>
      </c>
      <c r="F6" s="32">
        <f t="shared" ref="F6:F21" si="4">+E6/D6</f>
        <v>3.5294117647058825E-3</v>
      </c>
      <c r="G6" s="26">
        <v>3400</v>
      </c>
      <c r="H6" s="26">
        <v>6</v>
      </c>
      <c r="I6" s="39">
        <f t="shared" ref="I6:I21" si="5">H6/G6</f>
        <v>1.7647058823529412E-3</v>
      </c>
      <c r="J6" s="72" t="s">
        <v>65</v>
      </c>
      <c r="L6" s="2">
        <v>1325</v>
      </c>
      <c r="M6" s="6">
        <v>26400</v>
      </c>
      <c r="N6" s="24">
        <f t="shared" si="0"/>
        <v>15.529411764705882</v>
      </c>
      <c r="O6" s="24">
        <f t="shared" ref="O6:O16" si="6">N6*3</f>
        <v>46.588235294117645</v>
      </c>
      <c r="P6" s="27">
        <f t="shared" si="1"/>
        <v>7.7647058823529411</v>
      </c>
      <c r="Q6" s="27">
        <f t="shared" ref="Q6:Q9" si="7">P6*3</f>
        <v>23.294117647058822</v>
      </c>
      <c r="T6" s="32">
        <f t="shared" si="2"/>
        <v>1.7647058823529412E-3</v>
      </c>
      <c r="U6" s="32">
        <f t="shared" si="3"/>
        <v>8.8235294117647062E-4</v>
      </c>
      <c r="V6" s="33">
        <f t="shared" ref="V6:V22" si="8">T6-U6</f>
        <v>8.8235294117647062E-4</v>
      </c>
      <c r="AN6" s="60"/>
      <c r="AO6" s="60"/>
      <c r="AP6" s="60"/>
      <c r="AQ6" s="60"/>
      <c r="AR6" s="60"/>
      <c r="AS6" s="60"/>
      <c r="AT6" s="60"/>
      <c r="AU6" s="60"/>
    </row>
    <row r="7" spans="2:47" ht="22.8" customHeight="1" x14ac:dyDescent="0.3">
      <c r="B7" s="2">
        <v>3</v>
      </c>
      <c r="C7" s="2">
        <v>1346</v>
      </c>
      <c r="D7" s="6">
        <v>800</v>
      </c>
      <c r="E7" s="6">
        <v>6</v>
      </c>
      <c r="F7" s="32">
        <f t="shared" si="4"/>
        <v>7.4999999999999997E-3</v>
      </c>
      <c r="G7" s="26">
        <v>1600</v>
      </c>
      <c r="H7" s="26">
        <v>6</v>
      </c>
      <c r="I7" s="39">
        <f t="shared" si="5"/>
        <v>3.7499999999999999E-3</v>
      </c>
      <c r="J7" s="72" t="s">
        <v>65</v>
      </c>
      <c r="L7" s="2">
        <v>1346</v>
      </c>
      <c r="M7" s="6">
        <v>13500</v>
      </c>
      <c r="N7" s="24">
        <f t="shared" si="0"/>
        <v>16.875</v>
      </c>
      <c r="O7" s="24">
        <f t="shared" si="6"/>
        <v>50.625</v>
      </c>
      <c r="P7" s="27">
        <f t="shared" si="1"/>
        <v>8.4375</v>
      </c>
      <c r="Q7" s="27">
        <f t="shared" si="7"/>
        <v>25.3125</v>
      </c>
      <c r="T7" s="32">
        <f t="shared" si="2"/>
        <v>3.7499999999999999E-3</v>
      </c>
      <c r="U7" s="32">
        <f t="shared" si="3"/>
        <v>1.8749999999999999E-3</v>
      </c>
      <c r="V7" s="33">
        <f t="shared" si="8"/>
        <v>1.8749999999999999E-3</v>
      </c>
      <c r="AN7" s="60"/>
      <c r="AO7" s="60"/>
      <c r="AP7" s="60"/>
      <c r="AQ7" s="60"/>
      <c r="AR7" s="60"/>
      <c r="AS7" s="60"/>
      <c r="AT7" s="60"/>
      <c r="AU7" s="60"/>
    </row>
    <row r="8" spans="2:47" ht="22.8" customHeight="1" x14ac:dyDescent="0.3">
      <c r="B8" s="2">
        <v>4</v>
      </c>
      <c r="C8" s="2">
        <v>1625</v>
      </c>
      <c r="D8" s="6">
        <v>2400</v>
      </c>
      <c r="E8" s="6">
        <v>6</v>
      </c>
      <c r="F8" s="32">
        <f t="shared" si="4"/>
        <v>2.5000000000000001E-3</v>
      </c>
      <c r="G8" s="6">
        <v>2400</v>
      </c>
      <c r="H8" s="6">
        <v>6</v>
      </c>
      <c r="I8" s="40">
        <f t="shared" si="5"/>
        <v>2.5000000000000001E-3</v>
      </c>
      <c r="J8" s="5" t="s">
        <v>66</v>
      </c>
      <c r="L8" s="2">
        <v>1625</v>
      </c>
      <c r="M8" s="6">
        <v>20000</v>
      </c>
      <c r="N8" s="24">
        <f t="shared" si="0"/>
        <v>8.3333333333333339</v>
      </c>
      <c r="O8" s="24">
        <f t="shared" si="6"/>
        <v>25</v>
      </c>
      <c r="P8" s="24">
        <f t="shared" si="1"/>
        <v>8.3333333333333339</v>
      </c>
      <c r="Q8" s="24">
        <f t="shared" si="7"/>
        <v>25</v>
      </c>
      <c r="T8" s="32">
        <f t="shared" si="2"/>
        <v>1.25E-3</v>
      </c>
      <c r="U8" s="32">
        <f t="shared" si="3"/>
        <v>1.25E-3</v>
      </c>
      <c r="V8" s="34">
        <f t="shared" si="8"/>
        <v>0</v>
      </c>
      <c r="AN8" s="60"/>
      <c r="AO8" s="60"/>
      <c r="AP8" s="60"/>
      <c r="AQ8" s="60"/>
      <c r="AR8" s="60"/>
      <c r="AS8" s="60"/>
      <c r="AT8" s="60"/>
      <c r="AU8" s="60"/>
    </row>
    <row r="9" spans="2:47" ht="22.8" customHeight="1" x14ac:dyDescent="0.3">
      <c r="B9" s="2">
        <v>5</v>
      </c>
      <c r="C9" s="2">
        <v>1840</v>
      </c>
      <c r="D9" s="6">
        <v>1000</v>
      </c>
      <c r="E9" s="6">
        <v>6</v>
      </c>
      <c r="F9" s="32">
        <f t="shared" si="4"/>
        <v>6.0000000000000001E-3</v>
      </c>
      <c r="G9" s="26">
        <v>2000</v>
      </c>
      <c r="H9" s="26">
        <v>6</v>
      </c>
      <c r="I9" s="39">
        <f t="shared" si="5"/>
        <v>3.0000000000000001E-3</v>
      </c>
      <c r="J9" s="72" t="s">
        <v>65</v>
      </c>
      <c r="L9" s="2">
        <v>1840</v>
      </c>
      <c r="M9" s="6">
        <v>36000</v>
      </c>
      <c r="N9" s="24">
        <f t="shared" si="0"/>
        <v>36</v>
      </c>
      <c r="O9" s="24">
        <f t="shared" si="6"/>
        <v>108</v>
      </c>
      <c r="P9" s="24">
        <f t="shared" si="1"/>
        <v>18</v>
      </c>
      <c r="Q9" s="24">
        <f t="shared" si="7"/>
        <v>54</v>
      </c>
      <c r="T9" s="32">
        <f t="shared" si="2"/>
        <v>3.0000000000000001E-3</v>
      </c>
      <c r="U9" s="32">
        <f t="shared" si="3"/>
        <v>1.5E-3</v>
      </c>
      <c r="V9" s="34">
        <f t="shared" si="8"/>
        <v>1.5E-3</v>
      </c>
      <c r="AN9" s="60"/>
      <c r="AO9" s="60"/>
      <c r="AP9" s="60"/>
      <c r="AQ9" s="60"/>
      <c r="AR9" s="60"/>
      <c r="AS9" s="60"/>
      <c r="AT9" s="60"/>
      <c r="AU9" s="60"/>
    </row>
    <row r="10" spans="2:47" ht="22.8" customHeight="1" x14ac:dyDescent="0.3">
      <c r="B10" s="2">
        <v>6</v>
      </c>
      <c r="C10" s="2">
        <v>1859</v>
      </c>
      <c r="D10" s="6">
        <v>300</v>
      </c>
      <c r="E10" s="6">
        <v>6</v>
      </c>
      <c r="F10" s="32">
        <f t="shared" si="4"/>
        <v>0.02</v>
      </c>
      <c r="G10" s="26">
        <v>900</v>
      </c>
      <c r="H10" s="26">
        <v>6</v>
      </c>
      <c r="I10" s="39">
        <f t="shared" si="5"/>
        <v>6.6666666666666671E-3</v>
      </c>
      <c r="J10" s="72" t="s">
        <v>65</v>
      </c>
      <c r="L10" s="2">
        <v>1859</v>
      </c>
      <c r="M10" s="6">
        <v>5000</v>
      </c>
      <c r="N10" s="24">
        <f t="shared" si="0"/>
        <v>16.666666666666668</v>
      </c>
      <c r="O10" s="24">
        <f t="shared" si="6"/>
        <v>50</v>
      </c>
      <c r="P10" s="27">
        <f t="shared" si="1"/>
        <v>5.5555555555555554</v>
      </c>
      <c r="Q10" s="27">
        <f t="shared" ref="Q10:Q16" si="9">P10*3</f>
        <v>16.666666666666664</v>
      </c>
      <c r="T10" s="32">
        <f t="shared" si="2"/>
        <v>0.01</v>
      </c>
      <c r="U10" s="32">
        <f t="shared" si="3"/>
        <v>3.3333333333333335E-3</v>
      </c>
      <c r="V10" s="33">
        <f t="shared" si="8"/>
        <v>6.6666666666666662E-3</v>
      </c>
      <c r="AN10" s="60"/>
      <c r="AO10" s="60"/>
      <c r="AP10" s="60"/>
      <c r="AQ10" s="60"/>
      <c r="AR10" s="60"/>
      <c r="AS10" s="60"/>
      <c r="AT10" s="60"/>
      <c r="AU10" s="60"/>
    </row>
    <row r="11" spans="2:47" ht="22.8" customHeight="1" x14ac:dyDescent="0.3">
      <c r="B11" s="2">
        <v>7</v>
      </c>
      <c r="C11" s="2" t="s">
        <v>30</v>
      </c>
      <c r="D11" s="6">
        <v>3000</v>
      </c>
      <c r="E11" s="6">
        <v>6</v>
      </c>
      <c r="F11" s="32">
        <f t="shared" si="4"/>
        <v>2E-3</v>
      </c>
      <c r="G11" s="6">
        <v>3000</v>
      </c>
      <c r="H11" s="6">
        <v>6</v>
      </c>
      <c r="I11" s="40">
        <f t="shared" si="5"/>
        <v>2E-3</v>
      </c>
      <c r="J11" s="5" t="s">
        <v>66</v>
      </c>
      <c r="L11" s="2" t="s">
        <v>30</v>
      </c>
      <c r="M11" s="6">
        <v>18000</v>
      </c>
      <c r="N11" s="24">
        <f t="shared" si="0"/>
        <v>6</v>
      </c>
      <c r="O11" s="24">
        <f t="shared" si="6"/>
        <v>18</v>
      </c>
      <c r="P11" s="27">
        <f t="shared" si="1"/>
        <v>6</v>
      </c>
      <c r="Q11" s="27">
        <f t="shared" si="9"/>
        <v>18</v>
      </c>
      <c r="T11" s="32">
        <f t="shared" si="2"/>
        <v>1E-3</v>
      </c>
      <c r="U11" s="32">
        <f t="shared" si="3"/>
        <v>1E-3</v>
      </c>
      <c r="V11" s="33">
        <f t="shared" si="8"/>
        <v>0</v>
      </c>
      <c r="AN11" s="60"/>
      <c r="AO11" s="60"/>
      <c r="AP11" s="60"/>
      <c r="AQ11" s="60"/>
      <c r="AR11" s="60"/>
      <c r="AS11" s="60"/>
      <c r="AT11" s="60"/>
      <c r="AU11" s="60"/>
    </row>
    <row r="12" spans="2:47" ht="22.8" customHeight="1" x14ac:dyDescent="0.3">
      <c r="B12" s="2">
        <v>8</v>
      </c>
      <c r="C12" s="2" t="s">
        <v>31</v>
      </c>
      <c r="D12" s="6">
        <v>3000</v>
      </c>
      <c r="E12" s="6">
        <v>6</v>
      </c>
      <c r="F12" s="32">
        <f t="shared" si="4"/>
        <v>2E-3</v>
      </c>
      <c r="G12" s="6">
        <v>3000</v>
      </c>
      <c r="H12" s="6">
        <v>6</v>
      </c>
      <c r="I12" s="40">
        <f t="shared" si="5"/>
        <v>2E-3</v>
      </c>
      <c r="J12" s="5" t="s">
        <v>66</v>
      </c>
      <c r="L12" s="2" t="s">
        <v>31</v>
      </c>
      <c r="M12" s="6">
        <v>18000</v>
      </c>
      <c r="N12" s="24">
        <f t="shared" si="0"/>
        <v>6</v>
      </c>
      <c r="O12" s="24">
        <f t="shared" si="6"/>
        <v>18</v>
      </c>
      <c r="P12" s="27">
        <f t="shared" si="1"/>
        <v>6</v>
      </c>
      <c r="Q12" s="27">
        <f t="shared" si="9"/>
        <v>18</v>
      </c>
      <c r="T12" s="32">
        <f t="shared" si="2"/>
        <v>1E-3</v>
      </c>
      <c r="U12" s="32">
        <f t="shared" si="3"/>
        <v>1E-3</v>
      </c>
      <c r="V12" s="33">
        <f t="shared" si="8"/>
        <v>0</v>
      </c>
      <c r="AM12" s="21"/>
      <c r="AN12" s="60"/>
      <c r="AO12" s="60"/>
      <c r="AP12" s="60"/>
      <c r="AQ12" s="60"/>
      <c r="AR12" s="60"/>
      <c r="AS12" s="60"/>
      <c r="AT12" s="60"/>
      <c r="AU12" s="60"/>
    </row>
    <row r="13" spans="2:47" ht="22.8" customHeight="1" x14ac:dyDescent="0.3">
      <c r="B13" s="2">
        <v>9</v>
      </c>
      <c r="C13" s="2" t="s">
        <v>32</v>
      </c>
      <c r="D13" s="6">
        <v>2000</v>
      </c>
      <c r="E13" s="6">
        <v>6</v>
      </c>
      <c r="F13" s="32">
        <f t="shared" si="4"/>
        <v>3.0000000000000001E-3</v>
      </c>
      <c r="G13" s="26">
        <v>3000</v>
      </c>
      <c r="H13" s="26">
        <v>6</v>
      </c>
      <c r="I13" s="39">
        <f t="shared" si="5"/>
        <v>2E-3</v>
      </c>
      <c r="J13" s="72" t="s">
        <v>65</v>
      </c>
      <c r="L13" s="2" t="s">
        <v>32</v>
      </c>
      <c r="M13" s="6">
        <v>9000</v>
      </c>
      <c r="N13" s="24">
        <f t="shared" si="0"/>
        <v>4.5</v>
      </c>
      <c r="O13" s="24">
        <f t="shared" si="6"/>
        <v>13.5</v>
      </c>
      <c r="P13" s="27">
        <f t="shared" si="1"/>
        <v>3</v>
      </c>
      <c r="Q13" s="27">
        <f t="shared" si="9"/>
        <v>9</v>
      </c>
      <c r="T13" s="32">
        <f t="shared" si="2"/>
        <v>1.5E-3</v>
      </c>
      <c r="U13" s="32">
        <f t="shared" si="3"/>
        <v>1E-3</v>
      </c>
      <c r="V13" s="33">
        <f t="shared" si="8"/>
        <v>5.0000000000000001E-4</v>
      </c>
      <c r="AM13" s="21"/>
      <c r="AN13" s="60"/>
      <c r="AO13" s="60"/>
      <c r="AP13" s="60"/>
      <c r="AQ13" s="60"/>
      <c r="AR13" s="60"/>
      <c r="AS13" s="60"/>
      <c r="AT13" s="60"/>
      <c r="AU13" s="60"/>
    </row>
    <row r="14" spans="2:47" ht="22.8" customHeight="1" x14ac:dyDescent="0.3">
      <c r="B14" s="2">
        <v>10</v>
      </c>
      <c r="C14" s="2" t="s">
        <v>33</v>
      </c>
      <c r="D14" s="6">
        <v>2000</v>
      </c>
      <c r="E14" s="6">
        <v>6</v>
      </c>
      <c r="F14" s="32">
        <f t="shared" si="4"/>
        <v>3.0000000000000001E-3</v>
      </c>
      <c r="G14" s="26">
        <v>3000</v>
      </c>
      <c r="H14" s="26">
        <v>6</v>
      </c>
      <c r="I14" s="39">
        <f t="shared" si="5"/>
        <v>2E-3</v>
      </c>
      <c r="J14" s="72" t="s">
        <v>65</v>
      </c>
      <c r="L14" s="2" t="s">
        <v>33</v>
      </c>
      <c r="M14" s="6">
        <v>10000</v>
      </c>
      <c r="N14" s="24">
        <f t="shared" si="0"/>
        <v>5</v>
      </c>
      <c r="O14" s="24">
        <f t="shared" si="6"/>
        <v>15</v>
      </c>
      <c r="P14" s="27">
        <f t="shared" si="1"/>
        <v>3.3333333333333335</v>
      </c>
      <c r="Q14" s="27">
        <f t="shared" si="9"/>
        <v>10</v>
      </c>
      <c r="T14" s="32">
        <f t="shared" si="2"/>
        <v>1.5E-3</v>
      </c>
      <c r="U14" s="32">
        <f t="shared" si="3"/>
        <v>1E-3</v>
      </c>
      <c r="V14" s="33">
        <f t="shared" si="8"/>
        <v>5.0000000000000001E-4</v>
      </c>
      <c r="AM14" s="21"/>
      <c r="AN14" s="60"/>
      <c r="AO14" s="60"/>
      <c r="AP14" s="60"/>
      <c r="AQ14" s="60"/>
      <c r="AR14" s="60"/>
      <c r="AS14" s="60"/>
      <c r="AT14" s="60"/>
      <c r="AU14" s="60"/>
    </row>
    <row r="15" spans="2:47" ht="22.8" customHeight="1" x14ac:dyDescent="0.3">
      <c r="B15" s="2">
        <v>11</v>
      </c>
      <c r="C15" s="2" t="s">
        <v>34</v>
      </c>
      <c r="D15" s="6">
        <v>1000</v>
      </c>
      <c r="E15" s="6">
        <v>6</v>
      </c>
      <c r="F15" s="32">
        <f t="shared" si="4"/>
        <v>6.0000000000000001E-3</v>
      </c>
      <c r="G15" s="26">
        <v>3000</v>
      </c>
      <c r="H15" s="26">
        <v>6</v>
      </c>
      <c r="I15" s="39">
        <f t="shared" si="5"/>
        <v>2E-3</v>
      </c>
      <c r="J15" s="72" t="s">
        <v>65</v>
      </c>
      <c r="L15" s="2" t="s">
        <v>34</v>
      </c>
      <c r="M15" s="6">
        <v>9000</v>
      </c>
      <c r="N15" s="24">
        <f t="shared" si="0"/>
        <v>9</v>
      </c>
      <c r="O15" s="24">
        <f t="shared" si="6"/>
        <v>27</v>
      </c>
      <c r="P15" s="27">
        <f t="shared" si="1"/>
        <v>3</v>
      </c>
      <c r="Q15" s="27">
        <f t="shared" si="9"/>
        <v>9</v>
      </c>
      <c r="T15" s="32">
        <f t="shared" si="2"/>
        <v>3.0000000000000001E-3</v>
      </c>
      <c r="U15" s="32">
        <f t="shared" si="3"/>
        <v>1E-3</v>
      </c>
      <c r="V15" s="33">
        <f t="shared" si="8"/>
        <v>2E-3</v>
      </c>
      <c r="AN15" s="60"/>
      <c r="AO15" s="60"/>
      <c r="AP15" s="60"/>
      <c r="AQ15" s="60"/>
      <c r="AR15" s="60"/>
      <c r="AS15" s="60"/>
      <c r="AT15" s="60"/>
      <c r="AU15" s="60"/>
    </row>
    <row r="16" spans="2:47" ht="22.8" customHeight="1" x14ac:dyDescent="0.3">
      <c r="B16" s="2">
        <v>12</v>
      </c>
      <c r="C16" s="2" t="s">
        <v>35</v>
      </c>
      <c r="D16" s="6">
        <v>1000</v>
      </c>
      <c r="E16" s="6">
        <v>6</v>
      </c>
      <c r="F16" s="32">
        <f t="shared" si="4"/>
        <v>6.0000000000000001E-3</v>
      </c>
      <c r="G16" s="26">
        <v>3000</v>
      </c>
      <c r="H16" s="26">
        <v>6</v>
      </c>
      <c r="I16" s="39">
        <f t="shared" si="5"/>
        <v>2E-3</v>
      </c>
      <c r="J16" s="72" t="s">
        <v>65</v>
      </c>
      <c r="L16" s="2" t="s">
        <v>35</v>
      </c>
      <c r="M16" s="6">
        <v>9000</v>
      </c>
      <c r="N16" s="24">
        <f t="shared" si="0"/>
        <v>9</v>
      </c>
      <c r="O16" s="24">
        <f t="shared" si="6"/>
        <v>27</v>
      </c>
      <c r="P16" s="27">
        <f t="shared" si="1"/>
        <v>3</v>
      </c>
      <c r="Q16" s="27">
        <f t="shared" si="9"/>
        <v>9</v>
      </c>
      <c r="T16" s="32">
        <f t="shared" si="2"/>
        <v>3.0000000000000001E-3</v>
      </c>
      <c r="U16" s="32">
        <f t="shared" si="3"/>
        <v>1E-3</v>
      </c>
      <c r="V16" s="33">
        <f t="shared" si="8"/>
        <v>2E-3</v>
      </c>
      <c r="AN16" s="60"/>
      <c r="AO16" s="60"/>
      <c r="AP16" s="60"/>
      <c r="AQ16" s="60"/>
      <c r="AR16" s="60"/>
      <c r="AS16" s="60"/>
      <c r="AT16" s="60"/>
      <c r="AU16" s="60"/>
    </row>
    <row r="17" spans="2:47" ht="22.8" customHeight="1" x14ac:dyDescent="0.3">
      <c r="B17" s="2">
        <v>13</v>
      </c>
      <c r="C17" s="2">
        <v>2245</v>
      </c>
      <c r="D17" s="6">
        <v>430</v>
      </c>
      <c r="E17" s="6">
        <v>2</v>
      </c>
      <c r="F17" s="32">
        <f t="shared" si="4"/>
        <v>4.6511627906976744E-3</v>
      </c>
      <c r="G17" s="26">
        <f>430*3</f>
        <v>1290</v>
      </c>
      <c r="H17" s="26">
        <v>2</v>
      </c>
      <c r="I17" s="39">
        <f t="shared" si="5"/>
        <v>1.5503875968992248E-3</v>
      </c>
      <c r="J17" s="72" t="s">
        <v>65</v>
      </c>
      <c r="L17" s="2">
        <v>2245</v>
      </c>
      <c r="M17" s="6">
        <v>4500</v>
      </c>
      <c r="N17" s="24">
        <f>M17/D17</f>
        <v>10.465116279069768</v>
      </c>
      <c r="O17" s="24">
        <f>N17</f>
        <v>10.465116279069768</v>
      </c>
      <c r="P17" s="27">
        <f>M17/G17</f>
        <v>3.4883720930232558</v>
      </c>
      <c r="Q17" s="27">
        <f>P17</f>
        <v>3.4883720930232558</v>
      </c>
      <c r="T17" s="32">
        <f t="shared" si="2"/>
        <v>6.9767441860465115E-3</v>
      </c>
      <c r="U17" s="32">
        <f t="shared" ref="U17:U22" si="10">$T$1/G17</f>
        <v>2.3255813953488372E-3</v>
      </c>
      <c r="V17" s="33">
        <f t="shared" si="8"/>
        <v>4.6511627906976744E-3</v>
      </c>
      <c r="AN17" s="60"/>
      <c r="AO17" s="60"/>
      <c r="AP17" s="60"/>
      <c r="AQ17" s="60"/>
      <c r="AR17" s="60"/>
      <c r="AS17" s="60"/>
      <c r="AT17" s="60"/>
      <c r="AU17" s="60"/>
    </row>
    <row r="18" spans="2:47" ht="22.8" customHeight="1" x14ac:dyDescent="0.3">
      <c r="B18" s="2">
        <v>14</v>
      </c>
      <c r="C18" s="2">
        <v>2570</v>
      </c>
      <c r="D18" s="6">
        <v>300</v>
      </c>
      <c r="E18" s="6">
        <v>2</v>
      </c>
      <c r="F18" s="32">
        <f t="shared" si="4"/>
        <v>6.6666666666666671E-3</v>
      </c>
      <c r="G18" s="26">
        <f>300*3</f>
        <v>900</v>
      </c>
      <c r="H18" s="26">
        <v>2</v>
      </c>
      <c r="I18" s="39">
        <f t="shared" si="5"/>
        <v>2.2222222222222222E-3</v>
      </c>
      <c r="J18" s="72" t="s">
        <v>65</v>
      </c>
      <c r="L18" s="2">
        <v>2570</v>
      </c>
      <c r="M18" s="6">
        <v>2500</v>
      </c>
      <c r="N18" s="24">
        <f>M18/D18</f>
        <v>8.3333333333333339</v>
      </c>
      <c r="O18" s="24">
        <f t="shared" ref="O18:O20" si="11">N18</f>
        <v>8.3333333333333339</v>
      </c>
      <c r="P18" s="27">
        <f>M18/G18</f>
        <v>2.7777777777777777</v>
      </c>
      <c r="Q18" s="27">
        <f t="shared" ref="Q18:Q21" si="12">P18</f>
        <v>2.7777777777777777</v>
      </c>
      <c r="T18" s="32">
        <f t="shared" si="2"/>
        <v>0.01</v>
      </c>
      <c r="U18" s="32">
        <f t="shared" si="10"/>
        <v>3.3333333333333335E-3</v>
      </c>
      <c r="V18" s="33">
        <f t="shared" si="8"/>
        <v>6.6666666666666662E-3</v>
      </c>
      <c r="AN18" s="60"/>
      <c r="AO18" s="60"/>
      <c r="AP18" s="60"/>
      <c r="AQ18" s="60"/>
      <c r="AR18" s="60"/>
      <c r="AS18" s="60"/>
      <c r="AT18" s="60"/>
      <c r="AU18" s="60"/>
    </row>
    <row r="19" spans="2:47" ht="22.8" customHeight="1" x14ac:dyDescent="0.3">
      <c r="B19" s="2">
        <v>15</v>
      </c>
      <c r="C19" s="2">
        <v>3562</v>
      </c>
      <c r="D19" s="6">
        <f>3*179</f>
        <v>537</v>
      </c>
      <c r="E19" s="6">
        <v>2</v>
      </c>
      <c r="F19" s="32">
        <f t="shared" si="4"/>
        <v>3.7243947858472998E-3</v>
      </c>
      <c r="G19" s="26">
        <f>6*179</f>
        <v>1074</v>
      </c>
      <c r="H19" s="26">
        <v>2</v>
      </c>
      <c r="I19" s="39">
        <f t="shared" si="5"/>
        <v>1.8621973929236499E-3</v>
      </c>
      <c r="J19" s="72" t="s">
        <v>65</v>
      </c>
      <c r="L19" s="2">
        <v>3562</v>
      </c>
      <c r="M19" s="6">
        <v>4500</v>
      </c>
      <c r="N19" s="24">
        <f>M19/D19</f>
        <v>8.3798882681564244</v>
      </c>
      <c r="O19" s="24">
        <f>N19</f>
        <v>8.3798882681564244</v>
      </c>
      <c r="P19" s="27">
        <f>M19/G19</f>
        <v>4.1899441340782122</v>
      </c>
      <c r="Q19" s="27">
        <f t="shared" si="12"/>
        <v>4.1899441340782122</v>
      </c>
      <c r="T19" s="32">
        <f t="shared" si="2"/>
        <v>5.5865921787709499E-3</v>
      </c>
      <c r="U19" s="32">
        <f t="shared" si="10"/>
        <v>2.7932960893854749E-3</v>
      </c>
      <c r="V19" s="33">
        <f>T19-U19</f>
        <v>2.7932960893854749E-3</v>
      </c>
      <c r="AN19" s="60"/>
      <c r="AO19" s="60"/>
      <c r="AP19" s="60"/>
      <c r="AQ19" s="60"/>
      <c r="AR19" s="60"/>
      <c r="AS19" s="60"/>
      <c r="AT19" s="60"/>
      <c r="AU19" s="60"/>
    </row>
    <row r="20" spans="2:47" ht="22.8" customHeight="1" x14ac:dyDescent="0.3">
      <c r="B20" s="2">
        <v>16</v>
      </c>
      <c r="C20" s="2">
        <v>3582</v>
      </c>
      <c r="D20" s="6">
        <f>3*179</f>
        <v>537</v>
      </c>
      <c r="E20" s="6">
        <v>2</v>
      </c>
      <c r="F20" s="32">
        <f t="shared" si="4"/>
        <v>3.7243947858472998E-3</v>
      </c>
      <c r="G20" s="26">
        <f>6*179</f>
        <v>1074</v>
      </c>
      <c r="H20" s="26">
        <v>2</v>
      </c>
      <c r="I20" s="39">
        <f t="shared" si="5"/>
        <v>1.8621973929236499E-3</v>
      </c>
      <c r="J20" s="72" t="s">
        <v>65</v>
      </c>
      <c r="L20" s="2">
        <v>3582</v>
      </c>
      <c r="M20" s="6">
        <v>2500</v>
      </c>
      <c r="N20" s="24">
        <f>M20/D20</f>
        <v>4.655493482309125</v>
      </c>
      <c r="O20" s="24">
        <f t="shared" si="11"/>
        <v>4.655493482309125</v>
      </c>
      <c r="P20" s="27">
        <f>M20/G20</f>
        <v>2.3277467411545625</v>
      </c>
      <c r="Q20" s="27">
        <f t="shared" si="12"/>
        <v>2.3277467411545625</v>
      </c>
      <c r="T20" s="32">
        <f t="shared" si="2"/>
        <v>5.5865921787709499E-3</v>
      </c>
      <c r="U20" s="32">
        <f t="shared" si="10"/>
        <v>2.7932960893854749E-3</v>
      </c>
      <c r="V20" s="33">
        <f t="shared" si="8"/>
        <v>2.7932960893854749E-3</v>
      </c>
      <c r="AN20" s="60"/>
      <c r="AO20" s="60"/>
      <c r="AP20" s="60"/>
      <c r="AQ20" s="60"/>
      <c r="AR20" s="60"/>
      <c r="AS20" s="60"/>
      <c r="AT20" s="60"/>
      <c r="AU20" s="60"/>
    </row>
    <row r="21" spans="2:47" ht="22.8" customHeight="1" x14ac:dyDescent="0.3">
      <c r="B21" s="2">
        <v>17</v>
      </c>
      <c r="C21" s="2">
        <v>35105</v>
      </c>
      <c r="D21" s="6">
        <v>716</v>
      </c>
      <c r="E21" s="6">
        <v>2</v>
      </c>
      <c r="F21" s="32">
        <f t="shared" si="4"/>
        <v>2.7932960893854749E-3</v>
      </c>
      <c r="G21" s="26">
        <v>1074</v>
      </c>
      <c r="H21" s="26">
        <v>2</v>
      </c>
      <c r="I21" s="39">
        <f t="shared" si="5"/>
        <v>1.8621973929236499E-3</v>
      </c>
      <c r="J21" s="72" t="s">
        <v>65</v>
      </c>
      <c r="L21" s="2">
        <v>35105</v>
      </c>
      <c r="M21" s="6">
        <v>32500</v>
      </c>
      <c r="N21" s="24">
        <f>M21/D21</f>
        <v>45.391061452513966</v>
      </c>
      <c r="O21" s="24">
        <f>N21</f>
        <v>45.391061452513966</v>
      </c>
      <c r="P21" s="24">
        <f>M21/G21</f>
        <v>30.260707635009311</v>
      </c>
      <c r="Q21" s="24">
        <f t="shared" si="12"/>
        <v>30.260707635009311</v>
      </c>
      <c r="T21" s="32">
        <f t="shared" si="2"/>
        <v>4.1899441340782122E-3</v>
      </c>
      <c r="U21" s="32">
        <f t="shared" si="10"/>
        <v>2.7932960893854749E-3</v>
      </c>
      <c r="V21" s="34">
        <f t="shared" si="8"/>
        <v>1.3966480446927373E-3</v>
      </c>
      <c r="AN21" s="60"/>
      <c r="AO21" s="60"/>
      <c r="AP21" s="60"/>
      <c r="AQ21" s="60"/>
      <c r="AR21" s="60"/>
      <c r="AS21" s="60"/>
      <c r="AT21" s="60"/>
      <c r="AU21" s="60"/>
    </row>
    <row r="22" spans="2:47" ht="21" customHeight="1" x14ac:dyDescent="0.3">
      <c r="J22" s="7"/>
      <c r="L22" s="10" t="s">
        <v>22</v>
      </c>
      <c r="M22" s="23">
        <f>SUM(M5:M21)</f>
        <v>246800</v>
      </c>
      <c r="N22" s="28">
        <f>SUM(N5:N21)</f>
        <v>223.32930458008855</v>
      </c>
      <c r="O22" s="28">
        <f>SUM(O5:O21)</f>
        <v>515.53812810950024</v>
      </c>
      <c r="P22" s="29">
        <f>SUM(P5:P21)</f>
        <v>122.06897648561828</v>
      </c>
      <c r="Q22" s="29">
        <f>SUM(Q5:Q21)</f>
        <v>280.11783269476859</v>
      </c>
      <c r="R22" s="11">
        <f>Q22-O22</f>
        <v>-235.42029541473164</v>
      </c>
      <c r="T22" s="35" t="e">
        <f t="shared" si="2"/>
        <v>#DIV/0!</v>
      </c>
      <c r="U22" s="35" t="e">
        <f t="shared" si="10"/>
        <v>#DIV/0!</v>
      </c>
      <c r="V22" s="36" t="e">
        <f t="shared" si="8"/>
        <v>#DIV/0!</v>
      </c>
      <c r="AN22" s="60"/>
      <c r="AO22" s="60"/>
      <c r="AP22" s="60"/>
      <c r="AQ22" s="60"/>
      <c r="AR22" s="60"/>
      <c r="AS22" s="60"/>
      <c r="AT22" s="60"/>
      <c r="AU22" s="60"/>
    </row>
    <row r="23" spans="2:47" ht="21" customHeight="1" x14ac:dyDescent="0.3">
      <c r="B23" s="70" t="s">
        <v>43</v>
      </c>
      <c r="J23" s="7"/>
      <c r="L23" s="64"/>
      <c r="M23" s="65"/>
      <c r="N23" s="66"/>
      <c r="O23" s="66"/>
      <c r="P23" s="67"/>
      <c r="Q23" s="67"/>
      <c r="R23" s="11"/>
      <c r="T23" s="68"/>
      <c r="U23" s="68"/>
      <c r="V23" s="69"/>
      <c r="AN23" s="60"/>
      <c r="AO23" s="60"/>
      <c r="AP23" s="60"/>
      <c r="AQ23" s="60"/>
      <c r="AR23" s="60"/>
      <c r="AS23" s="60"/>
      <c r="AT23" s="60"/>
      <c r="AU23" s="60"/>
    </row>
    <row r="24" spans="2:47" ht="119.4" customHeight="1" x14ac:dyDescent="0.3">
      <c r="B24" s="63" t="s">
        <v>44</v>
      </c>
      <c r="C24" s="63"/>
      <c r="D24" s="63"/>
      <c r="E24" s="17"/>
      <c r="F24" s="17"/>
      <c r="J24" s="7"/>
      <c r="T24" s="37"/>
      <c r="AN24" s="60"/>
      <c r="AO24" s="60"/>
      <c r="AP24" s="60"/>
      <c r="AQ24" s="60"/>
      <c r="AR24" s="60"/>
      <c r="AS24" s="60"/>
      <c r="AT24" s="60"/>
      <c r="AU24" s="60"/>
    </row>
    <row r="25" spans="2:47" ht="18" x14ac:dyDescent="0.3">
      <c r="B25" s="41"/>
      <c r="C25" s="41"/>
      <c r="D25" s="41"/>
      <c r="E25" s="38"/>
      <c r="F25" s="38"/>
      <c r="J25" s="7"/>
      <c r="AN25" s="60"/>
      <c r="AO25" s="60"/>
      <c r="AP25" s="60"/>
      <c r="AQ25" s="60"/>
      <c r="AR25" s="60"/>
      <c r="AS25" s="60"/>
      <c r="AT25" s="60"/>
      <c r="AU25" s="60"/>
    </row>
    <row r="26" spans="2:47" ht="15.6" x14ac:dyDescent="0.3">
      <c r="B26" s="14"/>
      <c r="C26" s="15"/>
      <c r="D26" s="13"/>
      <c r="E26" s="13"/>
      <c r="F26" s="13"/>
      <c r="J26" s="7"/>
      <c r="AN26" s="60"/>
      <c r="AO26" s="60"/>
      <c r="AP26" s="60"/>
      <c r="AQ26" s="60"/>
      <c r="AR26" s="60"/>
      <c r="AS26" s="60"/>
      <c r="AT26" s="60"/>
      <c r="AU26" s="60"/>
    </row>
    <row r="27" spans="2:47" ht="15.6" x14ac:dyDescent="0.3">
      <c r="B27" s="14"/>
      <c r="C27" s="15"/>
      <c r="D27" s="13"/>
      <c r="E27" s="13"/>
      <c r="F27" s="13"/>
      <c r="J27" s="7"/>
      <c r="AN27" s="60"/>
      <c r="AO27" s="60"/>
      <c r="AP27" s="60"/>
      <c r="AQ27" s="60"/>
      <c r="AR27" s="60"/>
      <c r="AS27" s="60"/>
      <c r="AT27" s="60"/>
      <c r="AU27" s="60"/>
    </row>
    <row r="28" spans="2:47" ht="18" x14ac:dyDescent="0.3">
      <c r="B28" s="41"/>
      <c r="C28" s="41"/>
      <c r="D28" s="41"/>
      <c r="E28" s="38"/>
      <c r="F28" s="38"/>
      <c r="J28" s="7"/>
      <c r="AN28" s="60"/>
      <c r="AO28" s="60"/>
      <c r="AP28" s="60"/>
      <c r="AQ28" s="60"/>
      <c r="AR28" s="60"/>
      <c r="AS28" s="60"/>
      <c r="AT28" s="60"/>
      <c r="AU28" s="60"/>
    </row>
    <row r="29" spans="2:47" ht="15.6" x14ac:dyDescent="0.3">
      <c r="B29" s="16"/>
      <c r="C29" s="15"/>
      <c r="D29" s="13"/>
      <c r="E29" s="13"/>
      <c r="F29" s="13"/>
      <c r="J29" s="7"/>
      <c r="AN29" s="60"/>
      <c r="AO29" s="60"/>
      <c r="AP29" s="60"/>
      <c r="AQ29" s="60"/>
      <c r="AR29" s="60"/>
      <c r="AS29" s="60"/>
      <c r="AT29" s="60"/>
      <c r="AU29" s="60"/>
    </row>
    <row r="30" spans="2:47" ht="15.6" x14ac:dyDescent="0.3">
      <c r="B30" s="16"/>
      <c r="C30" s="15"/>
      <c r="D30" s="13"/>
      <c r="E30" s="13"/>
      <c r="F30" s="13"/>
      <c r="J30" s="7"/>
      <c r="AN30" s="60"/>
      <c r="AO30" s="60"/>
      <c r="AP30" s="60"/>
      <c r="AQ30" s="60"/>
      <c r="AR30" s="60"/>
      <c r="AS30" s="60"/>
      <c r="AT30" s="60"/>
      <c r="AU30" s="60"/>
    </row>
    <row r="31" spans="2:47" ht="15.6" x14ac:dyDescent="0.3">
      <c r="B31" s="16"/>
      <c r="C31" s="15"/>
      <c r="D31" s="13"/>
      <c r="E31" s="13"/>
      <c r="F31" s="13"/>
      <c r="AN31" s="60"/>
      <c r="AO31" s="60"/>
      <c r="AP31" s="60"/>
      <c r="AQ31" s="60"/>
      <c r="AR31" s="60"/>
      <c r="AS31" s="60"/>
      <c r="AT31" s="60"/>
      <c r="AU31" s="60"/>
    </row>
    <row r="32" spans="2:47" x14ac:dyDescent="0.3">
      <c r="AN32" s="60"/>
      <c r="AO32" s="60"/>
      <c r="AP32" s="60"/>
      <c r="AQ32" s="60"/>
      <c r="AR32" s="60"/>
      <c r="AS32" s="60"/>
      <c r="AT32" s="60"/>
      <c r="AU32" s="60"/>
    </row>
    <row r="33" spans="10:47" x14ac:dyDescent="0.3">
      <c r="AN33" s="60"/>
      <c r="AO33" s="60"/>
      <c r="AP33" s="60"/>
      <c r="AQ33" s="60"/>
      <c r="AR33" s="60"/>
      <c r="AS33" s="60"/>
      <c r="AT33" s="60"/>
      <c r="AU33" s="60"/>
    </row>
    <row r="34" spans="10:47" x14ac:dyDescent="0.3">
      <c r="AN34" s="60"/>
      <c r="AO34" s="60"/>
      <c r="AP34" s="60"/>
      <c r="AQ34" s="60"/>
      <c r="AR34" s="60"/>
      <c r="AS34" s="60"/>
      <c r="AT34" s="60"/>
      <c r="AU34" s="60"/>
    </row>
    <row r="40" spans="10:47" x14ac:dyDescent="0.3">
      <c r="J40" s="1">
        <f>7002+165</f>
        <v>7167</v>
      </c>
    </row>
    <row r="43" spans="10:47" x14ac:dyDescent="0.3">
      <c r="J43" s="22">
        <f>165/(7002+165)</f>
        <v>2.3022185014650483E-2</v>
      </c>
    </row>
  </sheetData>
  <mergeCells count="12">
    <mergeCell ref="N3:O3"/>
    <mergeCell ref="P3:Q3"/>
    <mergeCell ref="B25:D25"/>
    <mergeCell ref="B28:D28"/>
    <mergeCell ref="M3:M4"/>
    <mergeCell ref="B3:B4"/>
    <mergeCell ref="C3:C4"/>
    <mergeCell ref="D3:F3"/>
    <mergeCell ref="G3:I3"/>
    <mergeCell ref="J3:J4"/>
    <mergeCell ref="L3:L4"/>
    <mergeCell ref="B24:D24"/>
  </mergeCells>
  <phoneticPr fontId="2" type="noConversion"/>
  <pageMargins left="0.7" right="0.7" top="0.75" bottom="0.75" header="0.3" footer="0.3"/>
  <pageSetup paperSize="9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7C1DF-3ABC-42C8-9C61-435A3239D2C9}">
  <dimension ref="A2:BI39"/>
  <sheetViews>
    <sheetView showGridLines="0" zoomScale="90" zoomScaleNormal="90" workbookViewId="0">
      <pane xSplit="1" ySplit="4" topLeftCell="B5" activePane="bottomRight" state="frozen"/>
      <selection pane="topRight" activeCell="D1" sqref="D1"/>
      <selection pane="bottomLeft" activeCell="A4" sqref="A4"/>
      <selection pane="bottomRight" activeCell="AJ20" sqref="AJ20"/>
    </sheetView>
  </sheetViews>
  <sheetFormatPr defaultRowHeight="14.4" x14ac:dyDescent="0.3"/>
  <cols>
    <col min="1" max="1" width="4.33203125" style="1" customWidth="1"/>
    <col min="2" max="2" width="2.44140625" style="1" customWidth="1"/>
    <col min="3" max="3" width="19.44140625" style="1" hidden="1" customWidth="1"/>
    <col min="4" max="4" width="11.6640625" style="7" hidden="1" customWidth="1"/>
    <col min="5" max="6" width="11.6640625" style="1" hidden="1" customWidth="1"/>
    <col min="7" max="7" width="11.6640625" style="9" hidden="1" customWidth="1"/>
    <col min="8" max="8" width="11.6640625" style="1" hidden="1" customWidth="1"/>
    <col min="9" max="10" width="8.5546875" style="1" hidden="1" customWidth="1"/>
    <col min="11" max="11" width="0" style="31" hidden="1" customWidth="1"/>
    <col min="12" max="12" width="10.6640625" style="31" hidden="1" customWidth="1"/>
    <col min="13" max="13" width="0" style="31" hidden="1" customWidth="1"/>
    <col min="14" max="29" width="0" hidden="1" customWidth="1"/>
    <col min="30" max="30" width="2.88671875" hidden="1" customWidth="1"/>
    <col min="31" max="31" width="12" customWidth="1"/>
    <col min="32" max="32" width="10" bestFit="1" customWidth="1"/>
    <col min="33" max="43" width="10.33203125" customWidth="1"/>
    <col min="44" max="44" width="46.21875" customWidth="1"/>
    <col min="45" max="45" width="8.6640625" customWidth="1"/>
    <col min="61" max="61" width="31.6640625" customWidth="1"/>
  </cols>
  <sheetData>
    <row r="2" spans="3:61" ht="25.8" x14ac:dyDescent="0.5">
      <c r="K2" s="31">
        <v>3</v>
      </c>
      <c r="AE2" s="75" t="s">
        <v>69</v>
      </c>
      <c r="AT2" s="74" t="s">
        <v>70</v>
      </c>
    </row>
    <row r="3" spans="3:61" ht="34.200000000000003" customHeight="1" x14ac:dyDescent="0.3">
      <c r="C3" s="47" t="s">
        <v>0</v>
      </c>
      <c r="D3" s="42" t="s">
        <v>36</v>
      </c>
      <c r="E3" s="45" t="s">
        <v>17</v>
      </c>
      <c r="F3" s="48"/>
      <c r="G3" s="49" t="s">
        <v>16</v>
      </c>
      <c r="H3" s="49"/>
      <c r="AE3" s="76" t="s">
        <v>0</v>
      </c>
      <c r="AF3" s="77" t="s">
        <v>38</v>
      </c>
      <c r="AG3" s="45" t="s">
        <v>67</v>
      </c>
      <c r="AH3" s="46"/>
      <c r="AI3" s="46"/>
      <c r="AJ3" s="46"/>
      <c r="AK3" s="46"/>
      <c r="AL3" s="46"/>
      <c r="AM3" s="46"/>
      <c r="AN3" s="46"/>
      <c r="AO3" s="46"/>
      <c r="AP3" s="46"/>
      <c r="AQ3" s="48"/>
      <c r="AR3" s="76" t="s">
        <v>4</v>
      </c>
      <c r="AS3" s="61"/>
      <c r="AT3" s="76" t="s">
        <v>0</v>
      </c>
      <c r="AU3" s="77" t="s">
        <v>38</v>
      </c>
      <c r="AV3" s="45" t="s">
        <v>68</v>
      </c>
      <c r="AW3" s="46"/>
      <c r="AX3" s="46"/>
      <c r="AY3" s="46"/>
      <c r="AZ3" s="46"/>
      <c r="BA3" s="46"/>
      <c r="BB3" s="46"/>
      <c r="BC3" s="46"/>
      <c r="BD3" s="46"/>
      <c r="BE3" s="46"/>
      <c r="BF3" s="48"/>
      <c r="BH3" s="55"/>
      <c r="BI3" s="54" t="s">
        <v>71</v>
      </c>
    </row>
    <row r="4" spans="3:61" ht="34.200000000000003" customHeight="1" x14ac:dyDescent="0.3">
      <c r="C4" s="47"/>
      <c r="D4" s="43"/>
      <c r="E4" s="3" t="s">
        <v>20</v>
      </c>
      <c r="F4" s="3" t="s">
        <v>21</v>
      </c>
      <c r="G4" s="25" t="s">
        <v>20</v>
      </c>
      <c r="H4" s="25" t="s">
        <v>21</v>
      </c>
      <c r="K4" s="30" t="s">
        <v>17</v>
      </c>
      <c r="L4" s="30" t="s">
        <v>16</v>
      </c>
      <c r="M4" s="30" t="s">
        <v>37</v>
      </c>
      <c r="AE4" s="78"/>
      <c r="AF4" s="79"/>
      <c r="AG4" s="3" t="s">
        <v>46</v>
      </c>
      <c r="AH4" s="3" t="s">
        <v>47</v>
      </c>
      <c r="AI4" s="3" t="s">
        <v>48</v>
      </c>
      <c r="AJ4" s="3" t="s">
        <v>49</v>
      </c>
      <c r="AK4" s="3" t="s">
        <v>50</v>
      </c>
      <c r="AL4" s="3" t="s">
        <v>51</v>
      </c>
      <c r="AM4" s="3" t="s">
        <v>52</v>
      </c>
      <c r="AN4" s="3" t="s">
        <v>53</v>
      </c>
      <c r="AO4" s="4" t="s">
        <v>54</v>
      </c>
      <c r="AP4" s="4" t="s">
        <v>55</v>
      </c>
      <c r="AQ4" s="3" t="s">
        <v>56</v>
      </c>
      <c r="AR4" s="78"/>
      <c r="AS4" s="62"/>
      <c r="AT4" s="78"/>
      <c r="AU4" s="79"/>
      <c r="AV4" s="3" t="s">
        <v>46</v>
      </c>
      <c r="AW4" s="3" t="s">
        <v>47</v>
      </c>
      <c r="AX4" s="3" t="s">
        <v>48</v>
      </c>
      <c r="AY4" s="3" t="s">
        <v>49</v>
      </c>
      <c r="AZ4" s="3" t="s">
        <v>50</v>
      </c>
      <c r="BA4" s="3" t="s">
        <v>51</v>
      </c>
      <c r="BB4" s="3" t="s">
        <v>52</v>
      </c>
      <c r="BC4" s="3" t="s">
        <v>53</v>
      </c>
      <c r="BD4" s="4" t="s">
        <v>54</v>
      </c>
      <c r="BE4" s="4" t="s">
        <v>55</v>
      </c>
      <c r="BF4" s="3" t="s">
        <v>56</v>
      </c>
      <c r="BH4" s="80"/>
      <c r="BI4" s="54" t="s">
        <v>72</v>
      </c>
    </row>
    <row r="5" spans="3:61" ht="22.95" customHeight="1" x14ac:dyDescent="0.3">
      <c r="C5" s="2">
        <v>1320</v>
      </c>
      <c r="D5" s="6">
        <v>26400</v>
      </c>
      <c r="E5" s="24" t="e">
        <f>D5/#REF!</f>
        <v>#REF!</v>
      </c>
      <c r="F5" s="24" t="e">
        <f>E5*3</f>
        <v>#REF!</v>
      </c>
      <c r="G5" s="27" t="e">
        <f>D5/#REF!</f>
        <v>#REF!</v>
      </c>
      <c r="H5" s="27" t="e">
        <f>G5*3</f>
        <v>#REF!</v>
      </c>
      <c r="K5" s="32" t="e">
        <f>$K$2/#REF!</f>
        <v>#REF!</v>
      </c>
      <c r="L5" s="32" t="e">
        <f>$K$2/#REF!</f>
        <v>#REF!</v>
      </c>
      <c r="M5" s="33" t="e">
        <f>K5-L5</f>
        <v>#REF!</v>
      </c>
      <c r="AE5" s="2">
        <v>1320</v>
      </c>
      <c r="AF5" s="50">
        <v>4000</v>
      </c>
      <c r="AG5" s="51">
        <v>2275</v>
      </c>
      <c r="AH5" s="52">
        <v>64000</v>
      </c>
      <c r="AI5" s="52">
        <v>10000</v>
      </c>
      <c r="AJ5" s="52">
        <v>74000</v>
      </c>
      <c r="AK5" s="52">
        <v>117647.05882352946</v>
      </c>
      <c r="AL5" s="52">
        <v>30000</v>
      </c>
      <c r="AM5" s="52">
        <v>10500</v>
      </c>
      <c r="AN5" s="52">
        <v>13000</v>
      </c>
      <c r="AO5" s="53"/>
      <c r="AP5" s="53"/>
      <c r="AQ5" s="53"/>
      <c r="AR5" s="54" t="s">
        <v>41</v>
      </c>
      <c r="AT5" s="2">
        <v>1320</v>
      </c>
      <c r="AU5" s="50">
        <v>4000</v>
      </c>
      <c r="AV5" s="51">
        <f>ROUNDUP($AU$5/AG5,0)</f>
        <v>2</v>
      </c>
      <c r="AW5" s="52">
        <f>ROUNDUP($AU$5/AH5,0)</f>
        <v>1</v>
      </c>
      <c r="AX5" s="52">
        <f>ROUNDUP($AU$5/AI5,0)</f>
        <v>1</v>
      </c>
      <c r="AY5" s="52">
        <f>ROUNDUP($AU$5/AJ5,0)</f>
        <v>1</v>
      </c>
      <c r="AZ5" s="52">
        <f>ROUNDUP($AU$5/AK5,0)</f>
        <v>1</v>
      </c>
      <c r="BA5" s="52">
        <f>ROUNDUP($AU$5/AL5,0)</f>
        <v>1</v>
      </c>
      <c r="BB5" s="52">
        <f>ROUNDUP($AU$5/AM5,0)</f>
        <v>1</v>
      </c>
      <c r="BC5" s="52">
        <f>ROUNDUP($AU$5/AN5,0)</f>
        <v>1</v>
      </c>
      <c r="BD5" s="73"/>
      <c r="BE5" s="73"/>
      <c r="BF5" s="73"/>
    </row>
    <row r="6" spans="3:61" ht="22.95" customHeight="1" x14ac:dyDescent="0.3">
      <c r="C6" s="2">
        <v>1325</v>
      </c>
      <c r="D6" s="6">
        <v>26400</v>
      </c>
      <c r="E6" s="24" t="e">
        <f>D6/#REF!</f>
        <v>#REF!</v>
      </c>
      <c r="F6" s="24" t="e">
        <f t="shared" ref="F6:F13" si="0">E6*3</f>
        <v>#REF!</v>
      </c>
      <c r="G6" s="27" t="e">
        <f>D6/#REF!</f>
        <v>#REF!</v>
      </c>
      <c r="H6" s="27" t="e">
        <f t="shared" ref="H6:H13" si="1">G6*3</f>
        <v>#REF!</v>
      </c>
      <c r="K6" s="32" t="e">
        <f>$K$2/#REF!</f>
        <v>#REF!</v>
      </c>
      <c r="L6" s="32" t="e">
        <f>$K$2/#REF!</f>
        <v>#REF!</v>
      </c>
      <c r="M6" s="33" t="e">
        <f t="shared" ref="M6:M19" si="2">K6-L6</f>
        <v>#REF!</v>
      </c>
      <c r="AE6" s="2">
        <v>1325</v>
      </c>
      <c r="AF6" s="50">
        <v>3400</v>
      </c>
      <c r="AG6" s="51">
        <v>2122</v>
      </c>
      <c r="AH6" s="52">
        <v>75000</v>
      </c>
      <c r="AI6" s="52">
        <v>10000</v>
      </c>
      <c r="AJ6" s="52">
        <v>75470</v>
      </c>
      <c r="AK6" s="52">
        <v>76923.076923076937</v>
      </c>
      <c r="AL6" s="52">
        <v>30000</v>
      </c>
      <c r="AM6" s="52">
        <v>8400</v>
      </c>
      <c r="AN6" s="52">
        <v>13000</v>
      </c>
      <c r="AO6" s="53"/>
      <c r="AP6" s="53"/>
      <c r="AQ6" s="53"/>
      <c r="AR6" s="54" t="s">
        <v>42</v>
      </c>
      <c r="AT6" s="2">
        <v>1325</v>
      </c>
      <c r="AU6" s="50">
        <v>3400</v>
      </c>
      <c r="AV6" s="51">
        <f>ROUNDUP($AU$6/AG6,0)</f>
        <v>2</v>
      </c>
      <c r="AW6" s="52">
        <f>ROUNDUP($AU$6/AH6,0)</f>
        <v>1</v>
      </c>
      <c r="AX6" s="52">
        <f>ROUNDUP($AU$6/AI6,0)</f>
        <v>1</v>
      </c>
      <c r="AY6" s="52">
        <f>ROUNDUP($AU$6/AJ6,0)</f>
        <v>1</v>
      </c>
      <c r="AZ6" s="52">
        <f>ROUNDUP($AU$6/AK6,0)</f>
        <v>1</v>
      </c>
      <c r="BA6" s="52">
        <f>ROUNDUP($AU$6/AL6,0)</f>
        <v>1</v>
      </c>
      <c r="BB6" s="52">
        <f>ROUNDUP($AU$6/AM6,0)</f>
        <v>1</v>
      </c>
      <c r="BC6" s="52">
        <f>ROUNDUP($AU$6/AN6,0)</f>
        <v>1</v>
      </c>
      <c r="BD6" s="73"/>
      <c r="BE6" s="73"/>
      <c r="BF6" s="73"/>
    </row>
    <row r="7" spans="3:61" ht="22.95" customHeight="1" x14ac:dyDescent="0.3">
      <c r="C7" s="2">
        <v>1346</v>
      </c>
      <c r="D7" s="6">
        <v>13500</v>
      </c>
      <c r="E7" s="24" t="e">
        <f>D7/#REF!</f>
        <v>#REF!</v>
      </c>
      <c r="F7" s="24" t="e">
        <f t="shared" si="0"/>
        <v>#REF!</v>
      </c>
      <c r="G7" s="27" t="e">
        <f>D7/#REF!</f>
        <v>#REF!</v>
      </c>
      <c r="H7" s="27" t="e">
        <f t="shared" si="1"/>
        <v>#REF!</v>
      </c>
      <c r="K7" s="32" t="e">
        <f>$K$2/#REF!</f>
        <v>#REF!</v>
      </c>
      <c r="L7" s="32" t="e">
        <f>$K$2/#REF!</f>
        <v>#REF!</v>
      </c>
      <c r="M7" s="33" t="e">
        <f t="shared" si="2"/>
        <v>#REF!</v>
      </c>
      <c r="AE7" s="2">
        <v>1346</v>
      </c>
      <c r="AF7" s="50">
        <v>1600</v>
      </c>
      <c r="AG7" s="51">
        <v>2054</v>
      </c>
      <c r="AH7" s="52">
        <v>36000</v>
      </c>
      <c r="AI7" s="52">
        <v>10000</v>
      </c>
      <c r="AJ7" s="52">
        <v>88000</v>
      </c>
      <c r="AK7" s="52">
        <v>40000</v>
      </c>
      <c r="AL7" s="52">
        <v>30000</v>
      </c>
      <c r="AM7" s="52">
        <v>4000</v>
      </c>
      <c r="AN7" s="52">
        <v>11000</v>
      </c>
      <c r="AO7" s="53"/>
      <c r="AP7" s="53"/>
      <c r="AQ7" s="53"/>
      <c r="AR7" s="54" t="s">
        <v>57</v>
      </c>
      <c r="AT7" s="2">
        <v>1346</v>
      </c>
      <c r="AU7" s="50">
        <v>1600</v>
      </c>
      <c r="AV7" s="51">
        <f>ROUNDUP($AU$7/AG7,0)</f>
        <v>1</v>
      </c>
      <c r="AW7" s="52">
        <f>ROUNDUP($AU$7/AH7,0)</f>
        <v>1</v>
      </c>
      <c r="AX7" s="52">
        <f>ROUNDUP($AU$7/AI7,0)</f>
        <v>1</v>
      </c>
      <c r="AY7" s="52">
        <f>ROUNDUP($AU$7/AJ7,0)</f>
        <v>1</v>
      </c>
      <c r="AZ7" s="52">
        <f>ROUNDUP($AU$7/AK7,0)</f>
        <v>1</v>
      </c>
      <c r="BA7" s="52">
        <f>ROUNDUP($AU$7/AL7,0)</f>
        <v>1</v>
      </c>
      <c r="BB7" s="52">
        <f>ROUNDUP($AU$7/AM7,0)</f>
        <v>1</v>
      </c>
      <c r="BC7" s="52">
        <f>ROUNDUP($AU$7/AN7,0)</f>
        <v>1</v>
      </c>
      <c r="BD7" s="73"/>
      <c r="BE7" s="73"/>
      <c r="BF7" s="73"/>
    </row>
    <row r="8" spans="3:61" ht="22.95" customHeight="1" x14ac:dyDescent="0.3">
      <c r="C8" s="2">
        <v>1840</v>
      </c>
      <c r="D8" s="6">
        <v>36000</v>
      </c>
      <c r="E8" s="24" t="e">
        <f>D8/#REF!</f>
        <v>#REF!</v>
      </c>
      <c r="F8" s="24" t="e">
        <f t="shared" si="0"/>
        <v>#REF!</v>
      </c>
      <c r="G8" s="24" t="e">
        <f>D8/#REF!</f>
        <v>#REF!</v>
      </c>
      <c r="H8" s="24" t="e">
        <f t="shared" si="1"/>
        <v>#REF!</v>
      </c>
      <c r="K8" s="32" t="e">
        <f>$K$2/#REF!</f>
        <v>#REF!</v>
      </c>
      <c r="L8" s="32" t="e">
        <f>$K$2/#REF!</f>
        <v>#REF!</v>
      </c>
      <c r="M8" s="34" t="e">
        <f t="shared" si="2"/>
        <v>#REF!</v>
      </c>
      <c r="AE8" s="2">
        <v>1840</v>
      </c>
      <c r="AF8" s="50">
        <v>2000</v>
      </c>
      <c r="AG8" s="51">
        <v>981</v>
      </c>
      <c r="AH8" s="56">
        <v>27000</v>
      </c>
      <c r="AI8" s="56">
        <v>5000</v>
      </c>
      <c r="AJ8" s="56">
        <v>58000</v>
      </c>
      <c r="AK8" s="56">
        <v>28571.428571428572</v>
      </c>
      <c r="AL8" s="56">
        <v>12000</v>
      </c>
      <c r="AM8" s="56">
        <v>2400</v>
      </c>
      <c r="AN8" s="56">
        <v>9000</v>
      </c>
      <c r="AO8" s="53"/>
      <c r="AP8" s="53"/>
      <c r="AQ8" s="53"/>
      <c r="AR8" s="54" t="s">
        <v>58</v>
      </c>
      <c r="AS8" s="62"/>
      <c r="AT8" s="2">
        <v>1840</v>
      </c>
      <c r="AU8" s="50">
        <v>2000</v>
      </c>
      <c r="AV8" s="51">
        <f>ROUNDUP($AU$8/AG8,0)</f>
        <v>3</v>
      </c>
      <c r="AW8" s="52">
        <f>ROUNDUP($AU$8/AH8,0)</f>
        <v>1</v>
      </c>
      <c r="AX8" s="52">
        <f>ROUNDUP($AU$8/AI8,0)</f>
        <v>1</v>
      </c>
      <c r="AY8" s="52">
        <f>ROUNDUP($AU$8/AJ8,0)</f>
        <v>1</v>
      </c>
      <c r="AZ8" s="52">
        <f>ROUNDUP($AU$8/AK8,0)</f>
        <v>1</v>
      </c>
      <c r="BA8" s="52">
        <f>ROUNDUP($AU$8/AL8,0)</f>
        <v>1</v>
      </c>
      <c r="BB8" s="52">
        <f>ROUNDUP($AU$8/AM8,0)</f>
        <v>1</v>
      </c>
      <c r="BC8" s="52">
        <f>ROUNDUP($AU$8/AN8,0)</f>
        <v>1</v>
      </c>
      <c r="BD8" s="73"/>
      <c r="BE8" s="73"/>
      <c r="BF8" s="73"/>
    </row>
    <row r="9" spans="3:61" ht="22.95" customHeight="1" x14ac:dyDescent="0.3">
      <c r="C9" s="2">
        <v>1859</v>
      </c>
      <c r="D9" s="6">
        <v>5000</v>
      </c>
      <c r="E9" s="24" t="e">
        <f>D9/#REF!</f>
        <v>#REF!</v>
      </c>
      <c r="F9" s="24" t="e">
        <f t="shared" si="0"/>
        <v>#REF!</v>
      </c>
      <c r="G9" s="27" t="e">
        <f>D9/#REF!</f>
        <v>#REF!</v>
      </c>
      <c r="H9" s="27" t="e">
        <f t="shared" si="1"/>
        <v>#REF!</v>
      </c>
      <c r="K9" s="32" t="e">
        <f>$K$2/#REF!</f>
        <v>#REF!</v>
      </c>
      <c r="L9" s="32" t="e">
        <f>$K$2/#REF!</f>
        <v>#REF!</v>
      </c>
      <c r="M9" s="33" t="e">
        <f t="shared" si="2"/>
        <v>#REF!</v>
      </c>
      <c r="AE9" s="2">
        <v>1859</v>
      </c>
      <c r="AF9" s="50">
        <v>900</v>
      </c>
      <c r="AG9" s="51">
        <v>1124</v>
      </c>
      <c r="AH9" s="56">
        <v>27000</v>
      </c>
      <c r="AI9" s="56">
        <v>5000</v>
      </c>
      <c r="AJ9" s="56">
        <v>58000</v>
      </c>
      <c r="AK9" s="56">
        <v>25000</v>
      </c>
      <c r="AL9" s="56">
        <v>12000</v>
      </c>
      <c r="AM9" s="56">
        <v>2400</v>
      </c>
      <c r="AN9" s="56">
        <v>9000</v>
      </c>
      <c r="AO9" s="53"/>
      <c r="AP9" s="53"/>
      <c r="AQ9" s="53"/>
      <c r="AR9" s="54" t="s">
        <v>59</v>
      </c>
      <c r="AS9" s="62"/>
      <c r="AT9" s="2">
        <v>1859</v>
      </c>
      <c r="AU9" s="50">
        <v>900</v>
      </c>
      <c r="AV9" s="51">
        <f>ROUNDUP($AU$9/AG9,0)</f>
        <v>1</v>
      </c>
      <c r="AW9" s="52">
        <f>ROUNDUP($AU$9/AH9,0)</f>
        <v>1</v>
      </c>
      <c r="AX9" s="52">
        <f>ROUNDUP($AU$9/AI9,0)</f>
        <v>1</v>
      </c>
      <c r="AY9" s="52">
        <f>ROUNDUP($AU$9/AJ9,0)</f>
        <v>1</v>
      </c>
      <c r="AZ9" s="52">
        <f>ROUNDUP($AU$9/AK9,0)</f>
        <v>1</v>
      </c>
      <c r="BA9" s="52">
        <f>ROUNDUP($AU$9/AL9,0)</f>
        <v>1</v>
      </c>
      <c r="BB9" s="52">
        <f>ROUNDUP($AU$9/AM9,0)</f>
        <v>1</v>
      </c>
      <c r="BC9" s="52">
        <f>ROUNDUP($AU$9/AN9,0)</f>
        <v>1</v>
      </c>
      <c r="BD9" s="73"/>
      <c r="BE9" s="73"/>
      <c r="BF9" s="73"/>
    </row>
    <row r="10" spans="3:61" ht="22.95" customHeight="1" x14ac:dyDescent="0.3">
      <c r="C10" s="2" t="s">
        <v>32</v>
      </c>
      <c r="D10" s="6">
        <v>9000</v>
      </c>
      <c r="E10" s="24" t="e">
        <f>D10/#REF!</f>
        <v>#REF!</v>
      </c>
      <c r="F10" s="24" t="e">
        <f t="shared" si="0"/>
        <v>#REF!</v>
      </c>
      <c r="G10" s="27" t="e">
        <f>D10/#REF!</f>
        <v>#REF!</v>
      </c>
      <c r="H10" s="27" t="e">
        <f t="shared" si="1"/>
        <v>#REF!</v>
      </c>
      <c r="K10" s="32" t="e">
        <f>$K$2/#REF!</f>
        <v>#REF!</v>
      </c>
      <c r="L10" s="32" t="e">
        <f>$K$2/#REF!</f>
        <v>#REF!</v>
      </c>
      <c r="M10" s="33" t="e">
        <f t="shared" si="2"/>
        <v>#REF!</v>
      </c>
      <c r="AD10" s="21"/>
      <c r="AE10" s="2" t="s">
        <v>32</v>
      </c>
      <c r="AF10" s="50">
        <v>3000</v>
      </c>
      <c r="AG10" s="51">
        <v>2303</v>
      </c>
      <c r="AH10" s="56">
        <v>53000</v>
      </c>
      <c r="AI10" s="56">
        <v>10000</v>
      </c>
      <c r="AJ10" s="56">
        <v>79000</v>
      </c>
      <c r="AK10" s="56">
        <f>100000/0.8</f>
        <v>125000</v>
      </c>
      <c r="AL10" s="56">
        <v>40000</v>
      </c>
      <c r="AM10" s="56">
        <v>10000</v>
      </c>
      <c r="AN10" s="56">
        <v>15000</v>
      </c>
      <c r="AO10" s="53"/>
      <c r="AP10" s="53"/>
      <c r="AQ10" s="53"/>
      <c r="AR10" s="54" t="s">
        <v>60</v>
      </c>
      <c r="AS10" s="62"/>
      <c r="AT10" s="2" t="s">
        <v>32</v>
      </c>
      <c r="AU10" s="50">
        <v>3000</v>
      </c>
      <c r="AV10" s="51">
        <f>ROUNDUP($AU$10/AG10,0)</f>
        <v>2</v>
      </c>
      <c r="AW10" s="52">
        <f>ROUNDUP($AU$10/AH10,0)</f>
        <v>1</v>
      </c>
      <c r="AX10" s="52">
        <f>ROUNDUP($AU$10/AI10,0)</f>
        <v>1</v>
      </c>
      <c r="AY10" s="52">
        <f>ROUNDUP($AU$10/AJ10,0)</f>
        <v>1</v>
      </c>
      <c r="AZ10" s="52">
        <f>ROUNDUP($AU$10/AK10,0)</f>
        <v>1</v>
      </c>
      <c r="BA10" s="52">
        <f>ROUNDUP($AU$10/AL10,0)</f>
        <v>1</v>
      </c>
      <c r="BB10" s="52">
        <f>ROUNDUP($AU$10/AM10,0)</f>
        <v>1</v>
      </c>
      <c r="BC10" s="52">
        <f>ROUNDUP($AU$10/AN10,0)</f>
        <v>1</v>
      </c>
      <c r="BD10" s="73"/>
      <c r="BE10" s="73"/>
      <c r="BF10" s="73"/>
    </row>
    <row r="11" spans="3:61" ht="22.95" customHeight="1" x14ac:dyDescent="0.3">
      <c r="C11" s="2" t="s">
        <v>33</v>
      </c>
      <c r="D11" s="6">
        <v>10000</v>
      </c>
      <c r="E11" s="24" t="e">
        <f>D11/#REF!</f>
        <v>#REF!</v>
      </c>
      <c r="F11" s="24" t="e">
        <f t="shared" si="0"/>
        <v>#REF!</v>
      </c>
      <c r="G11" s="27" t="e">
        <f>D11/#REF!</f>
        <v>#REF!</v>
      </c>
      <c r="H11" s="27" t="e">
        <f t="shared" si="1"/>
        <v>#REF!</v>
      </c>
      <c r="K11" s="32" t="e">
        <f>$K$2/#REF!</f>
        <v>#REF!</v>
      </c>
      <c r="L11" s="32" t="e">
        <f>$K$2/#REF!</f>
        <v>#REF!</v>
      </c>
      <c r="M11" s="33" t="e">
        <f t="shared" si="2"/>
        <v>#REF!</v>
      </c>
      <c r="AD11" s="21"/>
      <c r="AE11" s="2" t="s">
        <v>33</v>
      </c>
      <c r="AF11" s="50">
        <v>3000</v>
      </c>
      <c r="AG11" s="51">
        <v>1853</v>
      </c>
      <c r="AH11" s="56">
        <v>43000</v>
      </c>
      <c r="AI11" s="56">
        <v>10000</v>
      </c>
      <c r="AJ11" s="56">
        <v>80000</v>
      </c>
      <c r="AK11" s="56">
        <v>71428.571428571406</v>
      </c>
      <c r="AL11" s="56">
        <v>40000</v>
      </c>
      <c r="AM11" s="56">
        <v>7000</v>
      </c>
      <c r="AN11" s="56">
        <v>15000</v>
      </c>
      <c r="AO11" s="53"/>
      <c r="AP11" s="53"/>
      <c r="AQ11" s="53"/>
      <c r="AR11" s="54" t="s">
        <v>61</v>
      </c>
      <c r="AS11" s="62"/>
      <c r="AT11" s="2" t="s">
        <v>33</v>
      </c>
      <c r="AU11" s="50">
        <v>3000</v>
      </c>
      <c r="AV11" s="51">
        <f>ROUNDUP($AU$11/AG11,0)</f>
        <v>2</v>
      </c>
      <c r="AW11" s="52">
        <f>ROUNDUP($AU$11/AH11,0)</f>
        <v>1</v>
      </c>
      <c r="AX11" s="52">
        <f>ROUNDUP($AU$11/AI11,0)</f>
        <v>1</v>
      </c>
      <c r="AY11" s="52">
        <f>ROUNDUP($AU$11/AJ11,0)</f>
        <v>1</v>
      </c>
      <c r="AZ11" s="52">
        <f>ROUNDUP($AU$11/AK11,0)</f>
        <v>1</v>
      </c>
      <c r="BA11" s="52">
        <f>ROUNDUP($AU$11/AL11,0)</f>
        <v>1</v>
      </c>
      <c r="BB11" s="52">
        <f>ROUNDUP($AU$11/AM11,0)</f>
        <v>1</v>
      </c>
      <c r="BC11" s="52">
        <f>ROUNDUP($AU$11/AN11,0)</f>
        <v>1</v>
      </c>
      <c r="BD11" s="73"/>
      <c r="BE11" s="73"/>
      <c r="BF11" s="73"/>
    </row>
    <row r="12" spans="3:61" ht="22.95" customHeight="1" x14ac:dyDescent="0.3">
      <c r="C12" s="2" t="s">
        <v>34</v>
      </c>
      <c r="D12" s="6">
        <v>9000</v>
      </c>
      <c r="E12" s="24" t="e">
        <f>D12/#REF!</f>
        <v>#REF!</v>
      </c>
      <c r="F12" s="24" t="e">
        <f t="shared" si="0"/>
        <v>#REF!</v>
      </c>
      <c r="G12" s="27" t="e">
        <f>D12/#REF!</f>
        <v>#REF!</v>
      </c>
      <c r="H12" s="27" t="e">
        <f t="shared" si="1"/>
        <v>#REF!</v>
      </c>
      <c r="K12" s="32" t="e">
        <f>$K$2/#REF!</f>
        <v>#REF!</v>
      </c>
      <c r="L12" s="32" t="e">
        <f>$K$2/#REF!</f>
        <v>#REF!</v>
      </c>
      <c r="M12" s="33" t="e">
        <f t="shared" si="2"/>
        <v>#REF!</v>
      </c>
      <c r="AE12" s="2" t="s">
        <v>34</v>
      </c>
      <c r="AF12" s="50">
        <v>3000</v>
      </c>
      <c r="AG12" s="51">
        <v>1288</v>
      </c>
      <c r="AH12" s="56">
        <v>70000</v>
      </c>
      <c r="AI12" s="56">
        <v>10000</v>
      </c>
      <c r="AJ12" s="56">
        <v>75000</v>
      </c>
      <c r="AK12" s="56">
        <v>76923.076923076937</v>
      </c>
      <c r="AL12" s="56">
        <v>30000</v>
      </c>
      <c r="AM12" s="56">
        <v>8400</v>
      </c>
      <c r="AN12" s="56">
        <v>13000</v>
      </c>
      <c r="AO12" s="53"/>
      <c r="AP12" s="53"/>
      <c r="AQ12" s="53"/>
      <c r="AR12" s="54" t="s">
        <v>62</v>
      </c>
      <c r="AS12" s="62"/>
      <c r="AT12" s="2" t="s">
        <v>34</v>
      </c>
      <c r="AU12" s="50">
        <v>3000</v>
      </c>
      <c r="AV12" s="51">
        <f>ROUNDUP($AU$12/AG12,0)</f>
        <v>3</v>
      </c>
      <c r="AW12" s="52">
        <f>ROUNDUP($AU$12/AH12,0)</f>
        <v>1</v>
      </c>
      <c r="AX12" s="52">
        <f>ROUNDUP($AU$12/AI12,0)</f>
        <v>1</v>
      </c>
      <c r="AY12" s="52">
        <f>ROUNDUP($AU$12/AJ12,0)</f>
        <v>1</v>
      </c>
      <c r="AZ12" s="52">
        <f>ROUNDUP($AU$12/AK12,0)</f>
        <v>1</v>
      </c>
      <c r="BA12" s="52">
        <f>ROUNDUP($AU$12/AL12,0)</f>
        <v>1</v>
      </c>
      <c r="BB12" s="52">
        <f>ROUNDUP($AU$12/AM12,0)</f>
        <v>1</v>
      </c>
      <c r="BC12" s="52">
        <f>ROUNDUP($AU$12/AN12,0)</f>
        <v>1</v>
      </c>
      <c r="BD12" s="73"/>
      <c r="BE12" s="73"/>
      <c r="BF12" s="73"/>
    </row>
    <row r="13" spans="3:61" ht="22.95" customHeight="1" x14ac:dyDescent="0.3">
      <c r="C13" s="2" t="s">
        <v>35</v>
      </c>
      <c r="D13" s="6">
        <v>9000</v>
      </c>
      <c r="E13" s="24" t="e">
        <f>D13/#REF!</f>
        <v>#REF!</v>
      </c>
      <c r="F13" s="24" t="e">
        <f t="shared" si="0"/>
        <v>#REF!</v>
      </c>
      <c r="G13" s="27" t="e">
        <f>D13/#REF!</f>
        <v>#REF!</v>
      </c>
      <c r="H13" s="27" t="e">
        <f t="shared" si="1"/>
        <v>#REF!</v>
      </c>
      <c r="K13" s="32" t="e">
        <f>$K$2/#REF!</f>
        <v>#REF!</v>
      </c>
      <c r="L13" s="32" t="e">
        <f>$K$2/#REF!</f>
        <v>#REF!</v>
      </c>
      <c r="M13" s="33" t="e">
        <f t="shared" si="2"/>
        <v>#REF!</v>
      </c>
      <c r="AE13" s="2" t="s">
        <v>35</v>
      </c>
      <c r="AF13" s="50">
        <v>3000</v>
      </c>
      <c r="AG13" s="51">
        <v>1288</v>
      </c>
      <c r="AH13" s="56">
        <v>37000</v>
      </c>
      <c r="AI13" s="56">
        <v>10000</v>
      </c>
      <c r="AJ13" s="56">
        <v>61000</v>
      </c>
      <c r="AK13" s="56">
        <v>50000</v>
      </c>
      <c r="AL13" s="56">
        <v>30000</v>
      </c>
      <c r="AM13" s="56">
        <v>6000</v>
      </c>
      <c r="AN13" s="56">
        <v>10000</v>
      </c>
      <c r="AO13" s="53"/>
      <c r="AP13" s="53"/>
      <c r="AQ13" s="53"/>
      <c r="AR13" s="54" t="s">
        <v>62</v>
      </c>
      <c r="AS13" s="62"/>
      <c r="AT13" s="2" t="s">
        <v>35</v>
      </c>
      <c r="AU13" s="50">
        <v>3000</v>
      </c>
      <c r="AV13" s="51">
        <f>ROUNDUP($AU$13/AG13,0)</f>
        <v>3</v>
      </c>
      <c r="AW13" s="52">
        <f>ROUNDUP($AU$13/AH13,0)</f>
        <v>1</v>
      </c>
      <c r="AX13" s="52">
        <f>ROUNDUP($AU$13/AI13,0)</f>
        <v>1</v>
      </c>
      <c r="AY13" s="52">
        <f>ROUNDUP($AU$13/AJ13,0)</f>
        <v>1</v>
      </c>
      <c r="AZ13" s="52">
        <f>ROUNDUP($AU$13/AK13,0)</f>
        <v>1</v>
      </c>
      <c r="BA13" s="52">
        <f>ROUNDUP($AU$13/AL13,0)</f>
        <v>1</v>
      </c>
      <c r="BB13" s="52">
        <f>ROUNDUP($AU$13/AM13,0)</f>
        <v>1</v>
      </c>
      <c r="BC13" s="52">
        <f>ROUNDUP($AU$13/AN13,0)</f>
        <v>1</v>
      </c>
      <c r="BD13" s="73"/>
      <c r="BE13" s="73"/>
      <c r="BF13" s="73"/>
    </row>
    <row r="14" spans="3:61" ht="22.95" customHeight="1" x14ac:dyDescent="0.3">
      <c r="C14" s="2">
        <v>2245</v>
      </c>
      <c r="D14" s="6">
        <v>4500</v>
      </c>
      <c r="E14" s="24" t="e">
        <f>D14/#REF!</f>
        <v>#REF!</v>
      </c>
      <c r="F14" s="24" t="e">
        <f>E14</f>
        <v>#REF!</v>
      </c>
      <c r="G14" s="27" t="e">
        <f>D14/#REF!</f>
        <v>#REF!</v>
      </c>
      <c r="H14" s="27" t="e">
        <f>G14</f>
        <v>#REF!</v>
      </c>
      <c r="K14" s="32" t="e">
        <f>$K$2/#REF!</f>
        <v>#REF!</v>
      </c>
      <c r="L14" s="32" t="e">
        <f>$K$2/#REF!</f>
        <v>#REF!</v>
      </c>
      <c r="M14" s="33" t="e">
        <f t="shared" si="2"/>
        <v>#REF!</v>
      </c>
      <c r="AE14" s="2">
        <v>2245</v>
      </c>
      <c r="AF14" s="50">
        <v>1290</v>
      </c>
      <c r="AG14" s="51">
        <v>660</v>
      </c>
      <c r="AH14" s="56">
        <v>11014</v>
      </c>
      <c r="AI14" s="56">
        <v>31240</v>
      </c>
      <c r="AJ14" s="56">
        <v>33333</v>
      </c>
      <c r="AK14" s="56">
        <v>4695</v>
      </c>
      <c r="AL14" s="53"/>
      <c r="AM14" s="56">
        <v>2016</v>
      </c>
      <c r="AN14" s="56">
        <v>7775</v>
      </c>
      <c r="AO14" s="56">
        <v>10000</v>
      </c>
      <c r="AP14" s="56">
        <v>25000</v>
      </c>
      <c r="AQ14" s="56">
        <v>50000</v>
      </c>
      <c r="AR14" s="54" t="s">
        <v>63</v>
      </c>
      <c r="AS14" s="62"/>
      <c r="AT14" s="2">
        <v>2245</v>
      </c>
      <c r="AU14" s="50">
        <v>1290</v>
      </c>
      <c r="AV14" s="51">
        <f>ROUNDUP($AU$14/AG14,0)</f>
        <v>2</v>
      </c>
      <c r="AW14" s="52">
        <f>ROUNDUP($AU$14/AH14,0)</f>
        <v>1</v>
      </c>
      <c r="AX14" s="52">
        <f>ROUNDUP($AU$14/AI14,0)</f>
        <v>1</v>
      </c>
      <c r="AY14" s="52">
        <f>ROUNDUP($AU$14/AJ14,0)</f>
        <v>1</v>
      </c>
      <c r="AZ14" s="52">
        <f>ROUNDUP($AU$14/AK14,0)</f>
        <v>1</v>
      </c>
      <c r="BA14" s="73"/>
      <c r="BB14" s="52">
        <f>ROUNDUP($AU$14/AM14,0)</f>
        <v>1</v>
      </c>
      <c r="BC14" s="52">
        <f>ROUNDUP($AU$14/AN14,0)</f>
        <v>1</v>
      </c>
      <c r="BD14" s="52">
        <f>ROUNDUP($AU$14/AO14,0)</f>
        <v>1</v>
      </c>
      <c r="BE14" s="52">
        <f>ROUNDUP($AU$14/AP14,0)</f>
        <v>1</v>
      </c>
      <c r="BF14" s="52">
        <f>ROUNDUP($AU$14/AQ14,0)</f>
        <v>1</v>
      </c>
    </row>
    <row r="15" spans="3:61" ht="22.95" customHeight="1" x14ac:dyDescent="0.3">
      <c r="C15" s="2">
        <v>2570</v>
      </c>
      <c r="D15" s="6">
        <v>2500</v>
      </c>
      <c r="E15" s="24" t="e">
        <f>D15/#REF!</f>
        <v>#REF!</v>
      </c>
      <c r="F15" s="24" t="e">
        <f t="shared" ref="F15:F17" si="3">E15</f>
        <v>#REF!</v>
      </c>
      <c r="G15" s="27" t="e">
        <f>D15/#REF!</f>
        <v>#REF!</v>
      </c>
      <c r="H15" s="27" t="e">
        <f t="shared" ref="H15:H18" si="4">G15</f>
        <v>#REF!</v>
      </c>
      <c r="K15" s="32" t="e">
        <f>$K$2/#REF!</f>
        <v>#REF!</v>
      </c>
      <c r="L15" s="32" t="e">
        <f>$K$2/#REF!</f>
        <v>#REF!</v>
      </c>
      <c r="M15" s="33" t="e">
        <f t="shared" si="2"/>
        <v>#REF!</v>
      </c>
      <c r="AE15" s="2">
        <v>2570</v>
      </c>
      <c r="AF15" s="50">
        <v>900</v>
      </c>
      <c r="AG15" s="51">
        <v>660</v>
      </c>
      <c r="AH15" s="56">
        <v>11000</v>
      </c>
      <c r="AI15" s="56">
        <v>124959</v>
      </c>
      <c r="AJ15" s="56">
        <v>33333</v>
      </c>
      <c r="AK15" s="56">
        <v>4000</v>
      </c>
      <c r="AL15" s="53"/>
      <c r="AM15" s="56">
        <v>2016</v>
      </c>
      <c r="AN15" s="56">
        <v>7775</v>
      </c>
      <c r="AO15" s="56">
        <v>10000</v>
      </c>
      <c r="AP15" s="56">
        <v>25000</v>
      </c>
      <c r="AQ15" s="56">
        <v>50000</v>
      </c>
      <c r="AR15" s="54" t="s">
        <v>63</v>
      </c>
      <c r="AS15" s="62"/>
      <c r="AT15" s="2">
        <v>2570</v>
      </c>
      <c r="AU15" s="50">
        <v>900</v>
      </c>
      <c r="AV15" s="51">
        <f>ROUNDUP($AU$15/AG15,0)</f>
        <v>2</v>
      </c>
      <c r="AW15" s="52">
        <f>ROUNDUP($AU$15/AH15,0)</f>
        <v>1</v>
      </c>
      <c r="AX15" s="52">
        <f>ROUNDUP($AU$15/AI15,0)</f>
        <v>1</v>
      </c>
      <c r="AY15" s="52">
        <f>ROUNDUP($AU$15/AJ15,0)</f>
        <v>1</v>
      </c>
      <c r="AZ15" s="52">
        <f>ROUNDUP($AU$15/AK15,0)</f>
        <v>1</v>
      </c>
      <c r="BA15" s="73"/>
      <c r="BB15" s="52">
        <f>ROUNDUP($AU$15/AM15,0)</f>
        <v>1</v>
      </c>
      <c r="BC15" s="52">
        <f>ROUNDUP($AU$15/AN15,0)</f>
        <v>1</v>
      </c>
      <c r="BD15" s="52">
        <f>ROUNDUP($AU$15/AO15,0)</f>
        <v>1</v>
      </c>
      <c r="BE15" s="52">
        <f>ROUNDUP($AU$15/AP15,0)</f>
        <v>1</v>
      </c>
      <c r="BF15" s="52">
        <f>ROUNDUP($AU$15/AQ15,0)</f>
        <v>1</v>
      </c>
    </row>
    <row r="16" spans="3:61" ht="22.95" customHeight="1" x14ac:dyDescent="0.3">
      <c r="C16" s="2">
        <v>3562</v>
      </c>
      <c r="D16" s="6">
        <v>4500</v>
      </c>
      <c r="E16" s="24" t="e">
        <f>D16/#REF!</f>
        <v>#REF!</v>
      </c>
      <c r="F16" s="24" t="e">
        <f>E16</f>
        <v>#REF!</v>
      </c>
      <c r="G16" s="27" t="e">
        <f>D16/#REF!</f>
        <v>#REF!</v>
      </c>
      <c r="H16" s="27" t="e">
        <f t="shared" si="4"/>
        <v>#REF!</v>
      </c>
      <c r="K16" s="32" t="e">
        <f>$K$2/#REF!</f>
        <v>#REF!</v>
      </c>
      <c r="L16" s="32" t="e">
        <f>$K$2/#REF!</f>
        <v>#REF!</v>
      </c>
      <c r="M16" s="33" t="e">
        <f>K16-L16</f>
        <v>#REF!</v>
      </c>
      <c r="AE16" s="2">
        <v>3562</v>
      </c>
      <c r="AF16" s="50">
        <v>1074</v>
      </c>
      <c r="AG16" s="51">
        <v>250</v>
      </c>
      <c r="AH16" s="56">
        <v>4400</v>
      </c>
      <c r="AI16" s="56">
        <v>2000</v>
      </c>
      <c r="AJ16" s="56">
        <v>30511</v>
      </c>
      <c r="AK16" s="56">
        <v>4435</v>
      </c>
      <c r="AL16" s="53"/>
      <c r="AM16" s="51">
        <v>540</v>
      </c>
      <c r="AN16" s="56">
        <v>5435</v>
      </c>
      <c r="AO16" s="56">
        <v>2000</v>
      </c>
      <c r="AP16" s="56">
        <v>25000</v>
      </c>
      <c r="AQ16" s="56">
        <v>20000</v>
      </c>
      <c r="AR16" s="54" t="s">
        <v>64</v>
      </c>
      <c r="AS16" s="62"/>
      <c r="AT16" s="2">
        <v>3562</v>
      </c>
      <c r="AU16" s="50">
        <v>1074</v>
      </c>
      <c r="AV16" s="51">
        <f>ROUNDUP($AU$16/AG16,0)</f>
        <v>5</v>
      </c>
      <c r="AW16" s="52">
        <f>ROUNDUP($AU$16/AH16,0)</f>
        <v>1</v>
      </c>
      <c r="AX16" s="52">
        <f>ROUNDUP($AU$16/AI16,0)</f>
        <v>1</v>
      </c>
      <c r="AY16" s="52">
        <f>ROUNDUP($AU$16/AJ16,0)</f>
        <v>1</v>
      </c>
      <c r="AZ16" s="52">
        <f>ROUNDUP($AU$16/AK16,0)</f>
        <v>1</v>
      </c>
      <c r="BA16" s="73"/>
      <c r="BB16" s="51">
        <f>ROUNDUP($AU$16/AM16,0)</f>
        <v>2</v>
      </c>
      <c r="BC16" s="52">
        <f>ROUNDUP($AU$16/AN16,0)</f>
        <v>1</v>
      </c>
      <c r="BD16" s="52">
        <f>ROUNDUP($AU$16/AO16,0)</f>
        <v>1</v>
      </c>
      <c r="BE16" s="52">
        <f>ROUNDUP($AU$16/AP16,0)</f>
        <v>1</v>
      </c>
      <c r="BF16" s="52">
        <f>ROUNDUP($AU$16/AQ16,0)</f>
        <v>1</v>
      </c>
    </row>
    <row r="17" spans="2:58" ht="22.95" customHeight="1" x14ac:dyDescent="0.3">
      <c r="C17" s="2">
        <v>3582</v>
      </c>
      <c r="D17" s="6">
        <v>2500</v>
      </c>
      <c r="E17" s="24" t="e">
        <f>D17/#REF!</f>
        <v>#REF!</v>
      </c>
      <c r="F17" s="24" t="e">
        <f t="shared" si="3"/>
        <v>#REF!</v>
      </c>
      <c r="G17" s="27" t="e">
        <f>D17/#REF!</f>
        <v>#REF!</v>
      </c>
      <c r="H17" s="27" t="e">
        <f t="shared" si="4"/>
        <v>#REF!</v>
      </c>
      <c r="K17" s="32" t="e">
        <f>$K$2/#REF!</f>
        <v>#REF!</v>
      </c>
      <c r="L17" s="32" t="e">
        <f>$K$2/#REF!</f>
        <v>#REF!</v>
      </c>
      <c r="M17" s="33" t="e">
        <f t="shared" si="2"/>
        <v>#REF!</v>
      </c>
      <c r="AE17" s="2">
        <v>3582</v>
      </c>
      <c r="AF17" s="50">
        <v>1074</v>
      </c>
      <c r="AG17" s="51">
        <v>250</v>
      </c>
      <c r="AH17" s="56">
        <v>4400</v>
      </c>
      <c r="AI17" s="56">
        <v>17772</v>
      </c>
      <c r="AJ17" s="56">
        <v>30511</v>
      </c>
      <c r="AK17" s="56">
        <v>4080</v>
      </c>
      <c r="AL17" s="53"/>
      <c r="AM17" s="51">
        <v>540</v>
      </c>
      <c r="AN17" s="56">
        <v>4420</v>
      </c>
      <c r="AO17" s="56">
        <v>2000</v>
      </c>
      <c r="AP17" s="56">
        <v>25000</v>
      </c>
      <c r="AQ17" s="56">
        <v>20000</v>
      </c>
      <c r="AR17" s="54" t="s">
        <v>64</v>
      </c>
      <c r="AS17" s="62"/>
      <c r="AT17" s="2">
        <v>3582</v>
      </c>
      <c r="AU17" s="50">
        <v>1074</v>
      </c>
      <c r="AV17" s="51">
        <f>ROUNDUP($AU$17/AG17,0)</f>
        <v>5</v>
      </c>
      <c r="AW17" s="52">
        <f>ROUNDUP($AU$17/AH17,0)</f>
        <v>1</v>
      </c>
      <c r="AX17" s="52">
        <f>ROUNDUP($AU$17/AI17,0)</f>
        <v>1</v>
      </c>
      <c r="AY17" s="52">
        <f>ROUNDUP($AU$17/AJ17,0)</f>
        <v>1</v>
      </c>
      <c r="AZ17" s="52">
        <f>ROUNDUP($AU$17/AK17,0)</f>
        <v>1</v>
      </c>
      <c r="BA17" s="73"/>
      <c r="BB17" s="51">
        <f>ROUNDUP($AU$17/AM17,0)</f>
        <v>2</v>
      </c>
      <c r="BC17" s="52">
        <f>ROUNDUP($AU$17/AN17,0)</f>
        <v>1</v>
      </c>
      <c r="BD17" s="52">
        <f>ROUNDUP($AU$17/AO17,0)</f>
        <v>1</v>
      </c>
      <c r="BE17" s="52">
        <f>ROUNDUP($AU$17/AP17,0)</f>
        <v>1</v>
      </c>
      <c r="BF17" s="52">
        <f>ROUNDUP($AU$17/AQ17,0)</f>
        <v>1</v>
      </c>
    </row>
    <row r="18" spans="2:58" ht="22.95" customHeight="1" x14ac:dyDescent="0.3">
      <c r="C18" s="2">
        <v>35105</v>
      </c>
      <c r="D18" s="6">
        <v>32500</v>
      </c>
      <c r="E18" s="24" t="e">
        <f>D18/#REF!</f>
        <v>#REF!</v>
      </c>
      <c r="F18" s="24" t="e">
        <f>E18</f>
        <v>#REF!</v>
      </c>
      <c r="G18" s="24" t="e">
        <f>D18/#REF!</f>
        <v>#REF!</v>
      </c>
      <c r="H18" s="24" t="e">
        <f t="shared" si="4"/>
        <v>#REF!</v>
      </c>
      <c r="K18" s="32" t="e">
        <f>$K$2/#REF!</f>
        <v>#REF!</v>
      </c>
      <c r="L18" s="32" t="e">
        <f>$K$2/#REF!</f>
        <v>#REF!</v>
      </c>
      <c r="M18" s="34" t="e">
        <f t="shared" si="2"/>
        <v>#REF!</v>
      </c>
      <c r="AE18" s="2">
        <v>35105</v>
      </c>
      <c r="AF18" s="50">
        <v>1074</v>
      </c>
      <c r="AG18" s="51">
        <v>250</v>
      </c>
      <c r="AH18" s="56">
        <v>4500</v>
      </c>
      <c r="AI18" s="56">
        <v>15799</v>
      </c>
      <c r="AJ18" s="56">
        <v>30511</v>
      </c>
      <c r="AK18" s="56">
        <v>2512</v>
      </c>
      <c r="AL18" s="53"/>
      <c r="AM18" s="51">
        <v>405</v>
      </c>
      <c r="AN18" s="56">
        <v>3571</v>
      </c>
      <c r="AO18" s="56">
        <v>2000</v>
      </c>
      <c r="AP18" s="56">
        <v>25000</v>
      </c>
      <c r="AQ18" s="56">
        <v>2000</v>
      </c>
      <c r="AR18" s="54" t="s">
        <v>64</v>
      </c>
      <c r="AS18" s="62"/>
      <c r="AT18" s="2">
        <v>35105</v>
      </c>
      <c r="AU18" s="50">
        <v>1074</v>
      </c>
      <c r="AV18" s="51">
        <f>ROUNDUP($AU$18/AG18,0)</f>
        <v>5</v>
      </c>
      <c r="AW18" s="52">
        <f>ROUNDUP($AU$18/AH18,0)</f>
        <v>1</v>
      </c>
      <c r="AX18" s="52">
        <f>ROUNDUP($AU$18/AI18,0)</f>
        <v>1</v>
      </c>
      <c r="AY18" s="52">
        <f>ROUNDUP($AU$18/AJ18,0)</f>
        <v>1</v>
      </c>
      <c r="AZ18" s="52">
        <f>ROUNDUP($AU$18/AK18,0)</f>
        <v>1</v>
      </c>
      <c r="BA18" s="73"/>
      <c r="BB18" s="51">
        <f>ROUNDUP($AU$18/AM18,0)</f>
        <v>3</v>
      </c>
      <c r="BC18" s="52">
        <f>ROUNDUP($AU$18/AN18,0)</f>
        <v>1</v>
      </c>
      <c r="BD18" s="52">
        <f>ROUNDUP($AU$18/AO18,0)</f>
        <v>1</v>
      </c>
      <c r="BE18" s="52">
        <f>ROUNDUP($AU$18/AP18,0)</f>
        <v>1</v>
      </c>
      <c r="BF18" s="52">
        <f>ROUNDUP($AU$18/AQ18,0)</f>
        <v>1</v>
      </c>
    </row>
    <row r="19" spans="2:58" ht="21" customHeight="1" x14ac:dyDescent="0.3">
      <c r="C19" s="10" t="s">
        <v>22</v>
      </c>
      <c r="D19" s="23">
        <f>SUM(D5:D18)</f>
        <v>190800</v>
      </c>
      <c r="E19" s="28" t="e">
        <f>SUM(E5:E18)</f>
        <v>#REF!</v>
      </c>
      <c r="F19" s="28" t="e">
        <f>SUM(F5:F18)</f>
        <v>#REF!</v>
      </c>
      <c r="G19" s="29" t="e">
        <f>SUM(G5:G18)</f>
        <v>#REF!</v>
      </c>
      <c r="H19" s="29" t="e">
        <f>SUM(H5:H18)</f>
        <v>#REF!</v>
      </c>
      <c r="I19" s="11" t="e">
        <f>H19-F19</f>
        <v>#REF!</v>
      </c>
      <c r="K19" s="35" t="e">
        <f>$K$2/#REF!</f>
        <v>#REF!</v>
      </c>
      <c r="L19" s="35" t="e">
        <f>$K$2/#REF!</f>
        <v>#REF!</v>
      </c>
      <c r="M19" s="36" t="e">
        <f t="shared" si="2"/>
        <v>#REF!</v>
      </c>
    </row>
    <row r="20" spans="2:58" x14ac:dyDescent="0.3">
      <c r="K20" s="37"/>
      <c r="AL20" s="57"/>
      <c r="AM20" s="59"/>
    </row>
    <row r="21" spans="2:58" x14ac:dyDescent="0.3">
      <c r="B21"/>
      <c r="C21"/>
    </row>
    <row r="22" spans="2:58" x14ac:dyDescent="0.3">
      <c r="B22"/>
      <c r="C22"/>
      <c r="AE22" s="58"/>
    </row>
    <row r="36" spans="4:53" s="1" customFormat="1" x14ac:dyDescent="0.3">
      <c r="D36" s="7"/>
      <c r="G36" s="9"/>
      <c r="K36" s="31"/>
      <c r="L36" s="31"/>
      <c r="M36" s="31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</row>
    <row r="39" spans="4:53" s="1" customFormat="1" x14ac:dyDescent="0.3">
      <c r="D39" s="7"/>
      <c r="G39" s="9"/>
      <c r="K39" s="31"/>
      <c r="L39" s="31"/>
      <c r="M39" s="31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</row>
  </sheetData>
  <mergeCells count="11">
    <mergeCell ref="AV3:BF3"/>
    <mergeCell ref="AR3:AR4"/>
    <mergeCell ref="AT3:AT4"/>
    <mergeCell ref="AU3:AU4"/>
    <mergeCell ref="D3:D4"/>
    <mergeCell ref="E3:F3"/>
    <mergeCell ref="G3:H3"/>
    <mergeCell ref="AE3:AE4"/>
    <mergeCell ref="AF3:AF4"/>
    <mergeCell ref="AG3:AQ3"/>
    <mergeCell ref="C3:C4"/>
  </mergeCells>
  <pageMargins left="0.7" right="0.7" top="0.75" bottom="0.75" header="0.3" footer="0.3"/>
  <pageSetup paperSize="9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thay đôi số lượng lot no</vt:lpstr>
      <vt:lpstr>Increase lot size</vt:lpstr>
      <vt:lpstr>Quantity of raw materials</vt:lpstr>
      <vt:lpstr>'Increase lot size'!Print_Area</vt:lpstr>
      <vt:lpstr>'Quantity of raw materials'!Print_Area</vt:lpstr>
      <vt:lpstr>'thay đôi số lượng lot no'!Print_Area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JAN</dc:creator>
  <cp:lastModifiedBy>Nguyễn Văn Điệp</cp:lastModifiedBy>
  <cp:lastPrinted>2026-06-03T00:52:50Z</cp:lastPrinted>
  <dcterms:created xsi:type="dcterms:W3CDTF">2025-03-26T09:41:39Z</dcterms:created>
  <dcterms:modified xsi:type="dcterms:W3CDTF">2026-06-03T06:13:25Z</dcterms:modified>
</cp:coreProperties>
</file>