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IEN DO KEO CAP CELL LINE" sheetId="1" state="visible" r:id="rId1"/>
    <sheet name="2. KIEM KE THIET BI IT XU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D9E1F2"/>
      <sz val="10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595959"/>
      <sz val="9"/>
    </font>
    <font>
      <name val="Calibri"/>
      <b val="1"/>
      <color rgb="001B365D"/>
      <sz val="15"/>
    </font>
    <font>
      <name val="Calibri"/>
      <b val="1"/>
      <color rgb="00375623"/>
      <sz val="15"/>
    </font>
    <font>
      <name val="Calibri"/>
      <b val="1"/>
      <color rgb="00833C0C"/>
      <sz val="12"/>
    </font>
    <font>
      <name val="Calibri"/>
      <b val="1"/>
      <color rgb="00C65911"/>
      <sz val="12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375623"/>
      <sz val="10"/>
    </font>
    <font>
      <name val="Calibri"/>
      <b val="1"/>
      <color rgb="00833C0C"/>
      <sz val="10"/>
    </font>
    <font>
      <name val="Calibri"/>
      <b val="1"/>
      <color rgb="00C65911"/>
      <sz val="10"/>
    </font>
    <font>
      <name val="Calibri"/>
      <b val="1"/>
      <color rgb="00833C0C"/>
      <sz val="1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35" customWidth="1" min="4" max="4"/>
    <col width="10" customWidth="1" min="5" max="5"/>
    <col width="10" customWidth="1" min="6" max="6"/>
    <col width="11" customWidth="1" min="7" max="7"/>
    <col width="15" customWidth="1" min="8" max="8"/>
    <col width="14" customWidth="1" min="9" max="9"/>
    <col width="45" customWidth="1" min="10" max="10"/>
  </cols>
  <sheetData>
    <row r="1" ht="20" customHeight="1">
      <c r="A1" s="1" t="inlineStr">
        <is>
          <t>VINATECH CO., LTD. — IT INFRASTRUCTURE &amp; FACTORY NETWORK REPORT</t>
        </is>
      </c>
    </row>
    <row r="2" ht="28" customHeight="1">
      <c r="A2" s="2" t="inlineStr">
        <is>
          <t>BÁO CÁO TIẾN ĐỘ HẠ TẦNG DÂY MẠNG CELL LINE (CELL 라인 네트워크 케이블 포설 현황)</t>
        </is>
      </c>
    </row>
    <row r="3" ht="18" customHeight="1">
      <c r="A3" s="3" t="inlineStr">
        <is>
          <t>Ngày khảo sát: 07/10/2026 | Người thực hiện: Nguyễn Văn Đức (vanduc - EA Team) | Phụ trách / Báo cáo: Mr. Hải / Mr. Lee Sang Hwan</t>
        </is>
      </c>
    </row>
    <row r="5" ht="18" customHeight="1">
      <c r="B5" s="4" t="inlineStr">
        <is>
          <t>TỔNG DÂY CẦN THIẾT (총 소요)</t>
        </is>
      </c>
      <c r="D5" s="4" t="inlineStr">
        <is>
          <t>ĐÃ KÉO XONG (포설 완료)</t>
        </is>
      </c>
      <c r="F5" s="4" t="inlineStr">
        <is>
          <t>CẦN KÉO THÊM (진행 가능/잔여)</t>
        </is>
      </c>
      <c r="H5" s="4" t="inlineStr">
        <is>
          <t>NGHẼN HẠ TẦNG (인프라 장애/대기)</t>
        </is>
      </c>
    </row>
    <row r="6" ht="26" customHeight="1">
      <c r="B6" s="5" t="inlineStr">
        <is>
          <t>30 Dây (Ports)</t>
        </is>
      </c>
      <c r="D6" s="6" t="inlineStr">
        <is>
          <t>27 Dây (90.0%)</t>
        </is>
      </c>
      <c r="F6" s="7" t="inlineStr">
        <is>
          <t>3 Dây (Aging L6, Winding L3)</t>
        </is>
      </c>
      <c r="H6" s="8" t="inlineStr">
        <is>
          <t>14 Vị trí (Winding 6, Ass'y 8)</t>
        </is>
      </c>
    </row>
    <row r="8">
      <c r="A8" s="9" t="inlineStr">
        <is>
          <t>I. BẢNG TỔNG HỢP THEO KHU VỰC CÔNG ĐOẠN (공정 구역별 요약)</t>
        </is>
      </c>
    </row>
    <row r="9" ht="24" customHeight="1">
      <c r="A9" s="10" t="inlineStr">
        <is>
          <t>STT</t>
        </is>
      </c>
      <c r="B9" s="10" t="inlineStr">
        <is>
          <t>Khu Vực Công Đoạn (공정 구역)</t>
        </is>
      </c>
      <c r="C9" s="10" t="inlineStr">
        <is>
          <t>Tổng Dây Khả Thi</t>
        </is>
      </c>
      <c r="D9" s="10" t="inlineStr">
        <is>
          <t>Đã Kéo Xong</t>
        </is>
      </c>
      <c r="E9" s="10" t="inlineStr">
        <is>
          <t>Cần Kéo Thêm</t>
        </is>
      </c>
      <c r="F9" s="10" t="inlineStr">
        <is>
          <t>Vị Trí Vướng Hạ Tầng</t>
        </is>
      </c>
      <c r="G9" s="10" t="inlineStr">
        <is>
          <t>Tỷ Lệ Hoàn Thành (%)</t>
        </is>
      </c>
      <c r="H9" s="10" t="inlineStr">
        <is>
          <t>Đánh Giá / Hiện Trạng Kỹ Thuật</t>
        </is>
      </c>
    </row>
    <row r="10" ht="20" customHeight="1">
      <c r="A10" s="11" t="n">
        <v>1</v>
      </c>
      <c r="B10" s="12" t="inlineStr">
        <is>
          <t>Aging (노화공정 - Hồi/Ủ điện tích)</t>
        </is>
      </c>
      <c r="C10" s="11" t="n">
        <v>6</v>
      </c>
      <c r="D10" s="11" t="n">
        <v>5</v>
      </c>
      <c r="E10" s="11" t="n">
        <v>1</v>
      </c>
      <c r="F10" s="11" t="n">
        <v>0</v>
      </c>
      <c r="G10" s="13">
        <f>D10/C10</f>
        <v/>
      </c>
      <c r="H10" s="12" t="inlineStr">
        <is>
          <t>🟢 5/5 máy 35105 đã xong. Còn thiếu 1 dây cho cụm 2245 Aging #1.</t>
        </is>
      </c>
    </row>
    <row r="11" ht="20" customHeight="1">
      <c r="A11" s="11" t="n">
        <v>2</v>
      </c>
      <c r="B11" s="12" t="inlineStr">
        <is>
          <t>Winding (권취공정 - Quấn cuộn)</t>
        </is>
      </c>
      <c r="C11" s="11" t="n">
        <v>12</v>
      </c>
      <c r="D11" s="11" t="n">
        <v>10</v>
      </c>
      <c r="E11" s="11" t="n">
        <v>2</v>
      </c>
      <c r="F11" s="11" t="n">
        <v>6</v>
      </c>
      <c r="G11" s="13">
        <f>D11/C11</f>
        <v/>
      </c>
      <c r="H11" s="12" t="inlineStr">
        <is>
          <t>🟡 L1(2/2), L2(6/6) xong. L3 còn thiếu 2 dây. L4-9 bị vướng máng cáp.</t>
        </is>
      </c>
    </row>
    <row r="12" ht="20" customHeight="1">
      <c r="A12" s="11" t="n">
        <v>3</v>
      </c>
      <c r="B12" s="12" t="inlineStr">
        <is>
          <t>Assembly (조립공정 - Lắp ráp Cell)</t>
        </is>
      </c>
      <c r="C12" s="11" t="n">
        <v>10</v>
      </c>
      <c r="D12" s="11" t="n">
        <v>10</v>
      </c>
      <c r="E12" s="11" t="n">
        <v>0</v>
      </c>
      <c r="F12" s="11" t="n">
        <v>8</v>
      </c>
      <c r="G12" s="13">
        <f>D12/C12</f>
        <v/>
      </c>
      <c r="H12" s="12" t="inlineStr">
        <is>
          <t>🟢 Cụm máy 35105 (Line 9, 10) đã kéo đủ 10/10 dây. Line 1-8 vướng hạ tầng.</t>
        </is>
      </c>
    </row>
    <row r="13" ht="20" customHeight="1">
      <c r="A13" s="11" t="n">
        <v>4</v>
      </c>
      <c r="B13" s="12" t="inlineStr">
        <is>
          <t>Phụ trợ: Partleader/VPSX &amp; X-Ray</t>
        </is>
      </c>
      <c r="C13" s="11" t="n">
        <v>2</v>
      </c>
      <c r="D13" s="11" t="n">
        <v>2</v>
      </c>
      <c r="E13" s="11" t="n">
        <v>0</v>
      </c>
      <c r="F13" s="11" t="n">
        <v>0</v>
      </c>
      <c r="G13" s="13">
        <f>D13/C13</f>
        <v/>
      </c>
      <c r="H13" s="12" t="inlineStr">
        <is>
          <t>🟢 Đã xong 1 Uplink vào Switch 8P Partleader (chia máy bàn) &amp; 1 dây X-Ray.</t>
        </is>
      </c>
    </row>
    <row r="14" ht="22" customHeight="1">
      <c r="A14" s="14" t="inlineStr"/>
      <c r="B14" s="15" t="inlineStr">
        <is>
          <t>TỔNG CỘNG KHU VỰC (합계)</t>
        </is>
      </c>
      <c r="C14" s="16">
        <f>SUM(C10:C13)</f>
        <v/>
      </c>
      <c r="D14" s="16">
        <f>SUM(D10:D13)</f>
        <v/>
      </c>
      <c r="E14" s="16">
        <f>SUM(E10:E13)</f>
        <v/>
      </c>
      <c r="F14" s="16">
        <f>SUM(F10:F13)</f>
        <v/>
      </c>
      <c r="G14" s="17">
        <f>D14/C14</f>
        <v/>
      </c>
      <c r="H14" s="15" t="inlineStr">
        <is>
          <t>Tổng 30 dây khả thi: Đã xong 27 dây (90.0%). Cần triển khai tiếp 3 dây.</t>
        </is>
      </c>
    </row>
    <row r="16">
      <c r="A16" s="9" t="inlineStr">
        <is>
          <t>II. DANH SÁCH CHI TIẾT THEO TỪNG LINE VÀ THIẾT BỊ (라인별 상세 내역)</t>
        </is>
      </c>
    </row>
    <row r="17" ht="24" customHeight="1">
      <c r="A17" s="10" t="inlineStr">
        <is>
          <t>STT</t>
        </is>
      </c>
      <c r="B17" s="10" t="inlineStr">
        <is>
          <t>Phân Khu (구역)</t>
        </is>
      </c>
      <c r="C17" s="10" t="inlineStr">
        <is>
          <t>Mã Line</t>
        </is>
      </c>
      <c r="D17" s="10" t="inlineStr">
        <is>
          <t>Tên Thiết Bị / Vị Trí Trên Layout</t>
        </is>
      </c>
      <c r="E17" s="10" t="inlineStr">
        <is>
          <t>Dây Cần</t>
        </is>
      </c>
      <c r="F17" s="10" t="inlineStr">
        <is>
          <t>Đã Kéo</t>
        </is>
      </c>
      <c r="G17" s="10" t="inlineStr">
        <is>
          <t>Còn Thiếu</t>
        </is>
      </c>
      <c r="H17" s="10" t="inlineStr">
        <is>
          <t>Trạng Thái</t>
        </is>
      </c>
      <c r="I17" s="10" t="inlineStr">
        <is>
          <t>Độ Khả Thi</t>
        </is>
      </c>
      <c r="J17" s="10" t="inlineStr">
        <is>
          <t>Ghi Chú Kỹ Thuật (기술 메모)</t>
        </is>
      </c>
    </row>
    <row r="18" ht="20" customHeight="1">
      <c r="A18" s="11" t="n">
        <v>1</v>
      </c>
      <c r="B18" s="11" t="inlineStr">
        <is>
          <t>Aging</t>
        </is>
      </c>
      <c r="C18" s="11" t="inlineStr">
        <is>
          <t>Line 1</t>
        </is>
      </c>
      <c r="D18" s="12" t="inlineStr">
        <is>
          <t>35105 - Aging #1</t>
        </is>
      </c>
      <c r="E18" s="11" t="n">
        <v>1</v>
      </c>
      <c r="F18" s="11" t="n">
        <v>1</v>
      </c>
      <c r="G18" s="11" t="n">
        <v>0</v>
      </c>
      <c r="H18" s="18" t="inlineStr">
        <is>
          <t>Hoàn thành</t>
        </is>
      </c>
      <c r="I18" s="18" t="inlineStr">
        <is>
          <t>Đã xong</t>
        </is>
      </c>
      <c r="J18" s="12" t="inlineStr">
        <is>
          <t>Đã kéo hoàn thiện 1/1 dây</t>
        </is>
      </c>
    </row>
    <row r="19" ht="20" customHeight="1">
      <c r="A19" s="11" t="n">
        <v>2</v>
      </c>
      <c r="B19" s="11" t="inlineStr">
        <is>
          <t>Aging</t>
        </is>
      </c>
      <c r="C19" s="11" t="inlineStr">
        <is>
          <t>Line 2</t>
        </is>
      </c>
      <c r="D19" s="12" t="inlineStr">
        <is>
          <t>35105 - Aging #2</t>
        </is>
      </c>
      <c r="E19" s="11" t="n">
        <v>1</v>
      </c>
      <c r="F19" s="11" t="n">
        <v>1</v>
      </c>
      <c r="G19" s="11" t="n">
        <v>0</v>
      </c>
      <c r="H19" s="18" t="inlineStr">
        <is>
          <t>Hoàn thành</t>
        </is>
      </c>
      <c r="I19" s="18" t="inlineStr">
        <is>
          <t>Đã xong</t>
        </is>
      </c>
      <c r="J19" s="12" t="inlineStr">
        <is>
          <t>Đã kéo hoàn thiện 1/1 dây</t>
        </is>
      </c>
    </row>
    <row r="20" ht="20" customHeight="1">
      <c r="A20" s="11" t="n">
        <v>3</v>
      </c>
      <c r="B20" s="11" t="inlineStr">
        <is>
          <t>Aging</t>
        </is>
      </c>
      <c r="C20" s="11" t="inlineStr">
        <is>
          <t>Line 3</t>
        </is>
      </c>
      <c r="D20" s="12" t="inlineStr">
        <is>
          <t>35105 - Aging #3</t>
        </is>
      </c>
      <c r="E20" s="11" t="n">
        <v>1</v>
      </c>
      <c r="F20" s="11" t="n">
        <v>1</v>
      </c>
      <c r="G20" s="11" t="n">
        <v>0</v>
      </c>
      <c r="H20" s="18" t="inlineStr">
        <is>
          <t>Hoàn thành</t>
        </is>
      </c>
      <c r="I20" s="18" t="inlineStr">
        <is>
          <t>Đã xong</t>
        </is>
      </c>
      <c r="J20" s="12" t="inlineStr">
        <is>
          <t>Đã kéo hoàn thiện 1/1 dây</t>
        </is>
      </c>
    </row>
    <row r="21" ht="20" customHeight="1">
      <c r="A21" s="11" t="n">
        <v>4</v>
      </c>
      <c r="B21" s="11" t="inlineStr">
        <is>
          <t>Aging</t>
        </is>
      </c>
      <c r="C21" s="11" t="inlineStr">
        <is>
          <t>Line 4</t>
        </is>
      </c>
      <c r="D21" s="12" t="inlineStr">
        <is>
          <t>35105 - Aging #4</t>
        </is>
      </c>
      <c r="E21" s="11" t="n">
        <v>1</v>
      </c>
      <c r="F21" s="11" t="n">
        <v>1</v>
      </c>
      <c r="G21" s="11" t="n">
        <v>0</v>
      </c>
      <c r="H21" s="18" t="inlineStr">
        <is>
          <t>Hoàn thành</t>
        </is>
      </c>
      <c r="I21" s="18" t="inlineStr">
        <is>
          <t>Đã xong</t>
        </is>
      </c>
      <c r="J21" s="12" t="inlineStr">
        <is>
          <t>Đã kéo hoàn thiện 1/1 dây</t>
        </is>
      </c>
    </row>
    <row r="22" ht="20" customHeight="1">
      <c r="A22" s="11" t="n">
        <v>5</v>
      </c>
      <c r="B22" s="11" t="inlineStr">
        <is>
          <t>Aging</t>
        </is>
      </c>
      <c r="C22" s="11" t="inlineStr">
        <is>
          <t>Line 5</t>
        </is>
      </c>
      <c r="D22" s="12" t="inlineStr">
        <is>
          <t>35105 - Aging #5</t>
        </is>
      </c>
      <c r="E22" s="11" t="n">
        <v>1</v>
      </c>
      <c r="F22" s="11" t="n">
        <v>1</v>
      </c>
      <c r="G22" s="11" t="n">
        <v>0</v>
      </c>
      <c r="H22" s="18" t="inlineStr">
        <is>
          <t>Hoàn thành</t>
        </is>
      </c>
      <c r="I22" s="18" t="inlineStr">
        <is>
          <t>Đã xong</t>
        </is>
      </c>
      <c r="J22" s="12" t="inlineStr">
        <is>
          <t>Đã kéo hoàn thiện 1/1 dây</t>
        </is>
      </c>
    </row>
    <row r="23" ht="20" customHeight="1">
      <c r="A23" s="11" t="n">
        <v>6</v>
      </c>
      <c r="B23" s="11" t="inlineStr">
        <is>
          <t>Aging</t>
        </is>
      </c>
      <c r="C23" s="11" t="inlineStr">
        <is>
          <t>Line 6</t>
        </is>
      </c>
      <c r="D23" s="12" t="inlineStr">
        <is>
          <t>2245 - Aging #1 (Khoanh đỏ)</t>
        </is>
      </c>
      <c r="E23" s="11" t="n">
        <v>1</v>
      </c>
      <c r="F23" s="11" t="n">
        <v>0</v>
      </c>
      <c r="G23" s="11" t="n">
        <v>1</v>
      </c>
      <c r="H23" s="19" t="inlineStr">
        <is>
          <t>Cần kéo thêm</t>
        </is>
      </c>
      <c r="I23" s="19" t="inlineStr">
        <is>
          <t>Có thể kéo</t>
        </is>
      </c>
      <c r="J23" s="12" t="inlineStr">
        <is>
          <t>Thiếu 1 dây, hạ tầng đã sẵn sàng kéo</t>
        </is>
      </c>
    </row>
    <row r="24" ht="20" customHeight="1">
      <c r="A24" s="11" t="n">
        <v>7</v>
      </c>
      <c r="B24" s="11" t="inlineStr">
        <is>
          <t>Winding</t>
        </is>
      </c>
      <c r="C24" s="11" t="inlineStr">
        <is>
          <t>Line 1</t>
        </is>
      </c>
      <c r="D24" s="12" t="inlineStr">
        <is>
          <t>Máy Quấn Winding Line 1</t>
        </is>
      </c>
      <c r="E24" s="11" t="n">
        <v>2</v>
      </c>
      <c r="F24" s="11" t="n">
        <v>2</v>
      </c>
      <c r="G24" s="11" t="n">
        <v>0</v>
      </c>
      <c r="H24" s="18" t="inlineStr">
        <is>
          <t>Hoàn thành</t>
        </is>
      </c>
      <c r="I24" s="18" t="inlineStr">
        <is>
          <t>Đã xong</t>
        </is>
      </c>
      <c r="J24" s="12" t="inlineStr">
        <is>
          <t>Đã kéo hoàn thiện 2/2 dây</t>
        </is>
      </c>
    </row>
    <row r="25" ht="20" customHeight="1">
      <c r="A25" s="11" t="n">
        <v>8</v>
      </c>
      <c r="B25" s="11" t="inlineStr">
        <is>
          <t>Winding</t>
        </is>
      </c>
      <c r="C25" s="11" t="inlineStr">
        <is>
          <t>Line 2</t>
        </is>
      </c>
      <c r="D25" s="12" t="inlineStr">
        <is>
          <t>Máy Quấn Winding Line 2</t>
        </is>
      </c>
      <c r="E25" s="11" t="n">
        <v>6</v>
      </c>
      <c r="F25" s="11" t="n">
        <v>6</v>
      </c>
      <c r="G25" s="11" t="n">
        <v>0</v>
      </c>
      <c r="H25" s="18" t="inlineStr">
        <is>
          <t>Hoàn thành</t>
        </is>
      </c>
      <c r="I25" s="18" t="inlineStr">
        <is>
          <t>Đã xong</t>
        </is>
      </c>
      <c r="J25" s="12" t="inlineStr">
        <is>
          <t>Đã kéo hoàn thiện 6/6 dây</t>
        </is>
      </c>
    </row>
    <row r="26" ht="20" customHeight="1">
      <c r="A26" s="11" t="n">
        <v>9</v>
      </c>
      <c r="B26" s="11" t="inlineStr">
        <is>
          <t>Winding</t>
        </is>
      </c>
      <c r="C26" s="11" t="inlineStr">
        <is>
          <t>Line 3</t>
        </is>
      </c>
      <c r="D26" s="12" t="inlineStr">
        <is>
          <t>Máy Quấn Winding Line 3</t>
        </is>
      </c>
      <c r="E26" s="11" t="n">
        <v>4</v>
      </c>
      <c r="F26" s="11" t="n">
        <v>2</v>
      </c>
      <c r="G26" s="11" t="n">
        <v>2</v>
      </c>
      <c r="H26" s="19" t="inlineStr">
        <is>
          <t>Cần kéo thêm</t>
        </is>
      </c>
      <c r="I26" s="19" t="inlineStr">
        <is>
          <t>Có thể kéo</t>
        </is>
      </c>
      <c r="J26" s="12" t="inlineStr">
        <is>
          <t>Hiện đã có 2/4 dây, cần kéo thêm 2 dây</t>
        </is>
      </c>
    </row>
    <row r="27" ht="20" customHeight="1">
      <c r="A27" s="11" t="n">
        <v>10</v>
      </c>
      <c r="B27" s="11" t="inlineStr">
        <is>
          <t>Winding</t>
        </is>
      </c>
      <c r="C27" s="11" t="inlineStr">
        <is>
          <t>Line 4</t>
        </is>
      </c>
      <c r="D27" s="12" t="inlineStr">
        <is>
          <t>Máy Quấn Winding Line 4</t>
        </is>
      </c>
      <c r="E27" s="11" t="inlineStr">
        <is>
          <t>-</t>
        </is>
      </c>
      <c r="F27" s="11" t="n">
        <v>0</v>
      </c>
      <c r="G27" s="11" t="inlineStr">
        <is>
          <t>-</t>
        </is>
      </c>
      <c r="H27" s="20" t="inlineStr">
        <is>
          <t>Chưa thể kéo</t>
        </is>
      </c>
      <c r="I27" s="20" t="inlineStr">
        <is>
          <t>Nghẽn hạ tầng</t>
        </is>
      </c>
      <c r="J27" s="12" t="inlineStr">
        <is>
          <t>Chưa có máng cáp / Vị trí máy bị vướng</t>
        </is>
      </c>
    </row>
    <row r="28" ht="20" customHeight="1">
      <c r="A28" s="11" t="n">
        <v>11</v>
      </c>
      <c r="B28" s="11" t="inlineStr">
        <is>
          <t>Winding</t>
        </is>
      </c>
      <c r="C28" s="11" t="inlineStr">
        <is>
          <t>Line 5</t>
        </is>
      </c>
      <c r="D28" s="12" t="inlineStr">
        <is>
          <t>Máy Quấn Winding Line 5</t>
        </is>
      </c>
      <c r="E28" s="11" t="inlineStr">
        <is>
          <t>-</t>
        </is>
      </c>
      <c r="F28" s="11" t="n">
        <v>0</v>
      </c>
      <c r="G28" s="11" t="inlineStr">
        <is>
          <t>-</t>
        </is>
      </c>
      <c r="H28" s="20" t="inlineStr">
        <is>
          <t>Chưa thể kéo</t>
        </is>
      </c>
      <c r="I28" s="20" t="inlineStr">
        <is>
          <t>Nghẽn hạ tầng</t>
        </is>
      </c>
      <c r="J28" s="12" t="inlineStr">
        <is>
          <t>Chưa có máng cáp / Vị trí máy bị vướng</t>
        </is>
      </c>
    </row>
    <row r="29" ht="20" customHeight="1">
      <c r="A29" s="11" t="n">
        <v>12</v>
      </c>
      <c r="B29" s="11" t="inlineStr">
        <is>
          <t>Winding</t>
        </is>
      </c>
      <c r="C29" s="11" t="inlineStr">
        <is>
          <t>Line 6</t>
        </is>
      </c>
      <c r="D29" s="12" t="inlineStr">
        <is>
          <t>Máy Quấn Winding Line 6</t>
        </is>
      </c>
      <c r="E29" s="11" t="inlineStr">
        <is>
          <t>-</t>
        </is>
      </c>
      <c r="F29" s="11" t="n">
        <v>0</v>
      </c>
      <c r="G29" s="11" t="inlineStr">
        <is>
          <t>-</t>
        </is>
      </c>
      <c r="H29" s="20" t="inlineStr">
        <is>
          <t>Chưa thể kéo</t>
        </is>
      </c>
      <c r="I29" s="20" t="inlineStr">
        <is>
          <t>Nghẽn hạ tầng</t>
        </is>
      </c>
      <c r="J29" s="12" t="inlineStr">
        <is>
          <t>Chưa có máng cáp / Vị trí máy bị vướng</t>
        </is>
      </c>
    </row>
    <row r="30" ht="20" customHeight="1">
      <c r="A30" s="11" t="n">
        <v>13</v>
      </c>
      <c r="B30" s="11" t="inlineStr">
        <is>
          <t>Winding</t>
        </is>
      </c>
      <c r="C30" s="11" t="inlineStr">
        <is>
          <t>Line 7</t>
        </is>
      </c>
      <c r="D30" s="12" t="inlineStr">
        <is>
          <t>Máy Quấn Winding Line 7</t>
        </is>
      </c>
      <c r="E30" s="11" t="inlineStr">
        <is>
          <t>-</t>
        </is>
      </c>
      <c r="F30" s="11" t="n">
        <v>0</v>
      </c>
      <c r="G30" s="11" t="inlineStr">
        <is>
          <t>-</t>
        </is>
      </c>
      <c r="H30" s="20" t="inlineStr">
        <is>
          <t>Chưa thể kéo</t>
        </is>
      </c>
      <c r="I30" s="20" t="inlineStr">
        <is>
          <t>Nghẽn hạ tầng</t>
        </is>
      </c>
      <c r="J30" s="12" t="inlineStr">
        <is>
          <t>Chưa có máng cáp / Vị trí máy bị vướng</t>
        </is>
      </c>
    </row>
    <row r="31" ht="20" customHeight="1">
      <c r="A31" s="11" t="n">
        <v>14</v>
      </c>
      <c r="B31" s="11" t="inlineStr">
        <is>
          <t>Winding</t>
        </is>
      </c>
      <c r="C31" s="11" t="inlineStr">
        <is>
          <t>Line 8</t>
        </is>
      </c>
      <c r="D31" s="12" t="inlineStr">
        <is>
          <t>Máy Quấn Winding Line 8</t>
        </is>
      </c>
      <c r="E31" s="11" t="inlineStr">
        <is>
          <t>-</t>
        </is>
      </c>
      <c r="F31" s="11" t="n">
        <v>0</v>
      </c>
      <c r="G31" s="11" t="inlineStr">
        <is>
          <t>-</t>
        </is>
      </c>
      <c r="H31" s="20" t="inlineStr">
        <is>
          <t>Chưa thể kéo</t>
        </is>
      </c>
      <c r="I31" s="20" t="inlineStr">
        <is>
          <t>Nghẽn hạ tầng</t>
        </is>
      </c>
      <c r="J31" s="12" t="inlineStr">
        <is>
          <t>Chưa có máng cáp / Vị trí máy bị vướng</t>
        </is>
      </c>
    </row>
    <row r="32" ht="20" customHeight="1">
      <c r="A32" s="11" t="n">
        <v>15</v>
      </c>
      <c r="B32" s="11" t="inlineStr">
        <is>
          <t>Winding</t>
        </is>
      </c>
      <c r="C32" s="11" t="inlineStr">
        <is>
          <t>Line 9</t>
        </is>
      </c>
      <c r="D32" s="12" t="inlineStr">
        <is>
          <t>Máy Quấn Winding Line 9</t>
        </is>
      </c>
      <c r="E32" s="11" t="inlineStr">
        <is>
          <t>-</t>
        </is>
      </c>
      <c r="F32" s="11" t="n">
        <v>0</v>
      </c>
      <c r="G32" s="11" t="inlineStr">
        <is>
          <t>-</t>
        </is>
      </c>
      <c r="H32" s="20" t="inlineStr">
        <is>
          <t>Chưa thể kéo</t>
        </is>
      </c>
      <c r="I32" s="20" t="inlineStr">
        <is>
          <t>Nghẽn hạ tầng</t>
        </is>
      </c>
      <c r="J32" s="12" t="inlineStr">
        <is>
          <t>Chưa có máng cáp / Vị trí máy bị vướng</t>
        </is>
      </c>
    </row>
    <row r="33" ht="20" customHeight="1">
      <c r="A33" s="11" t="n">
        <v>16</v>
      </c>
      <c r="B33" s="11" t="inlineStr">
        <is>
          <t>Assembly</t>
        </is>
      </c>
      <c r="C33" s="11" t="inlineStr">
        <is>
          <t>Line 9</t>
        </is>
      </c>
      <c r="D33" s="12" t="inlineStr">
        <is>
          <t>35105 Cell Ass'y Cụm 1 (Cell #1-#3)</t>
        </is>
      </c>
      <c r="E33" s="11" t="n">
        <v>5</v>
      </c>
      <c r="F33" s="11" t="n">
        <v>5</v>
      </c>
      <c r="G33" s="11" t="n">
        <v>0</v>
      </c>
      <c r="H33" s="18" t="inlineStr">
        <is>
          <t>Hoàn thành</t>
        </is>
      </c>
      <c r="I33" s="18" t="inlineStr">
        <is>
          <t>Đã xong</t>
        </is>
      </c>
      <c r="J33" s="12" t="inlineStr">
        <is>
          <t>Đã kéo hoàn thiện 5/5 dây cho cụm máy</t>
        </is>
      </c>
    </row>
    <row r="34" ht="20" customHeight="1">
      <c r="A34" s="11" t="n">
        <v>17</v>
      </c>
      <c r="B34" s="11" t="inlineStr">
        <is>
          <t>Assembly</t>
        </is>
      </c>
      <c r="C34" s="11" t="inlineStr">
        <is>
          <t>Line 10</t>
        </is>
      </c>
      <c r="D34" s="12" t="inlineStr">
        <is>
          <t>35105 Cell Ass'y Cụm 2 (Cell #1-#3)</t>
        </is>
      </c>
      <c r="E34" s="11" t="n">
        <v>5</v>
      </c>
      <c r="F34" s="11" t="n">
        <v>5</v>
      </c>
      <c r="G34" s="11" t="n">
        <v>0</v>
      </c>
      <c r="H34" s="18" t="inlineStr">
        <is>
          <t>Hoàn thành</t>
        </is>
      </c>
      <c r="I34" s="18" t="inlineStr">
        <is>
          <t>Đã xong</t>
        </is>
      </c>
      <c r="J34" s="12" t="inlineStr">
        <is>
          <t>Đã kéo hoàn thiện 5/5 dây cho cụm máy</t>
        </is>
      </c>
    </row>
    <row r="35" ht="20" customHeight="1">
      <c r="A35" s="11" t="n">
        <v>18</v>
      </c>
      <c r="B35" s="11" t="inlineStr">
        <is>
          <t>Assembly</t>
        </is>
      </c>
      <c r="C35" s="11" t="inlineStr">
        <is>
          <t>Line 1-8</t>
        </is>
      </c>
      <c r="D35" s="12" t="inlineStr">
        <is>
          <t>Khu Vực Lắp Ráp Line 1 -&gt; Line 8</t>
        </is>
      </c>
      <c r="E35" s="11" t="inlineStr">
        <is>
          <t>-</t>
        </is>
      </c>
      <c r="F35" s="11" t="n">
        <v>0</v>
      </c>
      <c r="G35" s="11" t="inlineStr">
        <is>
          <t>-</t>
        </is>
      </c>
      <c r="H35" s="20" t="inlineStr">
        <is>
          <t>Chưa thể kéo</t>
        </is>
      </c>
      <c r="I35" s="20" t="inlineStr">
        <is>
          <t>Nghẽn hạ tầng</t>
        </is>
      </c>
      <c r="J35" s="12" t="inlineStr">
        <is>
          <t>8 vị trí chưa có máng cáp / chưa thể kéo</t>
        </is>
      </c>
    </row>
    <row r="36" ht="20" customHeight="1">
      <c r="A36" s="11" t="n">
        <v>19</v>
      </c>
      <c r="B36" s="11" t="inlineStr">
        <is>
          <t>Phụ trợ</t>
        </is>
      </c>
      <c r="C36" s="11" t="inlineStr">
        <is>
          <t>Partleader</t>
        </is>
      </c>
      <c r="D36" s="12" t="inlineStr">
        <is>
          <t>Bàn Làm Việc Partleader / VPSX</t>
        </is>
      </c>
      <c r="E36" s="11" t="n">
        <v>1</v>
      </c>
      <c r="F36" s="11" t="n">
        <v>1</v>
      </c>
      <c r="G36" s="11" t="n">
        <v>0</v>
      </c>
      <c r="H36" s="18" t="inlineStr">
        <is>
          <t>Hoàn thành</t>
        </is>
      </c>
      <c r="I36" s="18" t="inlineStr">
        <is>
          <t>Đã xong</t>
        </is>
      </c>
      <c r="J36" s="12" t="inlineStr">
        <is>
          <t>1 Dây Trunk/Uplink -&gt; Switch 8P (chia máy bàn)</t>
        </is>
      </c>
    </row>
    <row r="37" ht="20" customHeight="1">
      <c r="A37" s="11" t="n">
        <v>20</v>
      </c>
      <c r="B37" s="11" t="inlineStr">
        <is>
          <t>Phụ trợ</t>
        </is>
      </c>
      <c r="C37" s="11" t="inlineStr">
        <is>
          <t>X-Ray</t>
        </is>
      </c>
      <c r="D37" s="12" t="inlineStr">
        <is>
          <t>Máy Đo Kiểm Soi X-Ray</t>
        </is>
      </c>
      <c r="E37" s="11" t="n">
        <v>1</v>
      </c>
      <c r="F37" s="11" t="n">
        <v>1</v>
      </c>
      <c r="G37" s="11" t="n">
        <v>0</v>
      </c>
      <c r="H37" s="18" t="inlineStr">
        <is>
          <t>Hoàn thành</t>
        </is>
      </c>
      <c r="I37" s="18" t="inlineStr">
        <is>
          <t>Đã xong</t>
        </is>
      </c>
      <c r="J37" s="12" t="inlineStr">
        <is>
          <t>Đã kéo hoàn thiện 1/1 dây kết nối máy tính X-Ray</t>
        </is>
      </c>
    </row>
  </sheetData>
  <mergeCells count="11">
    <mergeCell ref="D6:E6"/>
    <mergeCell ref="B6:C6"/>
    <mergeCell ref="A1:J1"/>
    <mergeCell ref="H6:I6"/>
    <mergeCell ref="B5:C5"/>
    <mergeCell ref="F5:G5"/>
    <mergeCell ref="A3:J3"/>
    <mergeCell ref="D5:E5"/>
    <mergeCell ref="F6:G6"/>
    <mergeCell ref="H5:I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18" customWidth="1" min="4" max="4"/>
    <col width="32" customWidth="1" min="5" max="5"/>
    <col width="10" customWidth="1" min="6" max="6"/>
    <col width="18" customWidth="1" min="7" max="7"/>
    <col width="26" customWidth="1" min="8" max="8"/>
    <col width="18" customWidth="1" min="9" max="9"/>
    <col width="24" customWidth="1" min="10" max="10"/>
    <col width="34" customWidth="1" min="11" max="11"/>
  </cols>
  <sheetData>
    <row r="1" ht="20" customHeight="1">
      <c r="A1" s="1" t="inlineStr">
        <is>
          <t>VINATECH CO., LTD. — FACTORY IT ASSET &amp; DEVICE INVENTORY</t>
        </is>
      </c>
    </row>
    <row r="2" ht="28" customHeight="1">
      <c r="A2" s="2" t="inlineStr">
        <is>
          <t>DANH MỤC KIỂM KÊ THIẾT BỊ IT CELL LINE DƯỚI XƯỞNG (CELL 라인 IT 설비 실사 대장)</t>
        </is>
      </c>
    </row>
    <row r="3" ht="18" customHeight="1">
      <c r="A3" s="3" t="inlineStr">
        <is>
          <t>Cập nhật thực tế: 07/10/2026 | Báo cáo: Mr. Hải / Mr. Lee Sang Hwan | IT Phụ trách: Nguyễn Văn Đức (vanduc)</t>
        </is>
      </c>
    </row>
    <row r="5" ht="18" customHeight="1">
      <c r="B5" s="4" t="inlineStr">
        <is>
          <t>🖥️ TỔNG PC DESKTOP (데스크탑)</t>
        </is>
      </c>
      <c r="D5" s="4" t="inlineStr">
        <is>
          <t>💻 TỔNG LAPTOP (노트북)</t>
        </is>
      </c>
      <c r="F5" s="4" t="inlineStr">
        <is>
          <t>📱 TỔNG TRẠM KIOSK POP (키오스크)</t>
        </is>
      </c>
      <c r="H5" s="4" t="inlineStr">
        <is>
          <t>🔌 TỔNG THIẾT BỊ MÁY TÍNH (총 PC/IT)</t>
        </is>
      </c>
    </row>
    <row r="6" ht="26" customHeight="1">
      <c r="B6" s="5" t="inlineStr">
        <is>
          <t>6 Máy</t>
        </is>
      </c>
      <c r="D6" s="6" t="inlineStr">
        <is>
          <t>3 Máy</t>
        </is>
      </c>
      <c r="F6" s="21" t="inlineStr">
        <is>
          <t>6 Trạm</t>
        </is>
      </c>
      <c r="H6" s="22" t="inlineStr">
        <is>
          <t>15 Thiết bị</t>
        </is>
      </c>
    </row>
    <row r="8">
      <c r="A8" s="9" t="inlineStr">
        <is>
          <t>DANH SÁCH THIẾT BỊ IT THỰC TẾ ĐANG VẬN HÀNH DƯỚI XƯỞNG (실사 내역)</t>
        </is>
      </c>
    </row>
    <row r="9" ht="24" customHeight="1">
      <c r="A9" s="10" t="inlineStr">
        <is>
          <t>STT</t>
        </is>
      </c>
      <c r="B9" s="10" t="inlineStr">
        <is>
          <t>Phân Khu / Bộ Phận</t>
        </is>
      </c>
      <c r="C9" s="10" t="inlineStr">
        <is>
          <t>Vị Trí Cụ Thể</t>
        </is>
      </c>
      <c r="D9" s="10" t="inlineStr">
        <is>
          <t>Loại Thiết Bị (Device)</t>
        </is>
      </c>
      <c r="E9" s="10" t="inlineStr">
        <is>
          <t>Tên Thiết Bị / Mô Tả</t>
        </is>
      </c>
      <c r="F9" s="10" t="inlineStr">
        <is>
          <t>Số Lượng</t>
        </is>
      </c>
      <c r="G9" s="10" t="inlineStr">
        <is>
          <t>Loại Kết Nối Mạng</t>
        </is>
      </c>
      <c r="H9" s="10" t="inlineStr">
        <is>
          <t>Cổng Kết Nối / Switch</t>
        </is>
      </c>
      <c r="I9" s="10" t="inlineStr">
        <is>
          <t>Trạng Thái Hoạt Động</t>
        </is>
      </c>
      <c r="J9" s="10" t="inlineStr">
        <is>
          <t>Người Sử Dụng / Phụ Trách</t>
        </is>
      </c>
      <c r="K9" s="10" t="inlineStr">
        <is>
          <t>Ghi Chú Nghiệp Vụ</t>
        </is>
      </c>
    </row>
    <row r="10" ht="20" customHeight="1">
      <c r="A10" s="11" t="n">
        <v>1</v>
      </c>
      <c r="B10" s="12" t="inlineStr">
        <is>
          <t>Văn Phòng Xưởng</t>
        </is>
      </c>
      <c r="C10" s="12" t="inlineStr">
        <is>
          <t>Khu vực Partleader</t>
        </is>
      </c>
      <c r="D10" s="12" t="inlineStr">
        <is>
          <t>PC Desktop</t>
        </is>
      </c>
      <c r="E10" s="12" t="inlineStr">
        <is>
          <t>PC Văn Phòng Partleader #1</t>
        </is>
      </c>
      <c r="F10" s="11" t="n">
        <v>1</v>
      </c>
      <c r="G10" s="12" t="inlineStr">
        <is>
          <t>LAN (Dây mạng)</t>
        </is>
      </c>
      <c r="H10" s="12" t="inlineStr">
        <is>
          <t>Port 2 - Switch 8P Partleader</t>
        </is>
      </c>
      <c r="I10" s="18" t="inlineStr">
        <is>
          <t>🟢 Hoạt động tốt</t>
        </is>
      </c>
      <c r="J10" s="12" t="inlineStr">
        <is>
          <t>Partleader / Quản đốc SX</t>
        </is>
      </c>
      <c r="K10" s="12" t="inlineStr">
        <is>
          <t>Nhập liệu báo cáo &amp; điều hành ca</t>
        </is>
      </c>
    </row>
    <row r="11" ht="20" customHeight="1">
      <c r="A11" s="11" t="n">
        <v>2</v>
      </c>
      <c r="B11" s="12" t="inlineStr">
        <is>
          <t>Văn Phòng Xưởng</t>
        </is>
      </c>
      <c r="C11" s="12" t="inlineStr">
        <is>
          <t>Khu vực Partleader</t>
        </is>
      </c>
      <c r="D11" s="12" t="inlineStr">
        <is>
          <t>PC Desktop</t>
        </is>
      </c>
      <c r="E11" s="12" t="inlineStr">
        <is>
          <t>PC Văn Phòng Partleader #2</t>
        </is>
      </c>
      <c r="F11" s="11" t="n">
        <v>1</v>
      </c>
      <c r="G11" s="12" t="inlineStr">
        <is>
          <t>LAN (Dây mạng)</t>
        </is>
      </c>
      <c r="H11" s="12" t="inlineStr">
        <is>
          <t>Port 3 - Switch 8P Partleader</t>
        </is>
      </c>
      <c r="I11" s="18" t="inlineStr">
        <is>
          <t>🟢 Hoạt động tốt</t>
        </is>
      </c>
      <c r="J11" s="12" t="inlineStr">
        <is>
          <t>Tổ phó / Thống kê SX</t>
        </is>
      </c>
      <c r="K11" s="12" t="inlineStr">
        <is>
          <t>Theo dõi kế hoạch &amp; lệnh SX</t>
        </is>
      </c>
    </row>
    <row r="12" ht="20" customHeight="1">
      <c r="A12" s="11" t="n">
        <v>3</v>
      </c>
      <c r="B12" s="12" t="inlineStr">
        <is>
          <t>Văn Phòng Xưởng</t>
        </is>
      </c>
      <c r="C12" s="12" t="inlineStr">
        <is>
          <t>Khu vực Partleader</t>
        </is>
      </c>
      <c r="D12" s="12" t="inlineStr">
        <is>
          <t>Laptop</t>
        </is>
      </c>
      <c r="E12" s="12" t="inlineStr">
        <is>
          <t>Laptop Kỹ Thuật Partleader #1</t>
        </is>
      </c>
      <c r="F12" s="11" t="n">
        <v>1</v>
      </c>
      <c r="G12" s="12" t="inlineStr">
        <is>
          <t>LAN / Wi-Fi</t>
        </is>
      </c>
      <c r="H12" s="12" t="inlineStr">
        <is>
          <t>Port 4 - Switch 8P Partleader</t>
        </is>
      </c>
      <c r="I12" s="18" t="inlineStr">
        <is>
          <t>🟢 Hoạt động tốt</t>
        </is>
      </c>
      <c r="J12" s="12" t="inlineStr">
        <is>
          <t>Kỹ sư Sản Xuất (PE)</t>
        </is>
      </c>
      <c r="K12" s="12" t="inlineStr">
        <is>
          <t>Giám sát quy trình kỹ thuật</t>
        </is>
      </c>
    </row>
    <row r="13" ht="20" customHeight="1">
      <c r="A13" s="11" t="n">
        <v>4</v>
      </c>
      <c r="B13" s="12" t="inlineStr">
        <is>
          <t>Văn Phòng Xưởng</t>
        </is>
      </c>
      <c r="C13" s="12" t="inlineStr">
        <is>
          <t>Khu vực Partleader</t>
        </is>
      </c>
      <c r="D13" s="12" t="inlineStr">
        <is>
          <t>Laptop</t>
        </is>
      </c>
      <c r="E13" s="12" t="inlineStr">
        <is>
          <t>Laptop Kỹ Thuật Partleader #2</t>
        </is>
      </c>
      <c r="F13" s="11" t="n">
        <v>1</v>
      </c>
      <c r="G13" s="12" t="inlineStr">
        <is>
          <t>LAN / Wi-Fi</t>
        </is>
      </c>
      <c r="H13" s="12" t="inlineStr">
        <is>
          <t>Port 5 - Switch 8P Partleader</t>
        </is>
      </c>
      <c r="I13" s="18" t="inlineStr">
        <is>
          <t>🟢 Hoạt động tốt</t>
        </is>
      </c>
      <c r="J13" s="12" t="inlineStr">
        <is>
          <t>Kỹ sư Thiết Bị (ME)</t>
        </is>
      </c>
      <c r="K13" s="12" t="inlineStr">
        <is>
          <t>Theo dõi thông số máy móc</t>
        </is>
      </c>
    </row>
    <row r="14" ht="20" customHeight="1">
      <c r="A14" s="11" t="n">
        <v>5</v>
      </c>
      <c r="B14" s="12" t="inlineStr">
        <is>
          <t>Đo Kiểm Chất Lượng</t>
        </is>
      </c>
      <c r="C14" s="12" t="inlineStr">
        <is>
          <t>Khu vực Máy X-Ray</t>
        </is>
      </c>
      <c r="D14" s="12" t="inlineStr">
        <is>
          <t>Laptop</t>
        </is>
      </c>
      <c r="E14" s="12" t="inlineStr">
        <is>
          <t>Laptop Điều Khiển &amp; Soi X-Ray</t>
        </is>
      </c>
      <c r="F14" s="11" t="n">
        <v>1</v>
      </c>
      <c r="G14" s="12" t="inlineStr">
        <is>
          <t>LAN (Dây mạng)</t>
        </is>
      </c>
      <c r="H14" s="12" t="inlineStr">
        <is>
          <t>Dây mạng X-Ray (1/1 dây)</t>
        </is>
      </c>
      <c r="I14" s="18" t="inlineStr">
        <is>
          <t>🟢 Hoạt động tốt</t>
        </is>
      </c>
      <c r="J14" s="12" t="inlineStr">
        <is>
          <t>OP / Kỹ thuật X-Ray</t>
        </is>
      </c>
      <c r="K14" s="12" t="inlineStr">
        <is>
          <t>Phân tích hình ảnh cấu trúc Cell</t>
        </is>
      </c>
    </row>
    <row r="15" ht="20" customHeight="1">
      <c r="A15" s="11" t="n">
        <v>6</v>
      </c>
      <c r="B15" s="12" t="inlineStr">
        <is>
          <t>Quản Lý Chất Lượng</t>
        </is>
      </c>
      <c r="C15" s="12" t="inlineStr">
        <is>
          <t>Khu vực OQC</t>
        </is>
      </c>
      <c r="D15" s="12" t="inlineStr">
        <is>
          <t>PC Desktop</t>
        </is>
      </c>
      <c r="E15" s="12" t="inlineStr">
        <is>
          <t>PC Trạm Kiểm Tra OQC</t>
        </is>
      </c>
      <c r="F15" s="11" t="n">
        <v>1</v>
      </c>
      <c r="G15" s="12" t="inlineStr">
        <is>
          <t>LAN (Dây mạng)</t>
        </is>
      </c>
      <c r="H15" s="12" t="inlineStr">
        <is>
          <t>Điểm mạng trạm OQC</t>
        </is>
      </c>
      <c r="I15" s="18" t="inlineStr">
        <is>
          <t>🟢 Hoạt động tốt</t>
        </is>
      </c>
      <c r="J15" s="12" t="inlineStr">
        <is>
          <t>Nhân viên QC (OQC)</t>
        </is>
      </c>
      <c r="K15" s="12" t="inlineStr">
        <is>
          <t>Kiểm tra chất lượng xuất xưởng</t>
        </is>
      </c>
    </row>
    <row r="16" ht="20" customHeight="1">
      <c r="A16" s="11" t="n">
        <v>7</v>
      </c>
      <c r="B16" s="12" t="inlineStr">
        <is>
          <t>Đóng Gói &amp; Xuất Hàng</t>
        </is>
      </c>
      <c r="C16" s="12" t="inlineStr">
        <is>
          <t>Ngoại quan đóng gói</t>
        </is>
      </c>
      <c r="D16" s="12" t="inlineStr">
        <is>
          <t>PC Desktop</t>
        </is>
      </c>
      <c r="E16" s="12" t="inlineStr">
        <is>
          <t>PC Trạm Kiểm Tra Ngoại Quan</t>
        </is>
      </c>
      <c r="F16" s="11" t="n">
        <v>1</v>
      </c>
      <c r="G16" s="12" t="inlineStr">
        <is>
          <t>LAN (Dây mạng)</t>
        </is>
      </c>
      <c r="H16" s="12" t="inlineStr">
        <is>
          <t>Điểm mạng bàn Ngoại quan</t>
        </is>
      </c>
      <c r="I16" s="18" t="inlineStr">
        <is>
          <t>🟢 Hoạt động tốt</t>
        </is>
      </c>
      <c r="J16" s="12" t="inlineStr">
        <is>
          <t>OP Ngoại quan</t>
        </is>
      </c>
      <c r="K16" s="12" t="inlineStr">
        <is>
          <t>Kiểm tra ngoại quan trước đóng thùng</t>
        </is>
      </c>
    </row>
    <row r="17" ht="20" customHeight="1">
      <c r="A17" s="11" t="n">
        <v>8</v>
      </c>
      <c r="B17" s="12" t="inlineStr">
        <is>
          <t>Đóng Gói &amp; Xuất Hàng</t>
        </is>
      </c>
      <c r="C17" s="12" t="inlineStr">
        <is>
          <t>Khu vực Đóng Gói</t>
        </is>
      </c>
      <c r="D17" s="12" t="inlineStr">
        <is>
          <t>PC Desktop</t>
        </is>
      </c>
      <c r="E17" s="12" t="inlineStr">
        <is>
          <t>PC Trạm Đóng Gói (Packing)</t>
        </is>
      </c>
      <c r="F17" s="11" t="n">
        <v>1</v>
      </c>
      <c r="G17" s="12" t="inlineStr">
        <is>
          <t>LAN (Dây mạng)</t>
        </is>
      </c>
      <c r="H17" s="12" t="inlineStr">
        <is>
          <t>Điểm mạng trạm Đóng gói</t>
        </is>
      </c>
      <c r="I17" s="18" t="inlineStr">
        <is>
          <t>🟢 Hoạt động tốt</t>
        </is>
      </c>
      <c r="J17" s="12" t="inlineStr">
        <is>
          <t>OP Đóng gói</t>
        </is>
      </c>
      <c r="K17" s="12" t="inlineStr">
        <is>
          <t>Đóng thùng, in tem Sanmina/thùng</t>
        </is>
      </c>
    </row>
    <row r="18" ht="20" customHeight="1">
      <c r="A18" s="11" t="n">
        <v>9</v>
      </c>
      <c r="B18" s="12" t="inlineStr">
        <is>
          <t>Kho &amp; Thành Phẩm</t>
        </is>
      </c>
      <c r="C18" s="12" t="inlineStr">
        <is>
          <t>Khu vực Thành Phẩm</t>
        </is>
      </c>
      <c r="D18" s="12" t="inlineStr">
        <is>
          <t>PC Desktop</t>
        </is>
      </c>
      <c r="E18" s="12" t="inlineStr">
        <is>
          <t>PC Quản Lý Kho Thành Phẩm</t>
        </is>
      </c>
      <c r="F18" s="11" t="n">
        <v>1</v>
      </c>
      <c r="G18" s="12" t="inlineStr">
        <is>
          <t>LAN (Dây mạng)</t>
        </is>
      </c>
      <c r="H18" s="12" t="inlineStr">
        <is>
          <t>Điểm mạng kho Thành phẩm</t>
        </is>
      </c>
      <c r="I18" s="18" t="inlineStr">
        <is>
          <t>🟢 Hoạt động tốt</t>
        </is>
      </c>
      <c r="J18" s="12" t="inlineStr">
        <is>
          <t>Thủ kho Thành phẩm</t>
        </is>
      </c>
      <c r="K18" s="12" t="inlineStr">
        <is>
          <t>Nhập kho B540 &amp; xuất hàng</t>
        </is>
      </c>
    </row>
    <row r="19" ht="20" customHeight="1">
      <c r="A19" s="11" t="n">
        <v>10</v>
      </c>
      <c r="B19" s="12" t="inlineStr">
        <is>
          <t>Sản Xuất Winding</t>
        </is>
      </c>
      <c r="C19" s="12" t="inlineStr">
        <is>
          <t>Line 1 Winding</t>
        </is>
      </c>
      <c r="D19" s="12" t="inlineStr">
        <is>
          <t>Kiosk POP</t>
        </is>
      </c>
      <c r="E19" s="12" t="inlineStr">
        <is>
          <t>Kiosk Cảm Ứng POP Line 1</t>
        </is>
      </c>
      <c r="F19" s="11" t="n">
        <v>1</v>
      </c>
      <c r="G19" s="12" t="inlineStr">
        <is>
          <t>LAN (Dây mạng)</t>
        </is>
      </c>
      <c r="H19" s="12" t="inlineStr">
        <is>
          <t>Dây mạng Line 1 Winding (2 dây)</t>
        </is>
      </c>
      <c r="I19" s="18" t="inlineStr">
        <is>
          <t>🟢 Hoạt động tốt</t>
        </is>
      </c>
      <c r="J19" s="12" t="inlineStr">
        <is>
          <t>Công nhân Line 1</t>
        </is>
      </c>
      <c r="K19" s="12" t="inlineStr">
        <is>
          <t>Chốt sản lượng POP Kiosk</t>
        </is>
      </c>
    </row>
    <row r="20" ht="20" customHeight="1">
      <c r="A20" s="11" t="n">
        <v>11</v>
      </c>
      <c r="B20" s="12" t="inlineStr">
        <is>
          <t>Sản Xuất Winding</t>
        </is>
      </c>
      <c r="C20" s="12" t="inlineStr">
        <is>
          <t>Line 2 Winding</t>
        </is>
      </c>
      <c r="D20" s="12" t="inlineStr">
        <is>
          <t>Kiosk POP</t>
        </is>
      </c>
      <c r="E20" s="12" t="inlineStr">
        <is>
          <t>Kiosk Cảm Ứng POP Line 2</t>
        </is>
      </c>
      <c r="F20" s="11" t="n">
        <v>1</v>
      </c>
      <c r="G20" s="12" t="inlineStr">
        <is>
          <t>LAN (Dây mạng)</t>
        </is>
      </c>
      <c r="H20" s="12" t="inlineStr">
        <is>
          <t>Dây mạng Line 2 Winding (6 dây)</t>
        </is>
      </c>
      <c r="I20" s="18" t="inlineStr">
        <is>
          <t>🟢 Hoạt động tốt</t>
        </is>
      </c>
      <c r="J20" s="12" t="inlineStr">
        <is>
          <t>Công nhân Line 2</t>
        </is>
      </c>
      <c r="K20" s="12" t="inlineStr">
        <is>
          <t>Chốt sản lượng POP Kiosk</t>
        </is>
      </c>
    </row>
    <row r="21" ht="20" customHeight="1">
      <c r="A21" s="11" t="n">
        <v>12</v>
      </c>
      <c r="B21" s="12" t="inlineStr">
        <is>
          <t>Sản Xuất Assembly</t>
        </is>
      </c>
      <c r="C21" s="12" t="inlineStr">
        <is>
          <t>Line 9 Assembly</t>
        </is>
      </c>
      <c r="D21" s="12" t="inlineStr">
        <is>
          <t>Kiosk POP</t>
        </is>
      </c>
      <c r="E21" s="12" t="inlineStr">
        <is>
          <t>Kiosk Cảm Ứng POP Line 9 (Cell #1-#3)</t>
        </is>
      </c>
      <c r="F21" s="11" t="n">
        <v>1</v>
      </c>
      <c r="G21" s="12" t="inlineStr">
        <is>
          <t>LAN (Dây mạng)</t>
        </is>
      </c>
      <c r="H21" s="12" t="inlineStr">
        <is>
          <t>Cụm mạng Line 9 (5 dây)</t>
        </is>
      </c>
      <c r="I21" s="18" t="inlineStr">
        <is>
          <t>🟢 Hoạt động tốt</t>
        </is>
      </c>
      <c r="J21" s="12" t="inlineStr">
        <is>
          <t>Công nhân Line 9</t>
        </is>
      </c>
      <c r="K21" s="12" t="inlineStr">
        <is>
          <t>Chốt công đoạn &amp; nạp NVL</t>
        </is>
      </c>
    </row>
    <row r="22" ht="20" customHeight="1">
      <c r="A22" s="11" t="n">
        <v>13</v>
      </c>
      <c r="B22" s="12" t="inlineStr">
        <is>
          <t>Sản Xuất Assembly</t>
        </is>
      </c>
      <c r="C22" s="12" t="inlineStr">
        <is>
          <t>Line 10 Assembly</t>
        </is>
      </c>
      <c r="D22" s="12" t="inlineStr">
        <is>
          <t>Kiosk POP</t>
        </is>
      </c>
      <c r="E22" s="12" t="inlineStr">
        <is>
          <t>Kiosk Cảm Ứng POP Line 10 (Cell #1-#3)</t>
        </is>
      </c>
      <c r="F22" s="11" t="n">
        <v>1</v>
      </c>
      <c r="G22" s="12" t="inlineStr">
        <is>
          <t>LAN (Dây mạng)</t>
        </is>
      </c>
      <c r="H22" s="12" t="inlineStr">
        <is>
          <t>Cụm mạng Line 10 (5 dây)</t>
        </is>
      </c>
      <c r="I22" s="18" t="inlineStr">
        <is>
          <t>🟢 Hoạt động tốt</t>
        </is>
      </c>
      <c r="J22" s="12" t="inlineStr">
        <is>
          <t>Công nhân Line 10</t>
        </is>
      </c>
      <c r="K22" s="12" t="inlineStr">
        <is>
          <t>Chốt công đoạn &amp; nạp NVL</t>
        </is>
      </c>
    </row>
    <row r="23" ht="20" customHeight="1">
      <c r="A23" s="11" t="n">
        <v>14</v>
      </c>
      <c r="B23" s="12" t="inlineStr">
        <is>
          <t>Sản Xuất Aging</t>
        </is>
      </c>
      <c r="C23" s="12" t="inlineStr">
        <is>
          <t>Khu vực Aging</t>
        </is>
      </c>
      <c r="D23" s="12" t="inlineStr">
        <is>
          <t>Kiosk POP</t>
        </is>
      </c>
      <c r="E23" s="12" t="inlineStr">
        <is>
          <t>Kiosk Cảm Ứng POP Aging</t>
        </is>
      </c>
      <c r="F23" s="11" t="n">
        <v>1</v>
      </c>
      <c r="G23" s="12" t="inlineStr">
        <is>
          <t>LAN (Dây mạng)</t>
        </is>
      </c>
      <c r="H23" s="12" t="inlineStr">
        <is>
          <t>Cáp mạng trạm Aging</t>
        </is>
      </c>
      <c r="I23" s="18" t="inlineStr">
        <is>
          <t>🟢 Hoạt động tốt</t>
        </is>
      </c>
      <c r="J23" s="12" t="inlineStr">
        <is>
          <t>Công nhân Aging</t>
        </is>
      </c>
      <c r="K23" s="12" t="inlineStr">
        <is>
          <t>Quản lý mẻ nạp/xả điện tích</t>
        </is>
      </c>
    </row>
    <row r="24" ht="20" customHeight="1">
      <c r="A24" s="11" t="n">
        <v>15</v>
      </c>
      <c r="B24" s="12" t="inlineStr">
        <is>
          <t>Sản Xuất Điện Cực</t>
        </is>
      </c>
      <c r="C24" s="12" t="inlineStr">
        <is>
          <t>Khu vực Điện Cực</t>
        </is>
      </c>
      <c r="D24" s="12" t="inlineStr">
        <is>
          <t>Kiosk POP</t>
        </is>
      </c>
      <c r="E24" s="12" t="inlineStr">
        <is>
          <t>Kiosk Cảm Ứng POP Điện Cực</t>
        </is>
      </c>
      <c r="F24" s="11" t="n">
        <v>1</v>
      </c>
      <c r="G24" s="12" t="inlineStr">
        <is>
          <t>LAN (Dây mạng)</t>
        </is>
      </c>
      <c r="H24" s="12" t="inlineStr">
        <is>
          <t>Cáp mạng trạm Cắt/Trộn</t>
        </is>
      </c>
      <c r="I24" s="18" t="inlineStr">
        <is>
          <t>🟢 Hoạt động tốt</t>
        </is>
      </c>
      <c r="J24" s="12" t="inlineStr">
        <is>
          <t>Công nhân Điện cực</t>
        </is>
      </c>
      <c r="K24" s="12" t="inlineStr">
        <is>
          <t>Quản lý cuộn điện cực &amp; Slitting</t>
        </is>
      </c>
    </row>
    <row r="25" ht="20" customHeight="1">
      <c r="A25" s="11" t="n">
        <v>16</v>
      </c>
      <c r="B25" s="12" t="inlineStr">
        <is>
          <t>Hạ Tầng Mạng</t>
        </is>
      </c>
      <c r="C25" s="12" t="inlineStr">
        <is>
          <t>Khu vực Partleader</t>
        </is>
      </c>
      <c r="D25" s="12" t="inlineStr">
        <is>
          <t>Switch Mạng</t>
        </is>
      </c>
      <c r="E25" s="12" t="inlineStr">
        <is>
          <t>Switch 8-Port Unmanaged</t>
        </is>
      </c>
      <c r="F25" s="11" t="n">
        <v>1</v>
      </c>
      <c r="G25" s="12" t="inlineStr">
        <is>
          <t>Trunk Uplink</t>
        </is>
      </c>
      <c r="H25" s="12" t="inlineStr">
        <is>
          <t>Dây Trunk từ tủ Switch chính</t>
        </is>
      </c>
      <c r="I25" s="18" t="inlineStr">
        <is>
          <t>🟢 Hoạt động tốt</t>
        </is>
      </c>
      <c r="J25" s="12" t="inlineStr">
        <is>
          <t>IT Đức Nguyễn</t>
        </is>
      </c>
      <c r="K25" s="12" t="inlineStr">
        <is>
          <t>Cấp mạng cho 2 PC + 2 Laptop</t>
        </is>
      </c>
    </row>
    <row r="26" ht="20" customHeight="1">
      <c r="A26" s="11" t="n">
        <v>17</v>
      </c>
      <c r="B26" s="12" t="inlineStr">
        <is>
          <t>Thiết Bị Ngoại Vi</t>
        </is>
      </c>
      <c r="C26" s="12" t="inlineStr">
        <is>
          <t>Đóng gói / Kiosk</t>
        </is>
      </c>
      <c r="D26" s="12" t="inlineStr">
        <is>
          <t>Máy In Mã Vạch</t>
        </is>
      </c>
      <c r="E26" s="12" t="inlineStr">
        <is>
          <t>Zebra / Citizen ZT411 (LAN/USB)</t>
        </is>
      </c>
      <c r="F26" s="11" t="n">
        <v>2</v>
      </c>
      <c r="G26" s="12" t="inlineStr">
        <is>
          <t>LAN / USB</t>
        </is>
      </c>
      <c r="H26" s="12" t="inlineStr">
        <is>
          <t>Kết nối PC Đóng gói &amp; Kiosk</t>
        </is>
      </c>
      <c r="I26" s="18" t="inlineStr">
        <is>
          <t>🟢 Hoạt động tốt</t>
        </is>
      </c>
      <c r="J26" s="12" t="inlineStr">
        <is>
          <t>OP Sản xuất</t>
        </is>
      </c>
      <c r="K26" s="12" t="inlineStr">
        <is>
          <t>In tem Barcode thùng &amp; Box</t>
        </is>
      </c>
    </row>
    <row r="27" ht="20" customHeight="1">
      <c r="A27" s="11" t="n">
        <v>18</v>
      </c>
      <c r="B27" s="12" t="inlineStr">
        <is>
          <t>Thiết Bị Ngoại Vi</t>
        </is>
      </c>
      <c r="C27" s="12" t="inlineStr">
        <is>
          <t>Kiosk POP &amp; QC</t>
        </is>
      </c>
      <c r="D27" s="12" t="inlineStr">
        <is>
          <t>Máy Quét Mã Vạch</t>
        </is>
      </c>
      <c r="E27" s="12" t="inlineStr">
        <is>
          <t>Honeywell Xenon 1900GHD Barcode</t>
        </is>
      </c>
      <c r="F27" s="11" t="n">
        <v>6</v>
      </c>
      <c r="G27" s="12" t="inlineStr">
        <is>
          <t>USB Interface</t>
        </is>
      </c>
      <c r="H27" s="12" t="inlineStr">
        <is>
          <t>Gắn trực tiếp vào các Kiosk POP</t>
        </is>
      </c>
      <c r="I27" s="18" t="inlineStr">
        <is>
          <t>🟢 Hoạt động tốt</t>
        </is>
      </c>
      <c r="J27" s="12" t="inlineStr">
        <is>
          <t>OP Sản xuất</t>
        </is>
      </c>
      <c r="K27" s="12" t="inlineStr">
        <is>
          <t>Quét tem NVL, Lot, Box</t>
        </is>
      </c>
    </row>
    <row r="28" ht="22" customHeight="1">
      <c r="A28" s="14" t="inlineStr"/>
      <c r="B28" s="15" t="inlineStr">
        <is>
          <t>TỔNG THIẾT BỊ IT (합계)</t>
        </is>
      </c>
      <c r="C28" s="15" t="inlineStr">
        <is>
          <t>6 PC Desktop + 3 Laptop + 6 Kiosk POP + 1 Switch 8P + 8 Thiết bị ngoại vi</t>
        </is>
      </c>
      <c r="F28" s="16">
        <f>SUM(F10:F27)</f>
        <v/>
      </c>
      <c r="G28" s="14" t="inlineStr"/>
      <c r="H28" s="14" t="inlineStr"/>
      <c r="I28" s="14" t="inlineStr"/>
      <c r="J28" s="14" t="inlineStr"/>
      <c r="K28" s="14" t="inlineStr"/>
    </row>
  </sheetData>
  <mergeCells count="12">
    <mergeCell ref="D6:E6"/>
    <mergeCell ref="B6:C6"/>
    <mergeCell ref="C28:E28"/>
    <mergeCell ref="H6:I6"/>
    <mergeCell ref="A3:K3"/>
    <mergeCell ref="B5:C5"/>
    <mergeCell ref="F5:G5"/>
    <mergeCell ref="D5:E5"/>
    <mergeCell ref="A2:K2"/>
    <mergeCell ref="F6:G6"/>
    <mergeCell ref="H5:I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2026-10-07T01:30:03Z</dcterms:created>
  <dcterms:modified xsi:type="dcterms:W3CDTF">2026-10-07T01:30:03Z</dcterms:modified>
</cp:coreProperties>
</file>